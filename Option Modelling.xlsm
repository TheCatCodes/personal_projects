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gisg-my.sharepoint.com/personal/yvonne_ang_dgi_sg/Documents/Desktop/Options/"/>
    </mc:Choice>
  </mc:AlternateContent>
  <xr:revisionPtr revIDLastSave="8045" documentId="8_{5C6E8A19-D647-4A18-93C0-BEC5C888551E}" xr6:coauthVersionLast="47" xr6:coauthVersionMax="47" xr10:uidLastSave="{BF61836B-4B7C-4139-B531-01426098B0F4}"/>
  <bookViews>
    <workbookView xWindow="-120" yWindow="-120" windowWidth="29040" windowHeight="15720" activeTab="3" xr2:uid="{2ABA520C-DF53-4F41-8A02-0B804F0CB6F6}"/>
  </bookViews>
  <sheets>
    <sheet name="Sheet1" sheetId="1" r:id="rId1"/>
    <sheet name="ImpliedVol" sheetId="7" r:id="rId2"/>
    <sheet name="ICE Code Mapping" sheetId="6" r:id="rId3"/>
    <sheet name="jkm_call_put" sheetId="14" r:id="rId4"/>
    <sheet name="Unique" sheetId="11" r:id="rId5"/>
    <sheet name="jkm" sheetId="20" r:id="rId6"/>
    <sheet name="C_JKM Matrix" sheetId="10" r:id="rId7"/>
    <sheet name="P_JKM Matrix" sheetId="15" r:id="rId8"/>
    <sheet name="P_ICE Vol" sheetId="16" r:id="rId9"/>
    <sheet name="Delta_C_JKM" sheetId="19" r:id="rId10"/>
    <sheet name="Delta_P_JKM" sheetId="17" r:id="rId11"/>
    <sheet name="C_ICE Vol" sheetId="12" r:id="rId12"/>
    <sheet name="Sheet8" sheetId="8" r:id="rId13"/>
  </sheets>
  <functionGroups builtInGroupCount="19"/>
  <definedNames>
    <definedName name="_xlnm._FilterDatabase" localSheetId="6" hidden="1">'C_JKM Matrix'!$B$2:$B$25</definedName>
    <definedName name="_xlnm._FilterDatabase" localSheetId="3" hidden="1">jkm_call_put!$A$1:$M$511</definedName>
    <definedName name="_xlnm._FilterDatabase" localSheetId="4" hidden="1">Unique!$A$1:$B$1</definedName>
    <definedName name="_xleta.DATEVALUE" hidden="1" xlm="1">#NAME?</definedName>
    <definedName name="_xleta.PRICE" hidden="1" xlm="1">#NAME?</definedName>
    <definedName name="_xleta.RIGHT" hidden="1" xlm="1">#NAME?</definedName>
    <definedName name="_xleta.SORT" hidden="1" xlm="1">#NAME?</definedName>
    <definedName name="_xleta.UNIQ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4" l="1"/>
  <c r="U3" i="14" s="1"/>
  <c r="U4" i="14" s="1"/>
  <c r="U5" i="14" s="1"/>
  <c r="U6" i="14" s="1"/>
  <c r="U7" i="14" s="1"/>
  <c r="U8" i="14" s="1"/>
  <c r="U9" i="14" s="1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U76" i="14" s="1"/>
  <c r="U77" i="14" s="1"/>
  <c r="U78" i="14" s="1"/>
  <c r="U79" i="14" s="1"/>
  <c r="U80" i="14" s="1"/>
  <c r="U81" i="14" s="1"/>
  <c r="U82" i="14" s="1"/>
  <c r="U83" i="14" s="1"/>
  <c r="U84" i="14" s="1"/>
  <c r="U85" i="14" s="1"/>
  <c r="U86" i="14" s="1"/>
  <c r="U87" i="14" s="1"/>
  <c r="U88" i="14" s="1"/>
  <c r="U89" i="14" s="1"/>
  <c r="U90" i="14" s="1"/>
  <c r="U91" i="14" s="1"/>
  <c r="U92" i="14" s="1"/>
  <c r="U93" i="14" s="1"/>
  <c r="U94" i="14" s="1"/>
  <c r="U95" i="14" s="1"/>
  <c r="U96" i="14" s="1"/>
  <c r="U97" i="14" s="1"/>
  <c r="U98" i="14" s="1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U239" i="14" s="1"/>
  <c r="U240" i="14" s="1"/>
  <c r="U241" i="14" s="1"/>
  <c r="U242" i="14" s="1"/>
  <c r="U243" i="14" s="1"/>
  <c r="U244" i="14" s="1"/>
  <c r="U245" i="14" s="1"/>
  <c r="U246" i="14" s="1"/>
  <c r="U247" i="14" s="1"/>
  <c r="U248" i="14" s="1"/>
  <c r="U249" i="14" s="1"/>
  <c r="U250" i="14" s="1"/>
  <c r="U251" i="14" s="1"/>
  <c r="U252" i="14" s="1"/>
  <c r="U253" i="14" s="1"/>
  <c r="U254" i="14" s="1"/>
  <c r="U255" i="14" s="1"/>
  <c r="U256" i="14" s="1"/>
  <c r="U257" i="14" s="1"/>
  <c r="U258" i="14" s="1"/>
  <c r="U259" i="14" s="1"/>
  <c r="U260" i="14" s="1"/>
  <c r="U261" i="14" s="1"/>
  <c r="U262" i="14" s="1"/>
  <c r="U263" i="14" s="1"/>
  <c r="U264" i="14" s="1"/>
  <c r="U265" i="14" s="1"/>
  <c r="U266" i="14" s="1"/>
  <c r="U267" i="14" s="1"/>
  <c r="U268" i="14" s="1"/>
  <c r="U269" i="14" s="1"/>
  <c r="U270" i="14" s="1"/>
  <c r="U271" i="14" s="1"/>
  <c r="U272" i="14" s="1"/>
  <c r="U273" i="14" s="1"/>
  <c r="U274" i="14" s="1"/>
  <c r="U275" i="14" s="1"/>
  <c r="U276" i="14" s="1"/>
  <c r="U277" i="14" s="1"/>
  <c r="U278" i="14" s="1"/>
  <c r="U279" i="14" s="1"/>
  <c r="U280" i="14" s="1"/>
  <c r="U281" i="14" s="1"/>
  <c r="U282" i="14" s="1"/>
  <c r="U283" i="14" s="1"/>
  <c r="U284" i="14" s="1"/>
  <c r="U285" i="14" s="1"/>
  <c r="U286" i="14" s="1"/>
  <c r="U287" i="14" s="1"/>
  <c r="U288" i="14" s="1"/>
  <c r="U289" i="14" s="1"/>
  <c r="U290" i="14" s="1"/>
  <c r="U291" i="14" s="1"/>
  <c r="U292" i="14" s="1"/>
  <c r="U293" i="14" s="1"/>
  <c r="U294" i="14" s="1"/>
  <c r="U295" i="14" s="1"/>
  <c r="U296" i="14" s="1"/>
  <c r="U297" i="14" s="1"/>
  <c r="U298" i="14" s="1"/>
  <c r="U299" i="14" s="1"/>
  <c r="U300" i="14" s="1"/>
  <c r="U301" i="14" s="1"/>
  <c r="U302" i="14" s="1"/>
  <c r="U303" i="14" s="1"/>
  <c r="U304" i="14" s="1"/>
  <c r="U305" i="14" s="1"/>
  <c r="U306" i="14" s="1"/>
  <c r="U307" i="14" s="1"/>
  <c r="U308" i="14" s="1"/>
  <c r="U309" i="14" s="1"/>
  <c r="U310" i="14" s="1"/>
  <c r="U311" i="14" s="1"/>
  <c r="U312" i="14" s="1"/>
  <c r="U313" i="14" s="1"/>
  <c r="U314" i="14" s="1"/>
  <c r="U315" i="14" s="1"/>
  <c r="U316" i="14" s="1"/>
  <c r="U317" i="14" s="1"/>
  <c r="U318" i="14" s="1"/>
  <c r="U319" i="14" s="1"/>
  <c r="U320" i="14" s="1"/>
  <c r="U321" i="14" s="1"/>
  <c r="U322" i="14" s="1"/>
  <c r="U323" i="14" s="1"/>
  <c r="U324" i="14" s="1"/>
  <c r="U325" i="14" s="1"/>
  <c r="U326" i="14" s="1"/>
  <c r="U327" i="14" s="1"/>
  <c r="U328" i="14" s="1"/>
  <c r="U329" i="14" s="1"/>
  <c r="U330" i="14" s="1"/>
  <c r="U331" i="14" s="1"/>
  <c r="U332" i="14" s="1"/>
  <c r="U333" i="14" s="1"/>
  <c r="U334" i="14" s="1"/>
  <c r="U335" i="14" s="1"/>
  <c r="U336" i="14" s="1"/>
  <c r="U337" i="14" s="1"/>
  <c r="U338" i="14" s="1"/>
  <c r="U339" i="14" s="1"/>
  <c r="U340" i="14" s="1"/>
  <c r="U341" i="14" s="1"/>
  <c r="U342" i="14" s="1"/>
  <c r="U343" i="14" s="1"/>
  <c r="U344" i="14" s="1"/>
  <c r="U345" i="14" s="1"/>
  <c r="U346" i="14" s="1"/>
  <c r="U347" i="14" s="1"/>
  <c r="U348" i="14" s="1"/>
  <c r="U349" i="14" s="1"/>
  <c r="U350" i="14" s="1"/>
  <c r="U351" i="14" s="1"/>
  <c r="U352" i="14" s="1"/>
  <c r="U353" i="14" s="1"/>
  <c r="U354" i="14" s="1"/>
  <c r="U355" i="14" s="1"/>
  <c r="U356" i="14" s="1"/>
  <c r="U357" i="14" s="1"/>
  <c r="U358" i="14" s="1"/>
  <c r="U359" i="14" s="1"/>
  <c r="U360" i="14" s="1"/>
  <c r="U361" i="14" s="1"/>
  <c r="U362" i="14" s="1"/>
  <c r="U363" i="14" s="1"/>
  <c r="U364" i="14" s="1"/>
  <c r="U365" i="14" s="1"/>
  <c r="U366" i="14" s="1"/>
  <c r="U367" i="14" s="1"/>
  <c r="U368" i="14" s="1"/>
  <c r="U369" i="14" s="1"/>
  <c r="U370" i="14" s="1"/>
  <c r="U371" i="14" s="1"/>
  <c r="U372" i="14" s="1"/>
  <c r="U373" i="14" s="1"/>
  <c r="U374" i="14" s="1"/>
  <c r="U375" i="14" s="1"/>
  <c r="U376" i="14" s="1"/>
  <c r="U377" i="14" s="1"/>
  <c r="U378" i="14" s="1"/>
  <c r="U379" i="14" s="1"/>
  <c r="U380" i="14" s="1"/>
  <c r="U381" i="14" s="1"/>
  <c r="U382" i="14" s="1"/>
  <c r="U383" i="14" s="1"/>
  <c r="U384" i="14" s="1"/>
  <c r="U385" i="14" s="1"/>
  <c r="U386" i="14" s="1"/>
  <c r="U387" i="14" s="1"/>
  <c r="U388" i="14" s="1"/>
  <c r="U389" i="14" s="1"/>
  <c r="U390" i="14" s="1"/>
  <c r="U391" i="14" s="1"/>
  <c r="U392" i="14" s="1"/>
  <c r="U393" i="14" s="1"/>
  <c r="U394" i="14" s="1"/>
  <c r="U395" i="14" s="1"/>
  <c r="U396" i="14" s="1"/>
  <c r="U397" i="14" s="1"/>
  <c r="U398" i="14" s="1"/>
  <c r="U399" i="14" s="1"/>
  <c r="U400" i="14" s="1"/>
  <c r="U401" i="14" s="1"/>
  <c r="U402" i="14" s="1"/>
  <c r="U403" i="14" s="1"/>
  <c r="U404" i="14" s="1"/>
  <c r="U405" i="14" s="1"/>
  <c r="U406" i="14" s="1"/>
  <c r="U407" i="14" s="1"/>
  <c r="U408" i="14" s="1"/>
  <c r="U409" i="14" s="1"/>
  <c r="U410" i="14" s="1"/>
  <c r="U411" i="14" s="1"/>
  <c r="U412" i="14" s="1"/>
  <c r="U413" i="14" s="1"/>
  <c r="U414" i="14" s="1"/>
  <c r="U415" i="14" s="1"/>
  <c r="U416" i="14" s="1"/>
  <c r="U417" i="14" s="1"/>
  <c r="U418" i="14" s="1"/>
  <c r="U419" i="14" s="1"/>
  <c r="U420" i="14" s="1"/>
  <c r="U421" i="14" s="1"/>
  <c r="U422" i="14" s="1"/>
  <c r="U423" i="14" s="1"/>
  <c r="U424" i="14" s="1"/>
  <c r="U425" i="14" s="1"/>
  <c r="U426" i="14" s="1"/>
  <c r="U427" i="14" s="1"/>
  <c r="U428" i="14" s="1"/>
  <c r="U429" i="14" s="1"/>
  <c r="U430" i="14" s="1"/>
  <c r="U431" i="14" s="1"/>
  <c r="U432" i="14" s="1"/>
  <c r="U433" i="14" s="1"/>
  <c r="U434" i="14" s="1"/>
  <c r="U435" i="14" s="1"/>
  <c r="U436" i="14" s="1"/>
  <c r="U437" i="14" s="1"/>
  <c r="U438" i="14" s="1"/>
  <c r="U439" i="14" s="1"/>
  <c r="U440" i="14" s="1"/>
  <c r="U441" i="14" s="1"/>
  <c r="U442" i="14" s="1"/>
  <c r="U443" i="14" s="1"/>
  <c r="U444" i="14" s="1"/>
  <c r="U445" i="14" s="1"/>
  <c r="U446" i="14" s="1"/>
  <c r="U447" i="14" s="1"/>
  <c r="U448" i="14" s="1"/>
  <c r="U449" i="14" s="1"/>
  <c r="U450" i="14" s="1"/>
  <c r="U451" i="14" s="1"/>
  <c r="U452" i="14" s="1"/>
  <c r="U453" i="14" s="1"/>
  <c r="U454" i="14" s="1"/>
  <c r="U455" i="14" s="1"/>
  <c r="U456" i="14" s="1"/>
  <c r="U457" i="14" s="1"/>
  <c r="U458" i="14" s="1"/>
  <c r="U459" i="14" s="1"/>
  <c r="U460" i="14" s="1"/>
  <c r="U461" i="14" s="1"/>
  <c r="U462" i="14" s="1"/>
  <c r="U463" i="14" s="1"/>
  <c r="U464" i="14" s="1"/>
  <c r="U465" i="14" s="1"/>
  <c r="U466" i="14" s="1"/>
  <c r="U467" i="14" s="1"/>
  <c r="U468" i="14" s="1"/>
  <c r="U469" i="14" s="1"/>
  <c r="U470" i="14" s="1"/>
  <c r="U471" i="14" s="1"/>
  <c r="U472" i="14" s="1"/>
  <c r="U473" i="14" s="1"/>
  <c r="U474" i="14" s="1"/>
  <c r="U475" i="14" s="1"/>
  <c r="U476" i="14" s="1"/>
  <c r="U477" i="14" s="1"/>
  <c r="U478" i="14" s="1"/>
  <c r="U479" i="14" s="1"/>
  <c r="U480" i="14" s="1"/>
  <c r="U481" i="14" s="1"/>
  <c r="U482" i="14" s="1"/>
  <c r="U483" i="14" s="1"/>
  <c r="U484" i="14" s="1"/>
  <c r="U485" i="14" s="1"/>
  <c r="U486" i="14" s="1"/>
  <c r="U487" i="14" s="1"/>
  <c r="U488" i="14" s="1"/>
  <c r="U489" i="14" s="1"/>
  <c r="U490" i="14" s="1"/>
  <c r="U491" i="14" s="1"/>
  <c r="U492" i="14" s="1"/>
  <c r="U493" i="14" s="1"/>
  <c r="U494" i="14" s="1"/>
  <c r="U495" i="14" s="1"/>
  <c r="U496" i="14" s="1"/>
  <c r="U497" i="14" s="1"/>
  <c r="U498" i="14" s="1"/>
  <c r="U499" i="14" s="1"/>
  <c r="U500" i="14" s="1"/>
  <c r="U501" i="14" s="1"/>
  <c r="U502" i="14" s="1"/>
  <c r="U503" i="14" s="1"/>
  <c r="U504" i="14" s="1"/>
  <c r="U505" i="14" s="1"/>
  <c r="U506" i="14" s="1"/>
  <c r="U507" i="14" s="1"/>
  <c r="U508" i="14" s="1"/>
  <c r="U509" i="14" s="1"/>
  <c r="U510" i="14" s="1"/>
  <c r="U511" i="14" s="1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180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2" i="14"/>
  <c r="A4" i="8" l="1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1" i="11" a="1"/>
  <c r="A1" i="11" s="1"/>
  <c r="Q3" i="14" a="1"/>
  <c r="Q3" i="14" s="1"/>
  <c r="Q4" i="14" a="1"/>
  <c r="Q4" i="14" s="1"/>
  <c r="Q5" i="14" a="1"/>
  <c r="Q5" i="14" s="1"/>
  <c r="Q6" i="14" a="1"/>
  <c r="Q6" i="14" s="1"/>
  <c r="Q7" i="14" a="1"/>
  <c r="Q7" i="14" s="1"/>
  <c r="T7" i="14" s="1"/>
  <c r="O7" i="14" s="1"/>
  <c r="P7" i="14" s="1"/>
  <c r="Q8" i="14" a="1"/>
  <c r="Q8" i="14" s="1"/>
  <c r="T8" i="14" s="1"/>
  <c r="O8" i="14" s="1"/>
  <c r="P8" i="14" s="1"/>
  <c r="Q9" i="14" a="1"/>
  <c r="Q9" i="14" s="1"/>
  <c r="T9" i="14" s="1"/>
  <c r="O9" i="14" s="1"/>
  <c r="P9" i="14" s="1"/>
  <c r="Q10" i="14" a="1"/>
  <c r="Q10" i="14" s="1"/>
  <c r="Q11" i="14" a="1"/>
  <c r="Q12" i="14" a="1"/>
  <c r="Q12" i="14" s="1"/>
  <c r="Q13" i="14" a="1"/>
  <c r="Q13" i="14" s="1"/>
  <c r="Q14" i="14" a="1"/>
  <c r="Q14" i="14" s="1"/>
  <c r="T14" i="14" s="1"/>
  <c r="O14" i="14" s="1"/>
  <c r="P14" i="14" s="1"/>
  <c r="Q15" i="14" a="1"/>
  <c r="Q15" i="14" s="1"/>
  <c r="Q16" i="14" a="1"/>
  <c r="Q16" i="14" s="1"/>
  <c r="T16" i="14" s="1"/>
  <c r="O16" i="14" s="1"/>
  <c r="P16" i="14" s="1"/>
  <c r="Q17" i="14" a="1"/>
  <c r="Q17" i="14" s="1"/>
  <c r="T17" i="14" s="1"/>
  <c r="O17" i="14" s="1"/>
  <c r="P17" i="14" s="1"/>
  <c r="Q18" i="14" a="1"/>
  <c r="Q18" i="14" s="1"/>
  <c r="Q19" i="14" a="1"/>
  <c r="Q19" i="14" s="1"/>
  <c r="Q20" i="14" a="1"/>
  <c r="Q20" i="14" s="1"/>
  <c r="T20" i="14" s="1"/>
  <c r="O20" i="14" s="1"/>
  <c r="P20" i="14" s="1"/>
  <c r="Q21" i="14" a="1"/>
  <c r="Q21" i="14" s="1"/>
  <c r="Q22" i="14" a="1"/>
  <c r="Q22" i="14" s="1"/>
  <c r="T22" i="14" s="1"/>
  <c r="O22" i="14" s="1"/>
  <c r="P22" i="14" s="1"/>
  <c r="Q23" i="14" a="1"/>
  <c r="Q24" i="14" a="1"/>
  <c r="Q24" i="14" s="1"/>
  <c r="Q25" i="14" a="1"/>
  <c r="Q25" i="14" s="1"/>
  <c r="Q26" i="14" a="1"/>
  <c r="Q26" i="14" s="1"/>
  <c r="Q27" i="14" a="1"/>
  <c r="Q27" i="14" s="1"/>
  <c r="Q28" i="14" a="1"/>
  <c r="Q29" i="14" a="1"/>
  <c r="Q29" i="14" s="1"/>
  <c r="Q30" i="14" a="1"/>
  <c r="Q30" i="14" s="1"/>
  <c r="Q31" i="14" a="1"/>
  <c r="Q31" i="14" s="1"/>
  <c r="Q32" i="14" a="1"/>
  <c r="Q32" i="14" s="1"/>
  <c r="Q33" i="14" a="1"/>
  <c r="Q33" i="14" s="1"/>
  <c r="T33" i="14" s="1"/>
  <c r="O33" i="14" s="1"/>
  <c r="P33" i="14" s="1"/>
  <c r="Q34" i="14" a="1"/>
  <c r="Q34" i="14" s="1"/>
  <c r="Q35" i="14" a="1"/>
  <c r="Q35" i="14" s="1"/>
  <c r="Q36" i="14" a="1"/>
  <c r="Q36" i="14" s="1"/>
  <c r="Q37" i="14" a="1"/>
  <c r="Q37" i="14" s="1"/>
  <c r="Q38" i="14" a="1"/>
  <c r="Q39" i="14" a="1"/>
  <c r="Q39" i="14" s="1"/>
  <c r="Q40" i="14" a="1"/>
  <c r="Q40" i="14" s="1"/>
  <c r="T40" i="14" s="1"/>
  <c r="O40" i="14" s="1"/>
  <c r="P40" i="14" s="1"/>
  <c r="Q41" i="14" a="1"/>
  <c r="Q41" i="14" s="1"/>
  <c r="T41" i="14" s="1"/>
  <c r="O41" i="14" s="1"/>
  <c r="P41" i="14" s="1"/>
  <c r="Q42" i="14" a="1"/>
  <c r="Q43" i="14" a="1"/>
  <c r="Q43" i="14" s="1"/>
  <c r="T43" i="14" s="1"/>
  <c r="O43" i="14" s="1"/>
  <c r="P43" i="14" s="1"/>
  <c r="Q44" i="14" a="1"/>
  <c r="Q44" i="14" s="1"/>
  <c r="Q45" i="14" a="1"/>
  <c r="Q45" i="14" s="1"/>
  <c r="T45" i="14" s="1"/>
  <c r="O45" i="14" s="1"/>
  <c r="P45" i="14" s="1"/>
  <c r="Q46" i="14" a="1"/>
  <c r="Q47" i="14" a="1"/>
  <c r="Q47" i="14" s="1"/>
  <c r="T47" i="14" s="1"/>
  <c r="O47" i="14" s="1"/>
  <c r="P47" i="14" s="1"/>
  <c r="Q48" i="14" a="1"/>
  <c r="Q48" i="14" s="1"/>
  <c r="Q49" i="14" a="1"/>
  <c r="Q49" i="14" s="1"/>
  <c r="Q50" i="14" a="1"/>
  <c r="Q51" i="14" a="1"/>
  <c r="Q51" i="14" s="1"/>
  <c r="Q52" i="14" a="1"/>
  <c r="Q52" i="14" s="1"/>
  <c r="Q53" i="14" a="1"/>
  <c r="Q53" i="14" s="1"/>
  <c r="T53" i="14" s="1"/>
  <c r="O53" i="14" s="1"/>
  <c r="P53" i="14" s="1"/>
  <c r="Q54" i="14" a="1"/>
  <c r="Q55" i="14" a="1"/>
  <c r="Q55" i="14" s="1"/>
  <c r="T55" i="14" s="1"/>
  <c r="O55" i="14" s="1"/>
  <c r="P55" i="14" s="1"/>
  <c r="Q56" i="14" a="1"/>
  <c r="Q56" i="14" s="1"/>
  <c r="Q57" i="14" a="1"/>
  <c r="Q57" i="14" s="1"/>
  <c r="Q58" i="14" a="1"/>
  <c r="Q59" i="14" a="1"/>
  <c r="Q59" i="14" s="1"/>
  <c r="T59" i="14" s="1"/>
  <c r="O59" i="14" s="1"/>
  <c r="P59" i="14" s="1"/>
  <c r="Q60" i="14" a="1"/>
  <c r="Q60" i="14" s="1"/>
  <c r="Q61" i="14" a="1"/>
  <c r="Q61" i="14" s="1"/>
  <c r="Q62" i="14" a="1"/>
  <c r="Q63" i="14" a="1"/>
  <c r="Q63" i="14" s="1"/>
  <c r="T63" i="14" s="1"/>
  <c r="O63" i="14" s="1"/>
  <c r="P63" i="14" s="1"/>
  <c r="Q64" i="14" a="1"/>
  <c r="Q64" i="14" s="1"/>
  <c r="Q65" i="14" a="1"/>
  <c r="Q65" i="14" s="1"/>
  <c r="T65" i="14" s="1"/>
  <c r="O65" i="14" s="1"/>
  <c r="P65" i="14" s="1"/>
  <c r="Q66" i="14" a="1"/>
  <c r="Q66" i="14" s="1"/>
  <c r="Q67" i="14" a="1"/>
  <c r="Q67" i="14" s="1"/>
  <c r="T67" i="14" s="1"/>
  <c r="O67" i="14" s="1"/>
  <c r="P67" i="14" s="1"/>
  <c r="Q68" i="14" a="1"/>
  <c r="Q68" i="14" s="1"/>
  <c r="Q69" i="14" a="1"/>
  <c r="Q69" i="14" s="1"/>
  <c r="Q70" i="14" a="1"/>
  <c r="Q70" i="14" s="1"/>
  <c r="Q71" i="14" a="1"/>
  <c r="Q71" i="14" s="1"/>
  <c r="Q72" i="14" a="1"/>
  <c r="Q72" i="14" s="1"/>
  <c r="Q73" i="14" a="1"/>
  <c r="Q73" i="14" s="1"/>
  <c r="T73" i="14" s="1"/>
  <c r="O73" i="14" s="1"/>
  <c r="P73" i="14" s="1"/>
  <c r="Q74" i="14" a="1"/>
  <c r="Q74" i="14" s="1"/>
  <c r="Q75" i="14" a="1"/>
  <c r="Q75" i="14" s="1"/>
  <c r="Q76" i="14" a="1"/>
  <c r="Q77" i="14" a="1"/>
  <c r="Q77" i="14" s="1"/>
  <c r="Q78" i="14" a="1"/>
  <c r="Q78" i="14" s="1"/>
  <c r="Q79" i="14" a="1"/>
  <c r="Q79" i="14" s="1"/>
  <c r="T79" i="14" s="1"/>
  <c r="O79" i="14" s="1"/>
  <c r="P79" i="14" s="1"/>
  <c r="Q80" i="14" a="1"/>
  <c r="Q81" i="14" a="1"/>
  <c r="Q81" i="14" s="1"/>
  <c r="T81" i="14" s="1"/>
  <c r="O81" i="14" s="1"/>
  <c r="P81" i="14" s="1"/>
  <c r="Q82" i="14" a="1"/>
  <c r="Q82" i="14" s="1"/>
  <c r="Q83" i="14" a="1"/>
  <c r="Q83" i="14" s="1"/>
  <c r="Q84" i="14" a="1"/>
  <c r="Q85" i="14" a="1"/>
  <c r="Q85" i="14" s="1"/>
  <c r="T85" i="14" s="1"/>
  <c r="O85" i="14" s="1"/>
  <c r="P85" i="14" s="1"/>
  <c r="Q86" i="14" a="1"/>
  <c r="Q86" i="14" s="1"/>
  <c r="T86" i="14" s="1"/>
  <c r="O86" i="14" s="1"/>
  <c r="P86" i="14" s="1"/>
  <c r="Q87" i="14" a="1"/>
  <c r="Q87" i="14" s="1"/>
  <c r="T87" i="14" s="1"/>
  <c r="O87" i="14" s="1"/>
  <c r="P87" i="14" s="1"/>
  <c r="Q88" i="14" a="1"/>
  <c r="Q89" i="14" a="1"/>
  <c r="Q89" i="14" s="1"/>
  <c r="Q90" i="14" a="1"/>
  <c r="Q90" i="14" s="1"/>
  <c r="Q91" i="14" a="1"/>
  <c r="Q91" i="14" s="1"/>
  <c r="Q92" i="14" a="1"/>
  <c r="Q93" i="14" a="1"/>
  <c r="Q93" i="14" s="1"/>
  <c r="Q94" i="14" a="1"/>
  <c r="Q94" i="14" s="1"/>
  <c r="Q95" i="14" a="1"/>
  <c r="Q95" i="14" s="1"/>
  <c r="Q96" i="14" a="1"/>
  <c r="Q97" i="14" a="1"/>
  <c r="Q97" i="14" s="1"/>
  <c r="Q98" i="14" a="1"/>
  <c r="Q98" i="14" s="1"/>
  <c r="Q99" i="14" a="1"/>
  <c r="Q99" i="14" s="1"/>
  <c r="Q100" i="14" a="1"/>
  <c r="Q101" i="14" a="1"/>
  <c r="Q101" i="14" s="1"/>
  <c r="T101" i="14" s="1"/>
  <c r="O101" i="14" s="1"/>
  <c r="P101" i="14" s="1"/>
  <c r="Q102" i="14" a="1"/>
  <c r="Q102" i="14" s="1"/>
  <c r="Q103" i="14" a="1"/>
  <c r="Q103" i="14" s="1"/>
  <c r="Q104" i="14" a="1"/>
  <c r="Q105" i="14" a="1"/>
  <c r="Q105" i="14" s="1"/>
  <c r="Q106" i="14" a="1"/>
  <c r="Q106" i="14" s="1"/>
  <c r="Q107" i="14" a="1"/>
  <c r="Q107" i="14" s="1"/>
  <c r="Q108" i="14" a="1"/>
  <c r="Q109" i="14" a="1"/>
  <c r="Q109" i="14" s="1"/>
  <c r="Q110" i="14" a="1"/>
  <c r="Q110" i="14" s="1"/>
  <c r="Q111" i="14" a="1"/>
  <c r="Q111" i="14" s="1"/>
  <c r="Q112" i="14" a="1"/>
  <c r="Q113" i="14" a="1"/>
  <c r="Q113" i="14" s="1"/>
  <c r="Q114" i="14" a="1"/>
  <c r="Q114" i="14" s="1"/>
  <c r="Q115" i="14" a="1"/>
  <c r="Q115" i="14" s="1"/>
  <c r="Q116" i="14" a="1"/>
  <c r="Q117" i="14" a="1"/>
  <c r="Q117" i="14" s="1"/>
  <c r="Q118" i="14" a="1"/>
  <c r="Q118" i="14" s="1"/>
  <c r="Q119" i="14" a="1"/>
  <c r="Q119" i="14" s="1"/>
  <c r="Q120" i="14" a="1"/>
  <c r="Q121" i="14" a="1"/>
  <c r="Q121" i="14" s="1"/>
  <c r="Q122" i="14" a="1"/>
  <c r="Q122" i="14" s="1"/>
  <c r="Q123" i="14" a="1"/>
  <c r="Q123" i="14" s="1"/>
  <c r="Q124" i="14" a="1"/>
  <c r="Q125" i="14" a="1"/>
  <c r="Q125" i="14" s="1"/>
  <c r="Q126" i="14" a="1"/>
  <c r="Q126" i="14" s="1"/>
  <c r="Q127" i="14" a="1"/>
  <c r="Q127" i="14" s="1"/>
  <c r="Q128" i="14" a="1"/>
  <c r="Q129" i="14" a="1"/>
  <c r="Q129" i="14" s="1"/>
  <c r="Q130" i="14" a="1"/>
  <c r="Q130" i="14" s="1"/>
  <c r="Q131" i="14" a="1"/>
  <c r="Q131" i="14" s="1"/>
  <c r="T131" i="14" s="1"/>
  <c r="O131" i="14" s="1"/>
  <c r="P131" i="14" s="1"/>
  <c r="Q132" i="14" a="1"/>
  <c r="Q133" i="14" a="1"/>
  <c r="Q133" i="14" s="1"/>
  <c r="Q134" i="14" a="1"/>
  <c r="Q134" i="14" s="1"/>
  <c r="Q135" i="14" a="1"/>
  <c r="Q135" i="14" s="1"/>
  <c r="T135" i="14" s="1"/>
  <c r="O135" i="14" s="1"/>
  <c r="P135" i="14" s="1"/>
  <c r="Q136" i="14" a="1"/>
  <c r="Q137" i="14" a="1"/>
  <c r="Q137" i="14" s="1"/>
  <c r="Q138" i="14" a="1"/>
  <c r="Q138" i="14" s="1"/>
  <c r="Q139" i="14" a="1"/>
  <c r="Q139" i="14" s="1"/>
  <c r="Q140" i="14" a="1"/>
  <c r="Q141" i="14" a="1"/>
  <c r="Q141" i="14" s="1"/>
  <c r="Q142" i="14" a="1"/>
  <c r="Q142" i="14" s="1"/>
  <c r="Q143" i="14" a="1"/>
  <c r="Q143" i="14" s="1"/>
  <c r="Q144" i="14" a="1"/>
  <c r="Q145" i="14" a="1"/>
  <c r="Q145" i="14" s="1"/>
  <c r="Q146" i="14" a="1"/>
  <c r="Q146" i="14" s="1"/>
  <c r="Q147" i="14" a="1"/>
  <c r="Q147" i="14" s="1"/>
  <c r="Q148" i="14" a="1"/>
  <c r="Q149" i="14" a="1"/>
  <c r="Q149" i="14" s="1"/>
  <c r="Q150" i="14" a="1"/>
  <c r="Q150" i="14" s="1"/>
  <c r="Q151" i="14" a="1"/>
  <c r="Q151" i="14" s="1"/>
  <c r="Q152" i="14" a="1"/>
  <c r="Q153" i="14" a="1"/>
  <c r="Q153" i="14" s="1"/>
  <c r="Q154" i="14" a="1"/>
  <c r="Q155" i="14" a="1"/>
  <c r="Q155" i="14" s="1"/>
  <c r="Q156" i="14" a="1"/>
  <c r="Q157" i="14" a="1"/>
  <c r="Q157" i="14" s="1"/>
  <c r="Q158" i="14" a="1"/>
  <c r="Q158" i="14" s="1"/>
  <c r="Q159" i="14" a="1"/>
  <c r="Q159" i="14" s="1"/>
  <c r="Q160" i="14" a="1"/>
  <c r="Q161" i="14" a="1"/>
  <c r="Q161" i="14" s="1"/>
  <c r="Q162" i="14" a="1"/>
  <c r="Q162" i="14" s="1"/>
  <c r="Q163" i="14" a="1"/>
  <c r="Q163" i="14" s="1"/>
  <c r="Q164" i="14" a="1"/>
  <c r="Q165" i="14" a="1"/>
  <c r="Q165" i="14" s="1"/>
  <c r="Q166" i="14" a="1"/>
  <c r="Q166" i="14" s="1"/>
  <c r="Q167" i="14" a="1"/>
  <c r="Q167" i="14" s="1"/>
  <c r="Q168" i="14" a="1"/>
  <c r="Q169" i="14" a="1"/>
  <c r="Q169" i="14" s="1"/>
  <c r="Q170" i="14" a="1"/>
  <c r="Q170" i="14" s="1"/>
  <c r="Q171" i="14" a="1"/>
  <c r="Q171" i="14" s="1"/>
  <c r="Q172" i="14" a="1"/>
  <c r="Q173" i="14" a="1"/>
  <c r="Q173" i="14" s="1"/>
  <c r="Q174" i="14" a="1"/>
  <c r="Q174" i="14" s="1"/>
  <c r="Q175" i="14" a="1"/>
  <c r="Q175" i="14" s="1"/>
  <c r="Q176" i="14" a="1"/>
  <c r="Q177" i="14" a="1"/>
  <c r="Q177" i="14" s="1"/>
  <c r="Q178" i="14" a="1"/>
  <c r="Q178" i="14" s="1"/>
  <c r="Q179" i="14" a="1"/>
  <c r="Q179" i="14" s="1"/>
  <c r="Q180" i="14" a="1"/>
  <c r="Q181" i="14" a="1"/>
  <c r="Q181" i="14" s="1"/>
  <c r="Q182" i="14" a="1"/>
  <c r="Q182" i="14" s="1"/>
  <c r="Q183" i="14" a="1"/>
  <c r="Q183" i="14" s="1"/>
  <c r="Q184" i="14" a="1"/>
  <c r="Q185" i="14" a="1"/>
  <c r="Q185" i="14" s="1"/>
  <c r="Q186" i="14" a="1"/>
  <c r="Q187" i="14" a="1"/>
  <c r="Q187" i="14" s="1"/>
  <c r="T187" i="14" s="1"/>
  <c r="O187" i="14" s="1"/>
  <c r="P187" i="14" s="1"/>
  <c r="Q188" i="14" a="1"/>
  <c r="Q189" i="14" a="1"/>
  <c r="Q189" i="14" s="1"/>
  <c r="Q190" i="14" a="1"/>
  <c r="Q190" i="14" s="1"/>
  <c r="Q191" i="14" a="1"/>
  <c r="Q191" i="14" s="1"/>
  <c r="Q192" i="14" a="1"/>
  <c r="Q193" i="14" a="1"/>
  <c r="Q193" i="14" s="1"/>
  <c r="Q194" i="14" a="1"/>
  <c r="Q194" i="14" s="1"/>
  <c r="Q195" i="14" a="1"/>
  <c r="Q195" i="14" s="1"/>
  <c r="Q196" i="14" a="1"/>
  <c r="Q197" i="14" a="1"/>
  <c r="Q197" i="14" s="1"/>
  <c r="Q198" i="14" a="1"/>
  <c r="Q198" i="14" s="1"/>
  <c r="Q199" i="14" a="1"/>
  <c r="Q199" i="14" s="1"/>
  <c r="Q200" i="14" a="1"/>
  <c r="Q200" i="14" s="1"/>
  <c r="Q201" i="14" a="1"/>
  <c r="Q201" i="14" s="1"/>
  <c r="Q202" i="14" a="1"/>
  <c r="Q202" i="14" s="1"/>
  <c r="Q203" i="14" a="1"/>
  <c r="Q203" i="14" s="1"/>
  <c r="Q204" i="14" a="1"/>
  <c r="Q204" i="14" s="1"/>
  <c r="Q205" i="14" a="1"/>
  <c r="Q205" i="14" s="1"/>
  <c r="Q206" i="14" a="1"/>
  <c r="Q206" i="14" s="1"/>
  <c r="Q207" i="14" a="1"/>
  <c r="Q207" i="14" s="1"/>
  <c r="Q208" i="14" a="1"/>
  <c r="Q208" i="14" s="1"/>
  <c r="Q209" i="14" a="1"/>
  <c r="Q209" i="14" s="1"/>
  <c r="Q210" i="14" a="1"/>
  <c r="Q210" i="14" s="1"/>
  <c r="Q211" i="14" a="1"/>
  <c r="Q211" i="14" s="1"/>
  <c r="Q212" i="14" a="1"/>
  <c r="Q212" i="14" s="1"/>
  <c r="Q213" i="14" a="1"/>
  <c r="Q213" i="14" s="1"/>
  <c r="Q214" i="14" a="1"/>
  <c r="Q214" i="14" s="1"/>
  <c r="Q215" i="14" a="1"/>
  <c r="Q215" i="14" s="1"/>
  <c r="Q216" i="14" a="1"/>
  <c r="Q217" i="14" a="1"/>
  <c r="Q217" i="14" s="1"/>
  <c r="Q218" i="14" a="1"/>
  <c r="Q218" i="14" s="1"/>
  <c r="Q219" i="14" a="1"/>
  <c r="Q219" i="14" s="1"/>
  <c r="Q220" i="14" a="1"/>
  <c r="Q220" i="14" s="1"/>
  <c r="Q221" i="14" a="1"/>
  <c r="Q221" i="14" s="1"/>
  <c r="Q222" i="14" a="1"/>
  <c r="Q223" i="14" a="1"/>
  <c r="Q223" i="14" s="1"/>
  <c r="Q224" i="14" a="1"/>
  <c r="Q224" i="14" s="1"/>
  <c r="Q225" i="14" a="1"/>
  <c r="Q225" i="14" s="1"/>
  <c r="Q226" i="14" a="1"/>
  <c r="Q226" i="14" s="1"/>
  <c r="Q227" i="14" a="1"/>
  <c r="Q228" i="14" a="1"/>
  <c r="Q228" i="14" s="1"/>
  <c r="Q229" i="14" a="1"/>
  <c r="Q229" i="14" s="1"/>
  <c r="Q230" i="14" a="1"/>
  <c r="Q230" i="14" s="1"/>
  <c r="Q231" i="14" a="1"/>
  <c r="Q231" i="14" s="1"/>
  <c r="Q232" i="14" a="1"/>
  <c r="Q232" i="14" s="1"/>
  <c r="Q233" i="14" a="1"/>
  <c r="Q234" i="14" a="1"/>
  <c r="Q234" i="14" s="1"/>
  <c r="Q235" i="14" a="1"/>
  <c r="Q235" i="14" s="1"/>
  <c r="Q236" i="14" a="1"/>
  <c r="Q236" i="14" s="1"/>
  <c r="Q237" i="14" a="1"/>
  <c r="Q237" i="14" s="1"/>
  <c r="Q238" i="14" a="1"/>
  <c r="Q238" i="14" s="1"/>
  <c r="T238" i="14" s="1"/>
  <c r="O238" i="14" s="1"/>
  <c r="P238" i="14" s="1"/>
  <c r="Q239" i="14" a="1"/>
  <c r="Q240" i="14" a="1"/>
  <c r="Q240" i="14" s="1"/>
  <c r="Q241" i="14" a="1"/>
  <c r="Q241" i="14" s="1"/>
  <c r="Q242" i="14" a="1"/>
  <c r="Q242" i="14" s="1"/>
  <c r="Q243" i="14" a="1"/>
  <c r="Q243" i="14" s="1"/>
  <c r="Q244" i="14" a="1"/>
  <c r="Q244" i="14" s="1"/>
  <c r="Q245" i="14" a="1"/>
  <c r="Q245" i="14" s="1"/>
  <c r="Q246" i="14" a="1"/>
  <c r="Q246" i="14" s="1"/>
  <c r="Q247" i="14" a="1"/>
  <c r="Q247" i="14" s="1"/>
  <c r="Q248" i="14" a="1"/>
  <c r="Q248" i="14" s="1"/>
  <c r="Q249" i="14" a="1"/>
  <c r="Q249" i="14" s="1"/>
  <c r="Q250" i="14" a="1"/>
  <c r="Q251" i="14" a="1"/>
  <c r="Q251" i="14" s="1"/>
  <c r="Q252" i="14" a="1"/>
  <c r="Q252" i="14" s="1"/>
  <c r="Q253" i="14" a="1"/>
  <c r="Q253" i="14" s="1"/>
  <c r="Q254" i="14" a="1"/>
  <c r="Q254" i="14" s="1"/>
  <c r="Q255" i="14" a="1"/>
  <c r="Q256" i="14" a="1"/>
  <c r="Q256" i="14" s="1"/>
  <c r="Q257" i="14" a="1"/>
  <c r="Q257" i="14" s="1"/>
  <c r="Q258" i="14" a="1"/>
  <c r="Q259" i="14" a="1"/>
  <c r="Q259" i="14" s="1"/>
  <c r="Q260" i="14" a="1"/>
  <c r="Q260" i="14" s="1"/>
  <c r="Q261" i="14" a="1"/>
  <c r="Q261" i="14" s="1"/>
  <c r="Q262" i="14" a="1"/>
  <c r="Q262" i="14" s="1"/>
  <c r="Q263" i="14" a="1"/>
  <c r="Q264" i="14" a="1"/>
  <c r="Q264" i="14" s="1"/>
  <c r="Q265" i="14" a="1"/>
  <c r="Q265" i="14" s="1"/>
  <c r="Q266" i="14" a="1"/>
  <c r="Q267" i="14" a="1"/>
  <c r="Q267" i="14" s="1"/>
  <c r="Q268" i="14" a="1"/>
  <c r="Q268" i="14" s="1"/>
  <c r="Q269" i="14" a="1"/>
  <c r="Q269" i="14" s="1"/>
  <c r="Q270" i="14" a="1"/>
  <c r="Q270" i="14" s="1"/>
  <c r="T270" i="14" s="1"/>
  <c r="O270" i="14" s="1"/>
  <c r="P270" i="14" s="1"/>
  <c r="Q271" i="14" a="1"/>
  <c r="Q272" i="14" a="1"/>
  <c r="Q272" i="14" s="1"/>
  <c r="Q273" i="14" a="1"/>
  <c r="Q273" i="14" s="1"/>
  <c r="Q274" i="14" a="1"/>
  <c r="Q275" i="14" a="1"/>
  <c r="Q275" i="14" s="1"/>
  <c r="Q276" i="14" a="1"/>
  <c r="Q276" i="14" s="1"/>
  <c r="Q277" i="14" a="1"/>
  <c r="Q277" i="14" s="1"/>
  <c r="Q278" i="14" a="1"/>
  <c r="Q278" i="14" s="1"/>
  <c r="Q279" i="14" a="1"/>
  <c r="Q280" i="14" a="1"/>
  <c r="Q280" i="14" s="1"/>
  <c r="Q281" i="14" a="1"/>
  <c r="Q281" i="14" s="1"/>
  <c r="Q282" i="14" a="1"/>
  <c r="Q283" i="14" a="1"/>
  <c r="Q283" i="14" s="1"/>
  <c r="Q284" i="14" a="1"/>
  <c r="Q284" i="14" s="1"/>
  <c r="Q285" i="14" a="1"/>
  <c r="Q285" i="14" s="1"/>
  <c r="Q286" i="14" a="1"/>
  <c r="Q286" i="14" s="1"/>
  <c r="Q287" i="14" a="1"/>
  <c r="Q288" i="14" a="1"/>
  <c r="Q288" i="14" s="1"/>
  <c r="Q289" i="14" a="1"/>
  <c r="Q289" i="14" s="1"/>
  <c r="Q290" i="14" a="1"/>
  <c r="Q291" i="14" a="1"/>
  <c r="Q291" i="14" s="1"/>
  <c r="Q292" i="14" a="1"/>
  <c r="Q292" i="14" s="1"/>
  <c r="Q293" i="14" a="1"/>
  <c r="Q293" i="14" s="1"/>
  <c r="Q294" i="14" a="1"/>
  <c r="Q294" i="14" s="1"/>
  <c r="Q295" i="14" a="1"/>
  <c r="Q296" i="14" a="1"/>
  <c r="Q296" i="14" s="1"/>
  <c r="Q297" i="14" a="1"/>
  <c r="Q297" i="14" s="1"/>
  <c r="Q298" i="14" a="1"/>
  <c r="Q299" i="14" a="1"/>
  <c r="Q299" i="14" s="1"/>
  <c r="Q300" i="14" a="1"/>
  <c r="Q300" i="14" s="1"/>
  <c r="Q301" i="14" a="1"/>
  <c r="Q301" i="14" s="1"/>
  <c r="Q302" i="14" a="1"/>
  <c r="Q302" i="14" s="1"/>
  <c r="Q303" i="14" a="1"/>
  <c r="Q304" i="14" a="1"/>
  <c r="Q304" i="14" s="1"/>
  <c r="Q305" i="14" a="1"/>
  <c r="Q305" i="14" s="1"/>
  <c r="Q306" i="14" a="1"/>
  <c r="Q307" i="14" a="1"/>
  <c r="Q307" i="14" s="1"/>
  <c r="Q308" i="14" a="1"/>
  <c r="Q308" i="14" s="1"/>
  <c r="Q309" i="14" a="1"/>
  <c r="Q309" i="14" s="1"/>
  <c r="Q310" i="14" a="1"/>
  <c r="Q310" i="14" s="1"/>
  <c r="Q311" i="14" a="1"/>
  <c r="Q312" i="14" a="1"/>
  <c r="Q312" i="14" s="1"/>
  <c r="Q313" i="14" a="1"/>
  <c r="Q313" i="14" s="1"/>
  <c r="Q314" i="14" a="1"/>
  <c r="Q315" i="14" a="1"/>
  <c r="Q315" i="14" s="1"/>
  <c r="Q316" i="14" a="1"/>
  <c r="Q316" i="14" s="1"/>
  <c r="Q317" i="14" a="1"/>
  <c r="Q317" i="14" s="1"/>
  <c r="Q318" i="14" a="1"/>
  <c r="Q318" i="14" s="1"/>
  <c r="Q319" i="14" a="1"/>
  <c r="Q320" i="14" a="1"/>
  <c r="Q320" i="14" s="1"/>
  <c r="Q321" i="14" a="1"/>
  <c r="Q321" i="14" s="1"/>
  <c r="Q322" i="14" a="1"/>
  <c r="Q323" i="14" a="1"/>
  <c r="Q323" i="14" s="1"/>
  <c r="Q324" i="14" a="1"/>
  <c r="Q324" i="14" s="1"/>
  <c r="Q325" i="14" a="1"/>
  <c r="Q325" i="14" s="1"/>
  <c r="Q326" i="14" a="1"/>
  <c r="Q326" i="14" s="1"/>
  <c r="Q327" i="14" a="1"/>
  <c r="Q328" i="14" a="1"/>
  <c r="Q328" i="14" s="1"/>
  <c r="Q329" i="14" a="1"/>
  <c r="Q329" i="14" s="1"/>
  <c r="Q330" i="14" a="1"/>
  <c r="Q331" i="14" a="1"/>
  <c r="Q331" i="14" s="1"/>
  <c r="Q332" i="14" a="1"/>
  <c r="Q332" i="14" s="1"/>
  <c r="Q333" i="14" a="1"/>
  <c r="Q333" i="14" s="1"/>
  <c r="Q334" i="14" a="1"/>
  <c r="Q334" i="14" s="1"/>
  <c r="Q335" i="14" a="1"/>
  <c r="Q336" i="14" a="1"/>
  <c r="Q336" i="14" s="1"/>
  <c r="Q337" i="14" a="1"/>
  <c r="Q337" i="14" s="1"/>
  <c r="Q338" i="14" a="1"/>
  <c r="Q339" i="14" a="1"/>
  <c r="Q339" i="14" s="1"/>
  <c r="Q340" i="14" a="1"/>
  <c r="Q340" i="14" s="1"/>
  <c r="Q341" i="14" a="1"/>
  <c r="Q341" i="14" s="1"/>
  <c r="Q342" i="14" a="1"/>
  <c r="Q342" i="14" s="1"/>
  <c r="Q343" i="14" a="1"/>
  <c r="Q344" i="14" a="1"/>
  <c r="Q344" i="14" s="1"/>
  <c r="Q345" i="14" a="1"/>
  <c r="Q345" i="14" s="1"/>
  <c r="Q346" i="14" a="1"/>
  <c r="Q346" i="14" s="1"/>
  <c r="Q347" i="14" a="1"/>
  <c r="Q347" i="14" s="1"/>
  <c r="Q348" i="14" a="1"/>
  <c r="Q349" i="14" a="1"/>
  <c r="Q349" i="14" s="1"/>
  <c r="Q350" i="14" a="1"/>
  <c r="Q350" i="14" s="1"/>
  <c r="T350" i="14" s="1"/>
  <c r="O350" i="14" s="1"/>
  <c r="P350" i="14" s="1"/>
  <c r="Q351" i="14" a="1"/>
  <c r="Q351" i="14" s="1"/>
  <c r="Q352" i="14" a="1"/>
  <c r="Q352" i="14" s="1"/>
  <c r="T352" i="14" s="1"/>
  <c r="O352" i="14" s="1"/>
  <c r="P352" i="14" s="1"/>
  <c r="Q353" i="14" a="1"/>
  <c r="Q353" i="14" s="1"/>
  <c r="Q354" i="14" a="1"/>
  <c r="Q354" i="14" s="1"/>
  <c r="Q355" i="14" a="1"/>
  <c r="Q355" i="14" s="1"/>
  <c r="Q356" i="14" a="1"/>
  <c r="Q356" i="14" s="1"/>
  <c r="Q357" i="14" a="1"/>
  <c r="Q357" i="14" s="1"/>
  <c r="Q358" i="14" a="1"/>
  <c r="Q358" i="14" s="1"/>
  <c r="T358" i="14" s="1"/>
  <c r="O358" i="14" s="1"/>
  <c r="P358" i="14" s="1"/>
  <c r="Q359" i="14" a="1"/>
  <c r="Q359" i="14" s="1"/>
  <c r="Q360" i="14" a="1"/>
  <c r="Q360" i="14" s="1"/>
  <c r="Q361" i="14" a="1"/>
  <c r="Q361" i="14" s="1"/>
  <c r="Q362" i="14" a="1"/>
  <c r="Q362" i="14" s="1"/>
  <c r="T362" i="14" s="1"/>
  <c r="O362" i="14" s="1"/>
  <c r="P362" i="14" s="1"/>
  <c r="Q363" i="14" a="1"/>
  <c r="Q363" i="14" s="1"/>
  <c r="Q364" i="14" a="1"/>
  <c r="Q364" i="14" s="1"/>
  <c r="Q365" i="14" a="1"/>
  <c r="Q365" i="14" s="1"/>
  <c r="Q366" i="14" a="1"/>
  <c r="Q366" i="14" s="1"/>
  <c r="T366" i="14" s="1"/>
  <c r="O366" i="14" s="1"/>
  <c r="P366" i="14" s="1"/>
  <c r="Q367" i="14" a="1"/>
  <c r="Q367" i="14" s="1"/>
  <c r="Q368" i="14" a="1"/>
  <c r="Q368" i="14" s="1"/>
  <c r="Q369" i="14" a="1"/>
  <c r="Q370" i="14" a="1"/>
  <c r="Q370" i="14" s="1"/>
  <c r="T370" i="14" s="1"/>
  <c r="O370" i="14" s="1"/>
  <c r="P370" i="14" s="1"/>
  <c r="Q371" i="14" a="1"/>
  <c r="Q371" i="14" s="1"/>
  <c r="Q372" i="14" a="1"/>
  <c r="Q372" i="14" s="1"/>
  <c r="Q373" i="14" a="1"/>
  <c r="Q374" i="14" a="1"/>
  <c r="Q374" i="14" s="1"/>
  <c r="T374" i="14" s="1"/>
  <c r="O374" i="14" s="1"/>
  <c r="P374" i="14" s="1"/>
  <c r="Q375" i="14" a="1"/>
  <c r="Q375" i="14" s="1"/>
  <c r="Q376" i="14" a="1"/>
  <c r="Q376" i="14" s="1"/>
  <c r="T376" i="14" s="1"/>
  <c r="O376" i="14" s="1"/>
  <c r="P376" i="14" s="1"/>
  <c r="Q377" i="14" a="1"/>
  <c r="Q378" i="14" a="1"/>
  <c r="Q378" i="14" s="1"/>
  <c r="T378" i="14" s="1"/>
  <c r="O378" i="14" s="1"/>
  <c r="P378" i="14" s="1"/>
  <c r="Q379" i="14" a="1"/>
  <c r="Q379" i="14" s="1"/>
  <c r="Q380" i="14" a="1"/>
  <c r="Q380" i="14" s="1"/>
  <c r="Q381" i="14" a="1"/>
  <c r="Q382" i="14" a="1"/>
  <c r="Q382" i="14" s="1"/>
  <c r="Q383" i="14" a="1"/>
  <c r="Q383" i="14" s="1"/>
  <c r="Q384" i="14" a="1"/>
  <c r="Q384" i="14" s="1"/>
  <c r="Q385" i="14" a="1"/>
  <c r="Q386" i="14" a="1"/>
  <c r="Q386" i="14" s="1"/>
  <c r="Q387" i="14" a="1"/>
  <c r="Q387" i="14" s="1"/>
  <c r="Q388" i="14" a="1"/>
  <c r="Q388" i="14" s="1"/>
  <c r="Q389" i="14" a="1"/>
  <c r="Q390" i="14" a="1"/>
  <c r="Q390" i="14" s="1"/>
  <c r="T390" i="14" s="1"/>
  <c r="O390" i="14" s="1"/>
  <c r="P390" i="14" s="1"/>
  <c r="Q391" i="14" a="1"/>
  <c r="Q392" i="14" a="1"/>
  <c r="Q392" i="14" s="1"/>
  <c r="Q393" i="14" a="1"/>
  <c r="Q394" i="14" a="1"/>
  <c r="Q394" i="14" s="1"/>
  <c r="T394" i="14" s="1"/>
  <c r="O394" i="14" s="1"/>
  <c r="P394" i="14" s="1"/>
  <c r="Q395" i="14" a="1"/>
  <c r="Q396" i="14" a="1"/>
  <c r="Q396" i="14" s="1"/>
  <c r="Q397" i="14" a="1"/>
  <c r="Q398" i="14" a="1"/>
  <c r="Q398" i="14" s="1"/>
  <c r="T398" i="14" s="1"/>
  <c r="O398" i="14" s="1"/>
  <c r="P398" i="14" s="1"/>
  <c r="Q399" i="14" a="1"/>
  <c r="Q400" i="14" a="1"/>
  <c r="Q400" i="14" s="1"/>
  <c r="Q401" i="14" a="1"/>
  <c r="Q402" i="14" a="1"/>
  <c r="Q402" i="14" s="1"/>
  <c r="T402" i="14" s="1"/>
  <c r="O402" i="14" s="1"/>
  <c r="P402" i="14" s="1"/>
  <c r="Q403" i="14" a="1"/>
  <c r="Q404" i="14" a="1"/>
  <c r="Q404" i="14" s="1"/>
  <c r="Q405" i="14" a="1"/>
  <c r="Q406" i="14" a="1"/>
  <c r="Q406" i="14" s="1"/>
  <c r="T406" i="14" s="1"/>
  <c r="O406" i="14" s="1"/>
  <c r="P406" i="14" s="1"/>
  <c r="Q407" i="14" a="1"/>
  <c r="Q408" i="14" a="1"/>
  <c r="Q408" i="14" s="1"/>
  <c r="Q409" i="14" a="1"/>
  <c r="Q410" i="14" a="1"/>
  <c r="Q410" i="14" s="1"/>
  <c r="Q411" i="14" a="1"/>
  <c r="Q412" i="14" a="1"/>
  <c r="Q412" i="14" s="1"/>
  <c r="Q413" i="14" a="1"/>
  <c r="Q414" i="14" a="1"/>
  <c r="Q414" i="14" s="1"/>
  <c r="T414" i="14" s="1"/>
  <c r="O414" i="14" s="1"/>
  <c r="P414" i="14" s="1"/>
  <c r="Q415" i="14" a="1"/>
  <c r="Q416" i="14" a="1"/>
  <c r="Q416" i="14" s="1"/>
  <c r="T416" i="14" s="1"/>
  <c r="O416" i="14" s="1"/>
  <c r="P416" i="14" s="1"/>
  <c r="Q417" i="14" a="1"/>
  <c r="Q418" i="14" a="1"/>
  <c r="Q418" i="14" s="1"/>
  <c r="Q419" i="14" a="1"/>
  <c r="Q420" i="14" a="1"/>
  <c r="Q420" i="14" s="1"/>
  <c r="T420" i="14" s="1"/>
  <c r="O420" i="14" s="1"/>
  <c r="P420" i="14" s="1"/>
  <c r="Q421" i="14" a="1"/>
  <c r="Q422" i="14" a="1"/>
  <c r="Q422" i="14" s="1"/>
  <c r="T422" i="14" s="1"/>
  <c r="O422" i="14" s="1"/>
  <c r="P422" i="14" s="1"/>
  <c r="Q423" i="14" a="1"/>
  <c r="Q424" i="14" a="1"/>
  <c r="Q424" i="14" s="1"/>
  <c r="T424" i="14" s="1"/>
  <c r="O424" i="14" s="1"/>
  <c r="P424" i="14" s="1"/>
  <c r="Q425" i="14" a="1"/>
  <c r="Q426" i="14" a="1"/>
  <c r="Q426" i="14" s="1"/>
  <c r="T426" i="14" s="1"/>
  <c r="O426" i="14" s="1"/>
  <c r="P426" i="14" s="1"/>
  <c r="Q427" i="14" a="1"/>
  <c r="Q428" i="14" a="1"/>
  <c r="Q428" i="14" s="1"/>
  <c r="T428" i="14" s="1"/>
  <c r="O428" i="14" s="1"/>
  <c r="P428" i="14" s="1"/>
  <c r="Q429" i="14" a="1"/>
  <c r="Q430" i="14" a="1"/>
  <c r="Q430" i="14" s="1"/>
  <c r="T430" i="14" s="1"/>
  <c r="O430" i="14" s="1"/>
  <c r="P430" i="14" s="1"/>
  <c r="Q431" i="14" a="1"/>
  <c r="Q432" i="14" a="1"/>
  <c r="Q432" i="14" s="1"/>
  <c r="Q433" i="14" a="1"/>
  <c r="Q434" i="14" a="1"/>
  <c r="Q434" i="14" s="1"/>
  <c r="Q435" i="14" a="1"/>
  <c r="Q436" i="14" a="1"/>
  <c r="Q436" i="14" s="1"/>
  <c r="Q437" i="14" a="1"/>
  <c r="Q438" i="14" a="1"/>
  <c r="Q438" i="14" s="1"/>
  <c r="Q439" i="14" a="1"/>
  <c r="Q440" i="14" a="1"/>
  <c r="Q440" i="14" s="1"/>
  <c r="Q441" i="14" a="1"/>
  <c r="Q442" i="14" a="1"/>
  <c r="Q442" i="14" s="1"/>
  <c r="T442" i="14" s="1"/>
  <c r="O442" i="14" s="1"/>
  <c r="P442" i="14" s="1"/>
  <c r="Q443" i="14" a="1"/>
  <c r="Q444" i="14" a="1"/>
  <c r="Q444" i="14" s="1"/>
  <c r="Q445" i="14" a="1"/>
  <c r="Q446" i="14" a="1"/>
  <c r="Q446" i="14" s="1"/>
  <c r="T446" i="14" s="1"/>
  <c r="O446" i="14" s="1"/>
  <c r="P446" i="14" s="1"/>
  <c r="Q447" i="14" a="1"/>
  <c r="Q448" i="14" a="1"/>
  <c r="Q448" i="14" s="1"/>
  <c r="Q449" i="14" a="1"/>
  <c r="Q450" i="14" a="1"/>
  <c r="Q450" i="14" s="1"/>
  <c r="T450" i="14" s="1"/>
  <c r="O450" i="14" s="1"/>
  <c r="P450" i="14" s="1"/>
  <c r="Q451" i="14" a="1"/>
  <c r="Q452" i="14" a="1"/>
  <c r="Q452" i="14" s="1"/>
  <c r="Q453" i="14" a="1"/>
  <c r="Q454" i="14" a="1"/>
  <c r="Q454" i="14" s="1"/>
  <c r="Q455" i="14" a="1"/>
  <c r="Q456" i="14" a="1"/>
  <c r="Q456" i="14" s="1"/>
  <c r="Q457" i="14" a="1"/>
  <c r="Q458" i="14" a="1"/>
  <c r="Q458" i="14" s="1"/>
  <c r="Q459" i="14" a="1"/>
  <c r="Q460" i="14" a="1"/>
  <c r="Q460" i="14" s="1"/>
  <c r="Q461" i="14" a="1"/>
  <c r="Q462" i="14" a="1"/>
  <c r="Q462" i="14" s="1"/>
  <c r="Q463" i="14" a="1"/>
  <c r="Q464" i="14" a="1"/>
  <c r="Q464" i="14" s="1"/>
  <c r="Q465" i="14" a="1"/>
  <c r="Q466" i="14" a="1"/>
  <c r="Q466" i="14" s="1"/>
  <c r="Q467" i="14" a="1"/>
  <c r="Q468" i="14" a="1"/>
  <c r="Q468" i="14" s="1"/>
  <c r="Q469" i="14" a="1"/>
  <c r="Q470" i="14" a="1"/>
  <c r="Q470" i="14" s="1"/>
  <c r="T470" i="14" s="1"/>
  <c r="O470" i="14" s="1"/>
  <c r="P470" i="14" s="1"/>
  <c r="Q471" i="14" a="1"/>
  <c r="Q472" i="14" a="1"/>
  <c r="Q472" i="14" s="1"/>
  <c r="Q473" i="14" a="1"/>
  <c r="Q474" i="14" a="1"/>
  <c r="Q474" i="14" s="1"/>
  <c r="Q475" i="14" a="1"/>
  <c r="Q476" i="14" a="1"/>
  <c r="Q476" i="14" s="1"/>
  <c r="Q477" i="14" a="1"/>
  <c r="Q478" i="14" a="1"/>
  <c r="Q478" i="14" s="1"/>
  <c r="Q479" i="14" a="1"/>
  <c r="Q480" i="14" a="1"/>
  <c r="Q480" i="14" s="1"/>
  <c r="Q481" i="14" a="1"/>
  <c r="Q482" i="14" a="1"/>
  <c r="Q482" i="14" s="1"/>
  <c r="Q483" i="14" a="1"/>
  <c r="Q484" i="14" a="1"/>
  <c r="Q484" i="14" s="1"/>
  <c r="Q485" i="14" a="1"/>
  <c r="Q486" i="14" a="1"/>
  <c r="Q486" i="14" s="1"/>
  <c r="T486" i="14" s="1"/>
  <c r="O486" i="14" s="1"/>
  <c r="P486" i="14" s="1"/>
  <c r="Q487" i="14" a="1"/>
  <c r="Q488" i="14" a="1"/>
  <c r="Q488" i="14" s="1"/>
  <c r="Q489" i="14" a="1"/>
  <c r="Q490" i="14" a="1"/>
  <c r="Q490" i="14" s="1"/>
  <c r="T490" i="14" s="1"/>
  <c r="O490" i="14" s="1"/>
  <c r="P490" i="14" s="1"/>
  <c r="Q491" i="14" a="1"/>
  <c r="Q492" i="14" a="1"/>
  <c r="Q492" i="14" s="1"/>
  <c r="Q493" i="14" a="1"/>
  <c r="Q494" i="14" a="1"/>
  <c r="Q494" i="14" s="1"/>
  <c r="T494" i="14" s="1"/>
  <c r="O494" i="14" s="1"/>
  <c r="P494" i="14" s="1"/>
  <c r="Q495" i="14" a="1"/>
  <c r="Q496" i="14" a="1"/>
  <c r="Q496" i="14" s="1"/>
  <c r="Q497" i="14" a="1"/>
  <c r="Q498" i="14" a="1"/>
  <c r="Q498" i="14" s="1"/>
  <c r="Q499" i="14" a="1"/>
  <c r="Q500" i="14" a="1"/>
  <c r="Q500" i="14" s="1"/>
  <c r="Q501" i="14" a="1"/>
  <c r="Q502" i="14" a="1"/>
  <c r="Q502" i="14" s="1"/>
  <c r="Q503" i="14" a="1"/>
  <c r="Q504" i="14" a="1"/>
  <c r="Q504" i="14" s="1"/>
  <c r="Q505" i="14" a="1"/>
  <c r="Q506" i="14" a="1"/>
  <c r="Q506" i="14" s="1"/>
  <c r="Q507" i="14" a="1"/>
  <c r="Q508" i="14" a="1"/>
  <c r="Q508" i="14" s="1"/>
  <c r="Q509" i="14" a="1"/>
  <c r="Q510" i="14" a="1"/>
  <c r="Q510" i="14" s="1"/>
  <c r="Q511" i="14" a="1"/>
  <c r="Q2" i="14" a="1"/>
  <c r="A1" i="8"/>
  <c r="T254" i="14" l="1"/>
  <c r="O254" i="14" s="1"/>
  <c r="P254" i="14" s="1"/>
  <c r="T223" i="14"/>
  <c r="O223" i="14" s="1"/>
  <c r="P223" i="14" s="1"/>
  <c r="T286" i="14"/>
  <c r="O286" i="14" s="1"/>
  <c r="P286" i="14" s="1"/>
  <c r="T297" i="14"/>
  <c r="O297" i="14" s="1"/>
  <c r="P297" i="14" s="1"/>
  <c r="T337" i="14"/>
  <c r="O337" i="14" s="1"/>
  <c r="P337" i="14" s="1"/>
  <c r="T432" i="14"/>
  <c r="O432" i="14" s="1"/>
  <c r="P432" i="14" s="1"/>
  <c r="T91" i="14"/>
  <c r="O91" i="14" s="1"/>
  <c r="P91" i="14" s="1"/>
  <c r="T18" i="14"/>
  <c r="O18" i="14" s="1"/>
  <c r="P18" i="14" s="1"/>
  <c r="T165" i="14"/>
  <c r="O165" i="14" s="1"/>
  <c r="P165" i="14" s="1"/>
  <c r="T150" i="14"/>
  <c r="O150" i="14" s="1"/>
  <c r="P150" i="14" s="1"/>
  <c r="T256" i="14"/>
  <c r="O256" i="14" s="1"/>
  <c r="P256" i="14" s="1"/>
  <c r="T175" i="14"/>
  <c r="O175" i="14" s="1"/>
  <c r="P175" i="14" s="1"/>
  <c r="V63" i="14"/>
  <c r="W63" i="14" s="1"/>
  <c r="X63" i="14"/>
  <c r="Y63" i="14" s="1"/>
  <c r="V47" i="14"/>
  <c r="W47" i="14" s="1"/>
  <c r="X47" i="14"/>
  <c r="Y47" i="14" s="1"/>
  <c r="V17" i="14"/>
  <c r="W17" i="14" s="1"/>
  <c r="X17" i="14"/>
  <c r="Y17" i="14" s="1"/>
  <c r="V73" i="14"/>
  <c r="W73" i="14" s="1"/>
  <c r="X73" i="14"/>
  <c r="Y73" i="14" s="1"/>
  <c r="V450" i="14"/>
  <c r="W450" i="14" s="1"/>
  <c r="X450" i="14"/>
  <c r="AA450" i="14" s="1"/>
  <c r="V370" i="14"/>
  <c r="W370" i="14" s="1"/>
  <c r="X370" i="14"/>
  <c r="AA370" i="14" s="1"/>
  <c r="V16" i="14"/>
  <c r="W16" i="14" s="1"/>
  <c r="X16" i="14"/>
  <c r="Y16" i="14" s="1"/>
  <c r="V490" i="14"/>
  <c r="W490" i="14" s="1"/>
  <c r="X490" i="14"/>
  <c r="Y490" i="14" s="1"/>
  <c r="V420" i="14"/>
  <c r="W420" i="14" s="1"/>
  <c r="X420" i="14"/>
  <c r="Y420" i="14" s="1"/>
  <c r="V187" i="14"/>
  <c r="W187" i="14" s="1"/>
  <c r="X187" i="14"/>
  <c r="Y187" i="14" s="1"/>
  <c r="V79" i="14"/>
  <c r="W79" i="14" s="1"/>
  <c r="X79" i="14"/>
  <c r="Y79" i="14" s="1"/>
  <c r="V416" i="14"/>
  <c r="W416" i="14" s="1"/>
  <c r="X416" i="14"/>
  <c r="Y416" i="14" s="1"/>
  <c r="V45" i="14"/>
  <c r="W45" i="14" s="1"/>
  <c r="X45" i="14"/>
  <c r="Y45" i="14" s="1"/>
  <c r="V366" i="14"/>
  <c r="W366" i="14" s="1"/>
  <c r="X366" i="14"/>
  <c r="Y366" i="14" s="1"/>
  <c r="V494" i="14"/>
  <c r="W494" i="14" s="1"/>
  <c r="X494" i="14"/>
  <c r="Y494" i="14" s="1"/>
  <c r="V402" i="14"/>
  <c r="W402" i="14" s="1"/>
  <c r="X402" i="14"/>
  <c r="Y402" i="14" s="1"/>
  <c r="V352" i="14"/>
  <c r="W352" i="14" s="1"/>
  <c r="X352" i="14"/>
  <c r="Y352" i="14" s="1"/>
  <c r="V59" i="14"/>
  <c r="W59" i="14" s="1"/>
  <c r="X59" i="14"/>
  <c r="Y59" i="14" s="1"/>
  <c r="V14" i="14"/>
  <c r="W14" i="14" s="1"/>
  <c r="X14" i="14"/>
  <c r="Y14" i="14" s="1"/>
  <c r="V350" i="14"/>
  <c r="W350" i="14" s="1"/>
  <c r="X350" i="14"/>
  <c r="Y350" i="14" s="1"/>
  <c r="V33" i="14"/>
  <c r="W33" i="14" s="1"/>
  <c r="X33" i="14"/>
  <c r="AA33" i="14" s="1"/>
  <c r="V446" i="14"/>
  <c r="W446" i="14" s="1"/>
  <c r="X446" i="14"/>
  <c r="AA446" i="14" s="1"/>
  <c r="V430" i="14"/>
  <c r="W430" i="14" s="1"/>
  <c r="X430" i="14"/>
  <c r="Y430" i="14" s="1"/>
  <c r="V414" i="14"/>
  <c r="W414" i="14" s="1"/>
  <c r="X414" i="14"/>
  <c r="Y414" i="14" s="1"/>
  <c r="V43" i="14"/>
  <c r="W43" i="14" s="1"/>
  <c r="X43" i="14"/>
  <c r="Y43" i="14" s="1"/>
  <c r="V428" i="14"/>
  <c r="W428" i="14" s="1"/>
  <c r="X428" i="14"/>
  <c r="Y428" i="14" s="1"/>
  <c r="V87" i="14"/>
  <c r="W87" i="14" s="1"/>
  <c r="X87" i="14"/>
  <c r="Y87" i="14" s="1"/>
  <c r="V41" i="14"/>
  <c r="W41" i="14" s="1"/>
  <c r="X41" i="14"/>
  <c r="Y41" i="14" s="1"/>
  <c r="V101" i="14"/>
  <c r="W101" i="14" s="1"/>
  <c r="X101" i="14"/>
  <c r="AA101" i="14" s="1"/>
  <c r="V86" i="14"/>
  <c r="W86" i="14" s="1"/>
  <c r="X86" i="14"/>
  <c r="AA86" i="14" s="1"/>
  <c r="V55" i="14"/>
  <c r="W55" i="14" s="1"/>
  <c r="X55" i="14"/>
  <c r="Y55" i="14" s="1"/>
  <c r="V40" i="14"/>
  <c r="W40" i="14" s="1"/>
  <c r="X40" i="14"/>
  <c r="Y40" i="14" s="1"/>
  <c r="V85" i="14"/>
  <c r="W85" i="14" s="1"/>
  <c r="X85" i="14"/>
  <c r="Y85" i="14" s="1"/>
  <c r="V9" i="14"/>
  <c r="W9" i="14" s="1"/>
  <c r="X9" i="14"/>
  <c r="Y9" i="14" s="1"/>
  <c r="V486" i="14"/>
  <c r="W486" i="14" s="1"/>
  <c r="X486" i="14"/>
  <c r="Y486" i="14" s="1"/>
  <c r="V470" i="14"/>
  <c r="W470" i="14" s="1"/>
  <c r="X470" i="14"/>
  <c r="Y470" i="14" s="1"/>
  <c r="V394" i="14"/>
  <c r="W394" i="14" s="1"/>
  <c r="X394" i="14"/>
  <c r="AA394" i="14" s="1"/>
  <c r="V378" i="14"/>
  <c r="W378" i="14" s="1"/>
  <c r="X378" i="14"/>
  <c r="AA378" i="14" s="1"/>
  <c r="V362" i="14"/>
  <c r="W362" i="14" s="1"/>
  <c r="X362" i="14"/>
  <c r="Y362" i="14" s="1"/>
  <c r="V131" i="14"/>
  <c r="W131" i="14" s="1"/>
  <c r="X131" i="14"/>
  <c r="Y131" i="14" s="1"/>
  <c r="V53" i="14"/>
  <c r="W53" i="14" s="1"/>
  <c r="X53" i="14"/>
  <c r="Y53" i="14" s="1"/>
  <c r="V8" i="14"/>
  <c r="W8" i="14" s="1"/>
  <c r="X8" i="14"/>
  <c r="Y8" i="14" s="1"/>
  <c r="V442" i="14"/>
  <c r="W442" i="14" s="1"/>
  <c r="X442" i="14"/>
  <c r="AA442" i="14" s="1"/>
  <c r="V238" i="14"/>
  <c r="W238" i="14" s="1"/>
  <c r="X238" i="14"/>
  <c r="AA238" i="14" s="1"/>
  <c r="V376" i="14"/>
  <c r="W376" i="14" s="1"/>
  <c r="X376" i="14"/>
  <c r="Y376" i="14" s="1"/>
  <c r="V67" i="14"/>
  <c r="W67" i="14" s="1"/>
  <c r="X67" i="14"/>
  <c r="Y67" i="14" s="1"/>
  <c r="V398" i="14"/>
  <c r="W398" i="14" s="1"/>
  <c r="X398" i="14"/>
  <c r="Y398" i="14" s="1"/>
  <c r="V426" i="14"/>
  <c r="W426" i="14" s="1"/>
  <c r="X426" i="14"/>
  <c r="Y426" i="14" s="1"/>
  <c r="V424" i="14"/>
  <c r="W424" i="14" s="1"/>
  <c r="X424" i="14"/>
  <c r="Y424" i="14" s="1"/>
  <c r="V7" i="14"/>
  <c r="W7" i="14" s="1"/>
  <c r="X7" i="14"/>
  <c r="Y7" i="14" s="1"/>
  <c r="V422" i="14"/>
  <c r="W422" i="14" s="1"/>
  <c r="X422" i="14"/>
  <c r="Y422" i="14" s="1"/>
  <c r="V406" i="14"/>
  <c r="W406" i="14" s="1"/>
  <c r="X406" i="14"/>
  <c r="AA406" i="14" s="1"/>
  <c r="V20" i="14"/>
  <c r="W20" i="14" s="1"/>
  <c r="X20" i="14"/>
  <c r="Y20" i="14" s="1"/>
  <c r="V135" i="14"/>
  <c r="W135" i="14" s="1"/>
  <c r="X135" i="14"/>
  <c r="Y135" i="14" s="1"/>
  <c r="V270" i="14"/>
  <c r="W270" i="14" s="1"/>
  <c r="X270" i="14"/>
  <c r="Y270" i="14" s="1"/>
  <c r="V22" i="14"/>
  <c r="W22" i="14" s="1"/>
  <c r="X22" i="14"/>
  <c r="Y22" i="14" s="1"/>
  <c r="V390" i="14"/>
  <c r="W390" i="14" s="1"/>
  <c r="X390" i="14"/>
  <c r="Y390" i="14" s="1"/>
  <c r="V374" i="14"/>
  <c r="W374" i="14" s="1"/>
  <c r="X374" i="14"/>
  <c r="Y374" i="14" s="1"/>
  <c r="V358" i="14"/>
  <c r="W358" i="14" s="1"/>
  <c r="X358" i="14"/>
  <c r="AA358" i="14" s="1"/>
  <c r="V81" i="14"/>
  <c r="W81" i="14" s="1"/>
  <c r="X81" i="14"/>
  <c r="AA81" i="14" s="1"/>
  <c r="V65" i="14"/>
  <c r="W65" i="14" s="1"/>
  <c r="X65" i="14"/>
  <c r="Y65" i="14" s="1"/>
  <c r="T444" i="14"/>
  <c r="O444" i="14" s="1"/>
  <c r="P444" i="14" s="1"/>
  <c r="T118" i="14"/>
  <c r="O118" i="14" s="1"/>
  <c r="P118" i="14" s="1"/>
  <c r="T174" i="14"/>
  <c r="O174" i="14" s="1"/>
  <c r="P174" i="14" s="1"/>
  <c r="T466" i="14"/>
  <c r="O466" i="14" s="1"/>
  <c r="P466" i="14" s="1"/>
  <c r="T349" i="14"/>
  <c r="O349" i="14" s="1"/>
  <c r="P349" i="14" s="1"/>
  <c r="T276" i="14"/>
  <c r="O276" i="14" s="1"/>
  <c r="P276" i="14" s="1"/>
  <c r="T155" i="14"/>
  <c r="O155" i="14" s="1"/>
  <c r="P155" i="14" s="1"/>
  <c r="T127" i="14"/>
  <c r="O127" i="14" s="1"/>
  <c r="P127" i="14" s="1"/>
  <c r="T288" i="14"/>
  <c r="O288" i="14" s="1"/>
  <c r="P288" i="14" s="1"/>
  <c r="T347" i="14"/>
  <c r="O347" i="14" s="1"/>
  <c r="P347" i="14" s="1"/>
  <c r="T317" i="14"/>
  <c r="O317" i="14" s="1"/>
  <c r="P317" i="14" s="1"/>
  <c r="T153" i="14"/>
  <c r="O153" i="14" s="1"/>
  <c r="P153" i="14" s="1"/>
  <c r="T508" i="14"/>
  <c r="O508" i="14" s="1"/>
  <c r="P508" i="14" s="1"/>
  <c r="T462" i="14"/>
  <c r="O462" i="14" s="1"/>
  <c r="P462" i="14" s="1"/>
  <c r="T151" i="14"/>
  <c r="O151" i="14" s="1"/>
  <c r="P151" i="14" s="1"/>
  <c r="T318" i="14"/>
  <c r="O318" i="14" s="1"/>
  <c r="P318" i="14" s="1"/>
  <c r="T224" i="14"/>
  <c r="O224" i="14" s="1"/>
  <c r="P224" i="14" s="1"/>
  <c r="T211" i="14"/>
  <c r="O211" i="14" s="1"/>
  <c r="P211" i="14" s="1"/>
  <c r="T183" i="14"/>
  <c r="O183" i="14" s="1"/>
  <c r="P183" i="14" s="1"/>
  <c r="T102" i="14"/>
  <c r="O102" i="14" s="1"/>
  <c r="P102" i="14" s="1"/>
  <c r="Q11" i="14"/>
  <c r="T11" i="14" s="1"/>
  <c r="O11" i="14" s="1"/>
  <c r="P11" i="14" s="1"/>
  <c r="T484" i="14"/>
  <c r="O484" i="14" s="1"/>
  <c r="P484" i="14" s="1"/>
  <c r="T472" i="14"/>
  <c r="O472" i="14" s="1"/>
  <c r="P472" i="14" s="1"/>
  <c r="T388" i="14"/>
  <c r="O388" i="14" s="1"/>
  <c r="P388" i="14" s="1"/>
  <c r="T329" i="14"/>
  <c r="O329" i="14" s="1"/>
  <c r="P329" i="14" s="1"/>
  <c r="T280" i="14"/>
  <c r="O280" i="14" s="1"/>
  <c r="P280" i="14" s="1"/>
  <c r="T173" i="14"/>
  <c r="O173" i="14" s="1"/>
  <c r="P173" i="14" s="1"/>
  <c r="T500" i="14"/>
  <c r="O500" i="14" s="1"/>
  <c r="P500" i="14" s="1"/>
  <c r="T496" i="14"/>
  <c r="O496" i="14" s="1"/>
  <c r="P496" i="14" s="1"/>
  <c r="T351" i="14"/>
  <c r="O351" i="14" s="1"/>
  <c r="P351" i="14" s="1"/>
  <c r="T328" i="14"/>
  <c r="O328" i="14" s="1"/>
  <c r="P328" i="14" s="1"/>
  <c r="T182" i="14"/>
  <c r="O182" i="14" s="1"/>
  <c r="P182" i="14" s="1"/>
  <c r="T113" i="14"/>
  <c r="O113" i="14" s="1"/>
  <c r="P113" i="14" s="1"/>
  <c r="T19" i="14"/>
  <c r="O19" i="14" s="1"/>
  <c r="P19" i="14" s="1"/>
  <c r="T10" i="14"/>
  <c r="O10" i="14" s="1"/>
  <c r="P10" i="14" s="1"/>
  <c r="T301" i="14"/>
  <c r="O301" i="14" s="1"/>
  <c r="P301" i="14" s="1"/>
  <c r="T289" i="14"/>
  <c r="O289" i="14" s="1"/>
  <c r="P289" i="14" s="1"/>
  <c r="T171" i="14"/>
  <c r="O171" i="14" s="1"/>
  <c r="P171" i="14" s="1"/>
  <c r="T159" i="14"/>
  <c r="O159" i="14" s="1"/>
  <c r="P159" i="14" s="1"/>
  <c r="T149" i="14"/>
  <c r="O149" i="14" s="1"/>
  <c r="P149" i="14" s="1"/>
  <c r="T123" i="14"/>
  <c r="O123" i="14" s="1"/>
  <c r="P123" i="14" s="1"/>
  <c r="T249" i="14"/>
  <c r="O249" i="14" s="1"/>
  <c r="P249" i="14" s="1"/>
  <c r="T181" i="14"/>
  <c r="O181" i="14" s="1"/>
  <c r="P181" i="14" s="1"/>
  <c r="T71" i="14"/>
  <c r="O71" i="14" s="1"/>
  <c r="P71" i="14" s="1"/>
  <c r="T191" i="14"/>
  <c r="O191" i="14" s="1"/>
  <c r="P191" i="14" s="1"/>
  <c r="T147" i="14"/>
  <c r="O147" i="14" s="1"/>
  <c r="P147" i="14" s="1"/>
  <c r="T480" i="14"/>
  <c r="O480" i="14" s="1"/>
  <c r="P480" i="14" s="1"/>
  <c r="T336" i="14"/>
  <c r="O336" i="14" s="1"/>
  <c r="P336" i="14" s="1"/>
  <c r="T312" i="14"/>
  <c r="O312" i="14" s="1"/>
  <c r="P312" i="14" s="1"/>
  <c r="T204" i="14"/>
  <c r="O204" i="14" s="1"/>
  <c r="P204" i="14" s="1"/>
  <c r="T169" i="14"/>
  <c r="O169" i="14" s="1"/>
  <c r="P169" i="14" s="1"/>
  <c r="T133" i="14"/>
  <c r="O133" i="14" s="1"/>
  <c r="P133" i="14" s="1"/>
  <c r="T121" i="14"/>
  <c r="O121" i="14" s="1"/>
  <c r="P121" i="14" s="1"/>
  <c r="T382" i="14"/>
  <c r="O382" i="14" s="1"/>
  <c r="P382" i="14" s="1"/>
  <c r="T27" i="14"/>
  <c r="O27" i="14" s="1"/>
  <c r="P27" i="14" s="1"/>
  <c r="T356" i="14"/>
  <c r="O356" i="14" s="1"/>
  <c r="P356" i="14" s="1"/>
  <c r="T229" i="14"/>
  <c r="O229" i="14" s="1"/>
  <c r="P229" i="14" s="1"/>
  <c r="T177" i="14"/>
  <c r="O177" i="14" s="1"/>
  <c r="P177" i="14" s="1"/>
  <c r="T392" i="14"/>
  <c r="O392" i="14" s="1"/>
  <c r="P392" i="14" s="1"/>
  <c r="T380" i="14"/>
  <c r="O380" i="14" s="1"/>
  <c r="P380" i="14" s="1"/>
  <c r="T321" i="14"/>
  <c r="O321" i="14" s="1"/>
  <c r="P321" i="14" s="1"/>
  <c r="T296" i="14"/>
  <c r="O296" i="14" s="1"/>
  <c r="P296" i="14" s="1"/>
  <c r="T285" i="14"/>
  <c r="O285" i="14" s="1"/>
  <c r="P285" i="14" s="1"/>
  <c r="T215" i="14"/>
  <c r="O215" i="14" s="1"/>
  <c r="P215" i="14" s="1"/>
  <c r="T202" i="14"/>
  <c r="O202" i="14" s="1"/>
  <c r="P202" i="14" s="1"/>
  <c r="T106" i="14"/>
  <c r="O106" i="14" s="1"/>
  <c r="P106" i="14" s="1"/>
  <c r="T364" i="14"/>
  <c r="O364" i="14" s="1"/>
  <c r="P364" i="14" s="1"/>
  <c r="T344" i="14"/>
  <c r="O344" i="14" s="1"/>
  <c r="P344" i="14" s="1"/>
  <c r="T51" i="14"/>
  <c r="O51" i="14" s="1"/>
  <c r="P51" i="14" s="1"/>
  <c r="T24" i="14"/>
  <c r="O24" i="14" s="1"/>
  <c r="P24" i="14" s="1"/>
  <c r="T269" i="14"/>
  <c r="O269" i="14" s="1"/>
  <c r="P269" i="14" s="1"/>
  <c r="T142" i="14"/>
  <c r="O142" i="14" s="1"/>
  <c r="P142" i="14" s="1"/>
  <c r="T117" i="14"/>
  <c r="O117" i="14" s="1"/>
  <c r="P117" i="14" s="1"/>
  <c r="T12" i="14"/>
  <c r="O12" i="14" s="1"/>
  <c r="P12" i="14" s="1"/>
  <c r="T400" i="14"/>
  <c r="O400" i="14" s="1"/>
  <c r="P400" i="14" s="1"/>
  <c r="T354" i="14"/>
  <c r="O354" i="14" s="1"/>
  <c r="P354" i="14" s="1"/>
  <c r="T418" i="14"/>
  <c r="O418" i="14" s="1"/>
  <c r="P418" i="14" s="1"/>
  <c r="T410" i="14"/>
  <c r="O410" i="14" s="1"/>
  <c r="P410" i="14" s="1"/>
  <c r="T93" i="14"/>
  <c r="O93" i="14" s="1"/>
  <c r="P93" i="14" s="1"/>
  <c r="T39" i="14"/>
  <c r="O39" i="14" s="1"/>
  <c r="P39" i="14" s="1"/>
  <c r="Q28" i="14"/>
  <c r="T28" i="14" s="1"/>
  <c r="O28" i="14" s="1"/>
  <c r="P28" i="14" s="1"/>
  <c r="Q23" i="14"/>
  <c r="T23" i="14" s="1"/>
  <c r="O23" i="14" s="1"/>
  <c r="P23" i="14" s="1"/>
  <c r="T13" i="14"/>
  <c r="O13" i="14" s="1"/>
  <c r="P13" i="14" s="1"/>
  <c r="T4" i="14"/>
  <c r="O4" i="14" s="1"/>
  <c r="P4" i="14" s="1"/>
  <c r="T458" i="14"/>
  <c r="O458" i="14" s="1"/>
  <c r="P458" i="14" s="1"/>
  <c r="T504" i="14"/>
  <c r="O504" i="14" s="1"/>
  <c r="P504" i="14" s="1"/>
  <c r="T474" i="14"/>
  <c r="O474" i="14" s="1"/>
  <c r="P474" i="14" s="1"/>
  <c r="T438" i="14"/>
  <c r="O438" i="14" s="1"/>
  <c r="P438" i="14" s="1"/>
  <c r="T384" i="14"/>
  <c r="O384" i="14" s="1"/>
  <c r="P384" i="14" s="1"/>
  <c r="T333" i="14"/>
  <c r="O333" i="14" s="1"/>
  <c r="P333" i="14" s="1"/>
  <c r="T281" i="14"/>
  <c r="O281" i="14" s="1"/>
  <c r="P281" i="14" s="1"/>
  <c r="T240" i="14"/>
  <c r="O240" i="14" s="1"/>
  <c r="P240" i="14" s="1"/>
  <c r="T210" i="14"/>
  <c r="O210" i="14" s="1"/>
  <c r="P210" i="14" s="1"/>
  <c r="T185" i="14"/>
  <c r="O185" i="14" s="1"/>
  <c r="P185" i="14" s="1"/>
  <c r="T145" i="14"/>
  <c r="O145" i="14" s="1"/>
  <c r="P145" i="14" s="1"/>
  <c r="T137" i="14"/>
  <c r="O137" i="14" s="1"/>
  <c r="P137" i="14" s="1"/>
  <c r="T115" i="14"/>
  <c r="O115" i="14" s="1"/>
  <c r="P115" i="14" s="1"/>
  <c r="T107" i="14"/>
  <c r="O107" i="14" s="1"/>
  <c r="P107" i="14" s="1"/>
  <c r="T99" i="14"/>
  <c r="O99" i="14" s="1"/>
  <c r="P99" i="14" s="1"/>
  <c r="T365" i="14"/>
  <c r="O365" i="14" s="1"/>
  <c r="P365" i="14" s="1"/>
  <c r="T313" i="14"/>
  <c r="O313" i="14" s="1"/>
  <c r="P313" i="14" s="1"/>
  <c r="T302" i="14"/>
  <c r="O302" i="14" s="1"/>
  <c r="P302" i="14" s="1"/>
  <c r="T218" i="14"/>
  <c r="O218" i="14" s="1"/>
  <c r="P218" i="14" s="1"/>
  <c r="T197" i="14"/>
  <c r="O197" i="14" s="1"/>
  <c r="P197" i="14" s="1"/>
  <c r="T77" i="14"/>
  <c r="O77" i="14" s="1"/>
  <c r="P77" i="14" s="1"/>
  <c r="T510" i="14"/>
  <c r="O510" i="14" s="1"/>
  <c r="P510" i="14" s="1"/>
  <c r="T502" i="14"/>
  <c r="O502" i="14" s="1"/>
  <c r="P502" i="14" s="1"/>
  <c r="T492" i="14"/>
  <c r="O492" i="14" s="1"/>
  <c r="P492" i="14" s="1"/>
  <c r="T482" i="14"/>
  <c r="O482" i="14" s="1"/>
  <c r="P482" i="14" s="1"/>
  <c r="T464" i="14"/>
  <c r="O464" i="14" s="1"/>
  <c r="P464" i="14" s="1"/>
  <c r="T456" i="14"/>
  <c r="O456" i="14" s="1"/>
  <c r="P456" i="14" s="1"/>
  <c r="T436" i="14"/>
  <c r="O436" i="14" s="1"/>
  <c r="P436" i="14" s="1"/>
  <c r="T357" i="14"/>
  <c r="O357" i="14" s="1"/>
  <c r="P357" i="14" s="1"/>
  <c r="T226" i="14"/>
  <c r="O226" i="14" s="1"/>
  <c r="P226" i="14" s="1"/>
  <c r="T32" i="14"/>
  <c r="O32" i="14" s="1"/>
  <c r="P32" i="14" s="1"/>
  <c r="T21" i="14"/>
  <c r="O21" i="14" s="1"/>
  <c r="P21" i="14" s="1"/>
  <c r="T3" i="14"/>
  <c r="O3" i="14" s="1"/>
  <c r="P3" i="14" s="1"/>
  <c r="T408" i="14"/>
  <c r="O408" i="14" s="1"/>
  <c r="P408" i="14" s="1"/>
  <c r="T372" i="14"/>
  <c r="O372" i="14" s="1"/>
  <c r="P372" i="14" s="1"/>
  <c r="T320" i="14"/>
  <c r="O320" i="14" s="1"/>
  <c r="P320" i="14" s="1"/>
  <c r="T268" i="14"/>
  <c r="O268" i="14" s="1"/>
  <c r="P268" i="14" s="1"/>
  <c r="T257" i="14"/>
  <c r="O257" i="14" s="1"/>
  <c r="P257" i="14" s="1"/>
  <c r="T248" i="14"/>
  <c r="O248" i="14" s="1"/>
  <c r="P248" i="14" s="1"/>
  <c r="T237" i="14"/>
  <c r="O237" i="14" s="1"/>
  <c r="P237" i="14" s="1"/>
  <c r="T217" i="14"/>
  <c r="O217" i="14" s="1"/>
  <c r="P217" i="14" s="1"/>
  <c r="T143" i="14"/>
  <c r="O143" i="14" s="1"/>
  <c r="P143" i="14" s="1"/>
  <c r="T83" i="14"/>
  <c r="O83" i="14" s="1"/>
  <c r="P83" i="14" s="1"/>
  <c r="T57" i="14"/>
  <c r="O57" i="14" s="1"/>
  <c r="P57" i="14" s="1"/>
  <c r="T37" i="14"/>
  <c r="O37" i="14" s="1"/>
  <c r="P37" i="14" s="1"/>
  <c r="T105" i="14"/>
  <c r="O105" i="14" s="1"/>
  <c r="P105" i="14" s="1"/>
  <c r="T97" i="14"/>
  <c r="O97" i="14" s="1"/>
  <c r="P97" i="14" s="1"/>
  <c r="T70" i="14"/>
  <c r="O70" i="14" s="1"/>
  <c r="P70" i="14" s="1"/>
  <c r="T111" i="14"/>
  <c r="O111" i="14" s="1"/>
  <c r="P111" i="14" s="1"/>
  <c r="T89" i="14"/>
  <c r="O89" i="14" s="1"/>
  <c r="P89" i="14" s="1"/>
  <c r="T82" i="14"/>
  <c r="O82" i="14" s="1"/>
  <c r="P82" i="14" s="1"/>
  <c r="T75" i="14"/>
  <c r="O75" i="14" s="1"/>
  <c r="P75" i="14" s="1"/>
  <c r="T69" i="14"/>
  <c r="O69" i="14" s="1"/>
  <c r="P69" i="14" s="1"/>
  <c r="T49" i="14"/>
  <c r="O49" i="14" s="1"/>
  <c r="P49" i="14" s="1"/>
  <c r="T36" i="14"/>
  <c r="O36" i="14" s="1"/>
  <c r="P36" i="14" s="1"/>
  <c r="T31" i="14"/>
  <c r="O31" i="14" s="1"/>
  <c r="P31" i="14" s="1"/>
  <c r="T25" i="14"/>
  <c r="O25" i="14" s="1"/>
  <c r="P25" i="14" s="1"/>
  <c r="T15" i="14"/>
  <c r="O15" i="14" s="1"/>
  <c r="P15" i="14" s="1"/>
  <c r="B3" i="15" a="1"/>
  <c r="B3" i="15" s="1"/>
  <c r="B3" i="17" a="1"/>
  <c r="B3" i="17" s="1"/>
  <c r="T103" i="14"/>
  <c r="O103" i="14" s="1"/>
  <c r="P103" i="14" s="1"/>
  <c r="T95" i="14"/>
  <c r="O95" i="14" s="1"/>
  <c r="P95" i="14" s="1"/>
  <c r="B3" i="16" a="1"/>
  <c r="B3" i="16" s="1"/>
  <c r="B3" i="19" a="1"/>
  <c r="B3" i="19" s="1"/>
  <c r="T488" i="14"/>
  <c r="O488" i="14" s="1"/>
  <c r="P488" i="14" s="1"/>
  <c r="T452" i="14"/>
  <c r="O452" i="14" s="1"/>
  <c r="P452" i="14" s="1"/>
  <c r="T265" i="14"/>
  <c r="O265" i="14" s="1"/>
  <c r="P265" i="14" s="1"/>
  <c r="T244" i="14"/>
  <c r="O244" i="14" s="1"/>
  <c r="P244" i="14" s="1"/>
  <c r="T141" i="14"/>
  <c r="O141" i="14" s="1"/>
  <c r="P141" i="14" s="1"/>
  <c r="T119" i="14"/>
  <c r="O119" i="14" s="1"/>
  <c r="P119" i="14" s="1"/>
  <c r="T6" i="14"/>
  <c r="O6" i="14" s="1"/>
  <c r="P6" i="14" s="1"/>
  <c r="T434" i="14"/>
  <c r="O434" i="14" s="1"/>
  <c r="P434" i="14" s="1"/>
  <c r="T478" i="14"/>
  <c r="O478" i="14" s="1"/>
  <c r="P478" i="14" s="1"/>
  <c r="T361" i="14"/>
  <c r="O361" i="14" s="1"/>
  <c r="P361" i="14" s="1"/>
  <c r="T74" i="14"/>
  <c r="O74" i="14" s="1"/>
  <c r="P74" i="14" s="1"/>
  <c r="T498" i="14"/>
  <c r="O498" i="14" s="1"/>
  <c r="P498" i="14" s="1"/>
  <c r="T506" i="14"/>
  <c r="O506" i="14" s="1"/>
  <c r="P506" i="14" s="1"/>
  <c r="T468" i="14"/>
  <c r="O468" i="14" s="1"/>
  <c r="P468" i="14" s="1"/>
  <c r="T460" i="14"/>
  <c r="O460" i="14" s="1"/>
  <c r="P460" i="14" s="1"/>
  <c r="T412" i="14"/>
  <c r="O412" i="14" s="1"/>
  <c r="P412" i="14" s="1"/>
  <c r="T404" i="14"/>
  <c r="O404" i="14" s="1"/>
  <c r="P404" i="14" s="1"/>
  <c r="T396" i="14"/>
  <c r="O396" i="14" s="1"/>
  <c r="P396" i="14" s="1"/>
  <c r="T368" i="14"/>
  <c r="O368" i="14" s="1"/>
  <c r="P368" i="14" s="1"/>
  <c r="T360" i="14"/>
  <c r="O360" i="14" s="1"/>
  <c r="P360" i="14" s="1"/>
  <c r="T264" i="14"/>
  <c r="O264" i="14" s="1"/>
  <c r="P264" i="14" s="1"/>
  <c r="T231" i="14"/>
  <c r="O231" i="14" s="1"/>
  <c r="P231" i="14" s="1"/>
  <c r="T221" i="14"/>
  <c r="O221" i="14" s="1"/>
  <c r="P221" i="14" s="1"/>
  <c r="T212" i="14"/>
  <c r="O212" i="14" s="1"/>
  <c r="P212" i="14" s="1"/>
  <c r="T179" i="14"/>
  <c r="O179" i="14" s="1"/>
  <c r="P179" i="14" s="1"/>
  <c r="T61" i="14"/>
  <c r="O61" i="14" s="1"/>
  <c r="P61" i="14" s="1"/>
  <c r="T35" i="14"/>
  <c r="O35" i="14" s="1"/>
  <c r="P35" i="14" s="1"/>
  <c r="T29" i="14"/>
  <c r="O29" i="14" s="1"/>
  <c r="P29" i="14" s="1"/>
  <c r="T386" i="14"/>
  <c r="O386" i="14" s="1"/>
  <c r="P386" i="14" s="1"/>
  <c r="T316" i="14"/>
  <c r="O316" i="14" s="1"/>
  <c r="P316" i="14" s="1"/>
  <c r="T305" i="14"/>
  <c r="O305" i="14" s="1"/>
  <c r="P305" i="14" s="1"/>
  <c r="T273" i="14"/>
  <c r="O273" i="14" s="1"/>
  <c r="P273" i="14" s="1"/>
  <c r="T253" i="14"/>
  <c r="O253" i="14" s="1"/>
  <c r="P253" i="14" s="1"/>
  <c r="T201" i="14"/>
  <c r="O201" i="14" s="1"/>
  <c r="P201" i="14" s="1"/>
  <c r="T139" i="14"/>
  <c r="O139" i="14" s="1"/>
  <c r="P139" i="14" s="1"/>
  <c r="T109" i="14"/>
  <c r="O109" i="14" s="1"/>
  <c r="P109" i="14" s="1"/>
  <c r="T94" i="14"/>
  <c r="O94" i="14" s="1"/>
  <c r="P94" i="14" s="1"/>
  <c r="T5" i="14"/>
  <c r="O5" i="14" s="1"/>
  <c r="P5" i="14" s="1"/>
  <c r="T353" i="14"/>
  <c r="O353" i="14" s="1"/>
  <c r="P353" i="14" s="1"/>
  <c r="T345" i="14"/>
  <c r="O345" i="14" s="1"/>
  <c r="P345" i="14" s="1"/>
  <c r="T324" i="14"/>
  <c r="O324" i="14" s="1"/>
  <c r="P324" i="14" s="1"/>
  <c r="T230" i="14"/>
  <c r="O230" i="14" s="1"/>
  <c r="P230" i="14" s="1"/>
  <c r="T220" i="14"/>
  <c r="O220" i="14" s="1"/>
  <c r="P220" i="14" s="1"/>
  <c r="T454" i="14"/>
  <c r="O454" i="14" s="1"/>
  <c r="P454" i="14" s="1"/>
  <c r="T448" i="14"/>
  <c r="O448" i="14" s="1"/>
  <c r="P448" i="14" s="1"/>
  <c r="T334" i="14"/>
  <c r="O334" i="14" s="1"/>
  <c r="P334" i="14" s="1"/>
  <c r="T304" i="14"/>
  <c r="O304" i="14" s="1"/>
  <c r="P304" i="14" s="1"/>
  <c r="T272" i="14"/>
  <c r="O272" i="14" s="1"/>
  <c r="P272" i="14" s="1"/>
  <c r="T252" i="14"/>
  <c r="O252" i="14" s="1"/>
  <c r="P252" i="14" s="1"/>
  <c r="T241" i="14"/>
  <c r="O241" i="14" s="1"/>
  <c r="P241" i="14" s="1"/>
  <c r="Q487" i="14"/>
  <c r="T487" i="14" s="1"/>
  <c r="O487" i="14" s="1"/>
  <c r="P487" i="14" s="1"/>
  <c r="Q493" i="14"/>
  <c r="T493" i="14" s="1"/>
  <c r="O493" i="14" s="1"/>
  <c r="P493" i="14" s="1"/>
  <c r="Q233" i="14"/>
  <c r="T233" i="14" s="1"/>
  <c r="O233" i="14" s="1"/>
  <c r="P233" i="14" s="1"/>
  <c r="Q192" i="14"/>
  <c r="T192" i="14" s="1"/>
  <c r="O192" i="14" s="1"/>
  <c r="P192" i="14" s="1"/>
  <c r="Q411" i="14"/>
  <c r="T411" i="14" s="1"/>
  <c r="O411" i="14" s="1"/>
  <c r="P411" i="14" s="1"/>
  <c r="Q505" i="14"/>
  <c r="T505" i="14" s="1"/>
  <c r="O505" i="14" s="1"/>
  <c r="P505" i="14" s="1"/>
  <c r="Q423" i="14"/>
  <c r="T423" i="14" s="1"/>
  <c r="O423" i="14" s="1"/>
  <c r="P423" i="14" s="1"/>
  <c r="T340" i="14"/>
  <c r="O340" i="14" s="1"/>
  <c r="P340" i="14" s="1"/>
  <c r="T332" i="14"/>
  <c r="O332" i="14" s="1"/>
  <c r="P332" i="14" s="1"/>
  <c r="Q314" i="14"/>
  <c r="T314" i="14" s="1"/>
  <c r="O314" i="14" s="1"/>
  <c r="P314" i="14" s="1"/>
  <c r="Q279" i="14"/>
  <c r="T279" i="14" s="1"/>
  <c r="O279" i="14" s="1"/>
  <c r="P279" i="14" s="1"/>
  <c r="T260" i="14"/>
  <c r="O260" i="14" s="1"/>
  <c r="P260" i="14" s="1"/>
  <c r="Q473" i="14"/>
  <c r="T473" i="14" s="1"/>
  <c r="O473" i="14" s="1"/>
  <c r="P473" i="14" s="1"/>
  <c r="Q322" i="14"/>
  <c r="T322" i="14" s="1"/>
  <c r="O322" i="14" s="1"/>
  <c r="P322" i="14" s="1"/>
  <c r="Q287" i="14"/>
  <c r="T287" i="14" s="1"/>
  <c r="O287" i="14" s="1"/>
  <c r="P287" i="14" s="1"/>
  <c r="Q222" i="14"/>
  <c r="T222" i="14" s="1"/>
  <c r="O222" i="14" s="1"/>
  <c r="P222" i="14" s="1"/>
  <c r="Q391" i="14"/>
  <c r="T391" i="14" s="1"/>
  <c r="O391" i="14" s="1"/>
  <c r="P391" i="14" s="1"/>
  <c r="Q479" i="14"/>
  <c r="T479" i="14" s="1"/>
  <c r="O479" i="14" s="1"/>
  <c r="P479" i="14" s="1"/>
  <c r="Q485" i="14"/>
  <c r="T485" i="14" s="1"/>
  <c r="O485" i="14" s="1"/>
  <c r="P485" i="14" s="1"/>
  <c r="Q415" i="14"/>
  <c r="T415" i="14" s="1"/>
  <c r="O415" i="14" s="1"/>
  <c r="P415" i="14" s="1"/>
  <c r="Q348" i="14"/>
  <c r="T348" i="14" s="1"/>
  <c r="O348" i="14" s="1"/>
  <c r="P348" i="14" s="1"/>
  <c r="Q160" i="14"/>
  <c r="T160" i="14" s="1"/>
  <c r="O160" i="14" s="1"/>
  <c r="P160" i="14" s="1"/>
  <c r="Q455" i="14"/>
  <c r="T455" i="14" s="1"/>
  <c r="O455" i="14" s="1"/>
  <c r="P455" i="14" s="1"/>
  <c r="Q475" i="14"/>
  <c r="T475" i="14" s="1"/>
  <c r="O475" i="14" s="1"/>
  <c r="P475" i="14" s="1"/>
  <c r="Q2" i="14"/>
  <c r="T2" i="14" s="1"/>
  <c r="O2" i="14" s="1"/>
  <c r="P2" i="14" s="1"/>
  <c r="Q445" i="14"/>
  <c r="T445" i="14" s="1"/>
  <c r="O445" i="14" s="1"/>
  <c r="P445" i="14" s="1"/>
  <c r="Q465" i="14"/>
  <c r="T465" i="14" s="1"/>
  <c r="O465" i="14" s="1"/>
  <c r="P465" i="14" s="1"/>
  <c r="Q471" i="14"/>
  <c r="T471" i="14"/>
  <c r="O471" i="14" s="1"/>
  <c r="P471" i="14" s="1"/>
  <c r="Q443" i="14"/>
  <c r="T443" i="14" s="1"/>
  <c r="O443" i="14" s="1"/>
  <c r="P443" i="14" s="1"/>
  <c r="Q429" i="14"/>
  <c r="T429" i="14" s="1"/>
  <c r="O429" i="14" s="1"/>
  <c r="P429" i="14" s="1"/>
  <c r="Q330" i="14"/>
  <c r="T330" i="14" s="1"/>
  <c r="O330" i="14" s="1"/>
  <c r="P330" i="14" s="1"/>
  <c r="Q295" i="14"/>
  <c r="T295" i="14" s="1"/>
  <c r="O295" i="14" s="1"/>
  <c r="P295" i="14" s="1"/>
  <c r="Q250" i="14"/>
  <c r="T250" i="14" s="1"/>
  <c r="O250" i="14" s="1"/>
  <c r="P250" i="14" s="1"/>
  <c r="Q439" i="14"/>
  <c r="T439" i="14" s="1"/>
  <c r="O439" i="14" s="1"/>
  <c r="P439" i="14" s="1"/>
  <c r="Q343" i="14"/>
  <c r="T343" i="14" s="1"/>
  <c r="O343" i="14" s="1"/>
  <c r="P343" i="14" s="1"/>
  <c r="Q395" i="14"/>
  <c r="T395" i="14" s="1"/>
  <c r="O395" i="14" s="1"/>
  <c r="P395" i="14" s="1"/>
  <c r="Q491" i="14"/>
  <c r="T491" i="14" s="1"/>
  <c r="O491" i="14" s="1"/>
  <c r="P491" i="14" s="1"/>
  <c r="Q497" i="14"/>
  <c r="T497" i="14" s="1"/>
  <c r="O497" i="14" s="1"/>
  <c r="P497" i="14" s="1"/>
  <c r="Q509" i="14"/>
  <c r="T509" i="14" s="1"/>
  <c r="O509" i="14" s="1"/>
  <c r="P509" i="14" s="1"/>
  <c r="Q457" i="14"/>
  <c r="T457" i="14" s="1"/>
  <c r="O457" i="14" s="1"/>
  <c r="P457" i="14" s="1"/>
  <c r="Q407" i="14"/>
  <c r="T407" i="14" s="1"/>
  <c r="O407" i="14" s="1"/>
  <c r="P407" i="14" s="1"/>
  <c r="Q338" i="14"/>
  <c r="T338" i="14" s="1"/>
  <c r="O338" i="14" s="1"/>
  <c r="P338" i="14" s="1"/>
  <c r="Q303" i="14"/>
  <c r="T303" i="14" s="1"/>
  <c r="O303" i="14" s="1"/>
  <c r="P303" i="14" s="1"/>
  <c r="Q258" i="14"/>
  <c r="T258" i="14" s="1"/>
  <c r="O258" i="14" s="1"/>
  <c r="P258" i="14" s="1"/>
  <c r="Q274" i="14"/>
  <c r="T274" i="14" s="1"/>
  <c r="O274" i="14" s="1"/>
  <c r="P274" i="14" s="1"/>
  <c r="Q507" i="14"/>
  <c r="T507" i="14" s="1"/>
  <c r="O507" i="14" s="1"/>
  <c r="P507" i="14" s="1"/>
  <c r="Q481" i="14"/>
  <c r="T481" i="14" s="1"/>
  <c r="O481" i="14" s="1"/>
  <c r="P481" i="14" s="1"/>
  <c r="Q425" i="14"/>
  <c r="T425" i="14" s="1"/>
  <c r="O425" i="14" s="1"/>
  <c r="P425" i="14" s="1"/>
  <c r="Q467" i="14"/>
  <c r="T467" i="14" s="1"/>
  <c r="O467" i="14" s="1"/>
  <c r="P467" i="14" s="1"/>
  <c r="Q451" i="14"/>
  <c r="T451" i="14" s="1"/>
  <c r="O451" i="14" s="1"/>
  <c r="P451" i="14" s="1"/>
  <c r="Q483" i="14"/>
  <c r="T483" i="14" s="1"/>
  <c r="O483" i="14" s="1"/>
  <c r="P483" i="14" s="1"/>
  <c r="Q477" i="14"/>
  <c r="T477" i="14" s="1"/>
  <c r="O477" i="14" s="1"/>
  <c r="P477" i="14" s="1"/>
  <c r="Q435" i="14"/>
  <c r="T435" i="14" s="1"/>
  <c r="O435" i="14" s="1"/>
  <c r="P435" i="14" s="1"/>
  <c r="Q421" i="14"/>
  <c r="T421" i="14" s="1"/>
  <c r="O421" i="14" s="1"/>
  <c r="P421" i="14" s="1"/>
  <c r="Q459" i="14"/>
  <c r="T459" i="14" s="1"/>
  <c r="O459" i="14" s="1"/>
  <c r="P459" i="14" s="1"/>
  <c r="Q437" i="14"/>
  <c r="T437" i="14" s="1"/>
  <c r="O437" i="14" s="1"/>
  <c r="P437" i="14" s="1"/>
  <c r="Q463" i="14"/>
  <c r="T463" i="14" s="1"/>
  <c r="O463" i="14" s="1"/>
  <c r="P463" i="14" s="1"/>
  <c r="Q449" i="14"/>
  <c r="T449" i="14" s="1"/>
  <c r="O449" i="14" s="1"/>
  <c r="P449" i="14" s="1"/>
  <c r="Q399" i="14"/>
  <c r="T399" i="14" s="1"/>
  <c r="O399" i="14" s="1"/>
  <c r="P399" i="14" s="1"/>
  <c r="Q311" i="14"/>
  <c r="T311" i="14" s="1"/>
  <c r="O311" i="14" s="1"/>
  <c r="P311" i="14" s="1"/>
  <c r="Q239" i="14"/>
  <c r="T239" i="14" s="1"/>
  <c r="O239" i="14" s="1"/>
  <c r="P239" i="14" s="1"/>
  <c r="Q469" i="14"/>
  <c r="T469" i="14" s="1"/>
  <c r="O469" i="14" s="1"/>
  <c r="P469" i="14" s="1"/>
  <c r="Q503" i="14"/>
  <c r="T503" i="14" s="1"/>
  <c r="O503" i="14" s="1"/>
  <c r="P503" i="14" s="1"/>
  <c r="Q495" i="14"/>
  <c r="T495" i="14" s="1"/>
  <c r="O495" i="14" s="1"/>
  <c r="P495" i="14" s="1"/>
  <c r="Q489" i="14"/>
  <c r="T489" i="14" s="1"/>
  <c r="O489" i="14" s="1"/>
  <c r="P489" i="14" s="1"/>
  <c r="T476" i="14"/>
  <c r="O476" i="14" s="1"/>
  <c r="P476" i="14" s="1"/>
  <c r="Q427" i="14"/>
  <c r="T427" i="14" s="1"/>
  <c r="O427" i="14" s="1"/>
  <c r="P427" i="14" s="1"/>
  <c r="Q413" i="14"/>
  <c r="T413" i="14" s="1"/>
  <c r="O413" i="14" s="1"/>
  <c r="P413" i="14" s="1"/>
  <c r="Q319" i="14"/>
  <c r="T319" i="14" s="1"/>
  <c r="O319" i="14" s="1"/>
  <c r="P319" i="14" s="1"/>
  <c r="T292" i="14"/>
  <c r="O292" i="14" s="1"/>
  <c r="P292" i="14" s="1"/>
  <c r="T284" i="14"/>
  <c r="O284" i="14" s="1"/>
  <c r="P284" i="14" s="1"/>
  <c r="Q266" i="14"/>
  <c r="T266" i="14" s="1"/>
  <c r="O266" i="14" s="1"/>
  <c r="P266" i="14" s="1"/>
  <c r="Q186" i="14"/>
  <c r="T186" i="14"/>
  <c r="O186" i="14" s="1"/>
  <c r="P186" i="14" s="1"/>
  <c r="Q419" i="14"/>
  <c r="T419" i="14" s="1"/>
  <c r="O419" i="14" s="1"/>
  <c r="P419" i="14" s="1"/>
  <c r="Q327" i="14"/>
  <c r="T327" i="14" s="1"/>
  <c r="O327" i="14" s="1"/>
  <c r="P327" i="14" s="1"/>
  <c r="Q227" i="14"/>
  <c r="T227" i="14" s="1"/>
  <c r="O227" i="14" s="1"/>
  <c r="P227" i="14" s="1"/>
  <c r="Q447" i="14"/>
  <c r="T447" i="14" s="1"/>
  <c r="O447" i="14" s="1"/>
  <c r="P447" i="14" s="1"/>
  <c r="T440" i="14"/>
  <c r="O440" i="14" s="1"/>
  <c r="P440" i="14" s="1"/>
  <c r="Q433" i="14"/>
  <c r="T433" i="14" s="1"/>
  <c r="O433" i="14" s="1"/>
  <c r="P433" i="14" s="1"/>
  <c r="Q335" i="14"/>
  <c r="T335" i="14" s="1"/>
  <c r="O335" i="14" s="1"/>
  <c r="P335" i="14" s="1"/>
  <c r="T308" i="14"/>
  <c r="O308" i="14" s="1"/>
  <c r="P308" i="14" s="1"/>
  <c r="T300" i="14"/>
  <c r="O300" i="14" s="1"/>
  <c r="P300" i="14" s="1"/>
  <c r="Q282" i="14"/>
  <c r="T282" i="14" s="1"/>
  <c r="O282" i="14" s="1"/>
  <c r="P282" i="14" s="1"/>
  <c r="Q255" i="14"/>
  <c r="T255" i="14" s="1"/>
  <c r="O255" i="14" s="1"/>
  <c r="P255" i="14" s="1"/>
  <c r="Q154" i="14"/>
  <c r="T154" i="14" s="1"/>
  <c r="O154" i="14" s="1"/>
  <c r="P154" i="14" s="1"/>
  <c r="Q441" i="14"/>
  <c r="T441" i="14" s="1"/>
  <c r="O441" i="14" s="1"/>
  <c r="P441" i="14" s="1"/>
  <c r="Q501" i="14"/>
  <c r="T501" i="14" s="1"/>
  <c r="O501" i="14" s="1"/>
  <c r="P501" i="14" s="1"/>
  <c r="Q461" i="14"/>
  <c r="T461" i="14" s="1"/>
  <c r="O461" i="14" s="1"/>
  <c r="P461" i="14" s="1"/>
  <c r="Q290" i="14"/>
  <c r="T290" i="14" s="1"/>
  <c r="O290" i="14" s="1"/>
  <c r="P290" i="14" s="1"/>
  <c r="Q499" i="14"/>
  <c r="T499" i="14" s="1"/>
  <c r="O499" i="14" s="1"/>
  <c r="P499" i="14" s="1"/>
  <c r="Q453" i="14"/>
  <c r="T453" i="14" s="1"/>
  <c r="O453" i="14" s="1"/>
  <c r="P453" i="14" s="1"/>
  <c r="Q403" i="14"/>
  <c r="T403" i="14" s="1"/>
  <c r="O403" i="14" s="1"/>
  <c r="P403" i="14" s="1"/>
  <c r="Q298" i="14"/>
  <c r="T298" i="14" s="1"/>
  <c r="O298" i="14" s="1"/>
  <c r="P298" i="14" s="1"/>
  <c r="Q263" i="14"/>
  <c r="T263" i="14" s="1"/>
  <c r="O263" i="14" s="1"/>
  <c r="P263" i="14" s="1"/>
  <c r="Q216" i="14"/>
  <c r="T216" i="14" s="1"/>
  <c r="O216" i="14" s="1"/>
  <c r="P216" i="14" s="1"/>
  <c r="Q511" i="14"/>
  <c r="T511" i="14" s="1"/>
  <c r="O511" i="14" s="1"/>
  <c r="P511" i="14" s="1"/>
  <c r="Q431" i="14"/>
  <c r="T431" i="14" s="1"/>
  <c r="O431" i="14" s="1"/>
  <c r="P431" i="14" s="1"/>
  <c r="Q417" i="14"/>
  <c r="T417" i="14" s="1"/>
  <c r="O417" i="14" s="1"/>
  <c r="P417" i="14" s="1"/>
  <c r="Q306" i="14"/>
  <c r="T306" i="14" s="1"/>
  <c r="O306" i="14" s="1"/>
  <c r="P306" i="14" s="1"/>
  <c r="Q271" i="14"/>
  <c r="T271" i="14" s="1"/>
  <c r="O271" i="14" s="1"/>
  <c r="P271" i="14" s="1"/>
  <c r="Q409" i="14"/>
  <c r="T409" i="14" s="1"/>
  <c r="O409" i="14" s="1"/>
  <c r="P409" i="14" s="1"/>
  <c r="Q405" i="14"/>
  <c r="T405" i="14" s="1"/>
  <c r="O405" i="14" s="1"/>
  <c r="P405" i="14" s="1"/>
  <c r="Q401" i="14"/>
  <c r="T401" i="14" s="1"/>
  <c r="O401" i="14" s="1"/>
  <c r="P401" i="14" s="1"/>
  <c r="Q397" i="14"/>
  <c r="T397" i="14" s="1"/>
  <c r="O397" i="14" s="1"/>
  <c r="P397" i="14" s="1"/>
  <c r="Q393" i="14"/>
  <c r="T393" i="14" s="1"/>
  <c r="O393" i="14" s="1"/>
  <c r="P393" i="14" s="1"/>
  <c r="Q389" i="14"/>
  <c r="T389" i="14" s="1"/>
  <c r="O389" i="14" s="1"/>
  <c r="P389" i="14" s="1"/>
  <c r="Q385" i="14"/>
  <c r="T385" i="14" s="1"/>
  <c r="O385" i="14" s="1"/>
  <c r="P385" i="14" s="1"/>
  <c r="Q381" i="14"/>
  <c r="T381" i="14" s="1"/>
  <c r="O381" i="14" s="1"/>
  <c r="P381" i="14" s="1"/>
  <c r="Q377" i="14"/>
  <c r="T377" i="14" s="1"/>
  <c r="O377" i="14" s="1"/>
  <c r="P377" i="14" s="1"/>
  <c r="Q373" i="14"/>
  <c r="T373" i="14" s="1"/>
  <c r="O373" i="14" s="1"/>
  <c r="P373" i="14" s="1"/>
  <c r="Q369" i="14"/>
  <c r="T369" i="14" s="1"/>
  <c r="O369" i="14" s="1"/>
  <c r="P369" i="14" s="1"/>
  <c r="T242" i="14"/>
  <c r="O242" i="14" s="1"/>
  <c r="P242" i="14" s="1"/>
  <c r="Q196" i="14"/>
  <c r="T196" i="14" s="1"/>
  <c r="O196" i="14" s="1"/>
  <c r="P196" i="14" s="1"/>
  <c r="Q164" i="14"/>
  <c r="T164" i="14" s="1"/>
  <c r="O164" i="14" s="1"/>
  <c r="P164" i="14" s="1"/>
  <c r="Q132" i="14"/>
  <c r="T132" i="14" s="1"/>
  <c r="O132" i="14" s="1"/>
  <c r="P132" i="14" s="1"/>
  <c r="Q84" i="14"/>
  <c r="T84" i="14" s="1"/>
  <c r="O84" i="14" s="1"/>
  <c r="P84" i="14" s="1"/>
  <c r="T247" i="14"/>
  <c r="O247" i="14" s="1"/>
  <c r="P247" i="14" s="1"/>
  <c r="T225" i="14"/>
  <c r="O225" i="14" s="1"/>
  <c r="P225" i="14" s="1"/>
  <c r="T219" i="14"/>
  <c r="O219" i="14" s="1"/>
  <c r="P219" i="14" s="1"/>
  <c r="T170" i="14"/>
  <c r="O170" i="14" s="1"/>
  <c r="P170" i="14" s="1"/>
  <c r="T138" i="14"/>
  <c r="O138" i="14" s="1"/>
  <c r="P138" i="14" s="1"/>
  <c r="T78" i="14"/>
  <c r="O78" i="14" s="1"/>
  <c r="P78" i="14" s="1"/>
  <c r="Q54" i="14"/>
  <c r="T54" i="14" s="1"/>
  <c r="O54" i="14" s="1"/>
  <c r="P54" i="14" s="1"/>
  <c r="T236" i="14"/>
  <c r="O236" i="14" s="1"/>
  <c r="P236" i="14" s="1"/>
  <c r="T213" i="14"/>
  <c r="O213" i="14" s="1"/>
  <c r="P213" i="14" s="1"/>
  <c r="T207" i="14"/>
  <c r="O207" i="14" s="1"/>
  <c r="P207" i="14" s="1"/>
  <c r="T195" i="14"/>
  <c r="O195" i="14" s="1"/>
  <c r="P195" i="14" s="1"/>
  <c r="T189" i="14"/>
  <c r="O189" i="14" s="1"/>
  <c r="P189" i="14" s="1"/>
  <c r="Q176" i="14"/>
  <c r="T176" i="14" s="1"/>
  <c r="O176" i="14" s="1"/>
  <c r="P176" i="14" s="1"/>
  <c r="T163" i="14"/>
  <c r="O163" i="14" s="1"/>
  <c r="P163" i="14" s="1"/>
  <c r="T157" i="14"/>
  <c r="O157" i="14" s="1"/>
  <c r="P157" i="14" s="1"/>
  <c r="Q144" i="14"/>
  <c r="T144" i="14" s="1"/>
  <c r="O144" i="14" s="1"/>
  <c r="P144" i="14" s="1"/>
  <c r="T125" i="14"/>
  <c r="O125" i="14" s="1"/>
  <c r="P125" i="14" s="1"/>
  <c r="Q112" i="14"/>
  <c r="T112" i="14" s="1"/>
  <c r="O112" i="14" s="1"/>
  <c r="P112" i="14" s="1"/>
  <c r="T66" i="14"/>
  <c r="O66" i="14" s="1"/>
  <c r="P66" i="14" s="1"/>
  <c r="Q100" i="14"/>
  <c r="T100" i="14" s="1"/>
  <c r="O100" i="14" s="1"/>
  <c r="P100" i="14" s="1"/>
  <c r="T342" i="14"/>
  <c r="O342" i="14" s="1"/>
  <c r="P342" i="14" s="1"/>
  <c r="T326" i="14"/>
  <c r="O326" i="14" s="1"/>
  <c r="P326" i="14" s="1"/>
  <c r="T310" i="14"/>
  <c r="O310" i="14" s="1"/>
  <c r="P310" i="14" s="1"/>
  <c r="T294" i="14"/>
  <c r="O294" i="14" s="1"/>
  <c r="P294" i="14" s="1"/>
  <c r="T278" i="14"/>
  <c r="O278" i="14" s="1"/>
  <c r="P278" i="14" s="1"/>
  <c r="T262" i="14"/>
  <c r="O262" i="14" s="1"/>
  <c r="P262" i="14" s="1"/>
  <c r="T246" i="14"/>
  <c r="O246" i="14" s="1"/>
  <c r="P246" i="14" s="1"/>
  <c r="Q188" i="14"/>
  <c r="T188" i="14" s="1"/>
  <c r="O188" i="14" s="1"/>
  <c r="P188" i="14" s="1"/>
  <c r="Q156" i="14"/>
  <c r="T156" i="14" s="1"/>
  <c r="O156" i="14" s="1"/>
  <c r="P156" i="14" s="1"/>
  <c r="Q124" i="14"/>
  <c r="T124" i="14" s="1"/>
  <c r="O124" i="14" s="1"/>
  <c r="P124" i="14" s="1"/>
  <c r="Q88" i="14"/>
  <c r="T88" i="14" s="1"/>
  <c r="O88" i="14" s="1"/>
  <c r="P88" i="14" s="1"/>
  <c r="T331" i="14"/>
  <c r="O331" i="14" s="1"/>
  <c r="P331" i="14" s="1"/>
  <c r="T315" i="14"/>
  <c r="O315" i="14" s="1"/>
  <c r="P315" i="14" s="1"/>
  <c r="T299" i="14"/>
  <c r="O299" i="14" s="1"/>
  <c r="P299" i="14" s="1"/>
  <c r="T283" i="14"/>
  <c r="O283" i="14" s="1"/>
  <c r="P283" i="14" s="1"/>
  <c r="T267" i="14"/>
  <c r="O267" i="14" s="1"/>
  <c r="P267" i="14" s="1"/>
  <c r="T251" i="14"/>
  <c r="O251" i="14" s="1"/>
  <c r="P251" i="14" s="1"/>
  <c r="T235" i="14"/>
  <c r="O235" i="14" s="1"/>
  <c r="P235" i="14" s="1"/>
  <c r="T206" i="14"/>
  <c r="O206" i="14" s="1"/>
  <c r="P206" i="14" s="1"/>
  <c r="T200" i="14"/>
  <c r="O200" i="14" s="1"/>
  <c r="P200" i="14" s="1"/>
  <c r="T194" i="14"/>
  <c r="O194" i="14" s="1"/>
  <c r="P194" i="14" s="1"/>
  <c r="T162" i="14"/>
  <c r="O162" i="14" s="1"/>
  <c r="P162" i="14" s="1"/>
  <c r="T130" i="14"/>
  <c r="O130" i="14" s="1"/>
  <c r="P130" i="14" s="1"/>
  <c r="Q46" i="14"/>
  <c r="T46" i="14" s="1"/>
  <c r="O46" i="14" s="1"/>
  <c r="P46" i="14" s="1"/>
  <c r="Q168" i="14"/>
  <c r="T168" i="14" s="1"/>
  <c r="O168" i="14" s="1"/>
  <c r="P168" i="14" s="1"/>
  <c r="Q136" i="14"/>
  <c r="T136" i="14" s="1"/>
  <c r="O136" i="14" s="1"/>
  <c r="P136" i="14" s="1"/>
  <c r="T387" i="14"/>
  <c r="O387" i="14" s="1"/>
  <c r="P387" i="14" s="1"/>
  <c r="T383" i="14"/>
  <c r="O383" i="14" s="1"/>
  <c r="P383" i="14" s="1"/>
  <c r="T379" i="14"/>
  <c r="O379" i="14" s="1"/>
  <c r="P379" i="14" s="1"/>
  <c r="T375" i="14"/>
  <c r="O375" i="14" s="1"/>
  <c r="P375" i="14" s="1"/>
  <c r="T371" i="14"/>
  <c r="O371" i="14" s="1"/>
  <c r="P371" i="14" s="1"/>
  <c r="T367" i="14"/>
  <c r="O367" i="14" s="1"/>
  <c r="P367" i="14" s="1"/>
  <c r="T363" i="14"/>
  <c r="O363" i="14" s="1"/>
  <c r="P363" i="14" s="1"/>
  <c r="T359" i="14"/>
  <c r="O359" i="14" s="1"/>
  <c r="P359" i="14" s="1"/>
  <c r="T355" i="14"/>
  <c r="O355" i="14" s="1"/>
  <c r="P355" i="14" s="1"/>
  <c r="T346" i="14"/>
  <c r="O346" i="14" s="1"/>
  <c r="P346" i="14" s="1"/>
  <c r="Q76" i="14"/>
  <c r="T76" i="14" s="1"/>
  <c r="O76" i="14" s="1"/>
  <c r="P76" i="14" s="1"/>
  <c r="Q58" i="14"/>
  <c r="T58" i="14" s="1"/>
  <c r="O58" i="14" s="1"/>
  <c r="P58" i="14" s="1"/>
  <c r="T341" i="14"/>
  <c r="O341" i="14" s="1"/>
  <c r="P341" i="14" s="1"/>
  <c r="T325" i="14"/>
  <c r="O325" i="14" s="1"/>
  <c r="P325" i="14" s="1"/>
  <c r="T309" i="14"/>
  <c r="O309" i="14" s="1"/>
  <c r="P309" i="14" s="1"/>
  <c r="T293" i="14"/>
  <c r="O293" i="14" s="1"/>
  <c r="P293" i="14" s="1"/>
  <c r="T277" i="14"/>
  <c r="O277" i="14" s="1"/>
  <c r="P277" i="14" s="1"/>
  <c r="T261" i="14"/>
  <c r="O261" i="14" s="1"/>
  <c r="P261" i="14" s="1"/>
  <c r="T245" i="14"/>
  <c r="O245" i="14" s="1"/>
  <c r="P245" i="14" s="1"/>
  <c r="T234" i="14"/>
  <c r="O234" i="14" s="1"/>
  <c r="P234" i="14" s="1"/>
  <c r="T228" i="14"/>
  <c r="O228" i="14" s="1"/>
  <c r="P228" i="14" s="1"/>
  <c r="T205" i="14"/>
  <c r="O205" i="14" s="1"/>
  <c r="P205" i="14" s="1"/>
  <c r="T199" i="14"/>
  <c r="O199" i="14" s="1"/>
  <c r="P199" i="14" s="1"/>
  <c r="T193" i="14"/>
  <c r="O193" i="14" s="1"/>
  <c r="P193" i="14" s="1"/>
  <c r="Q180" i="14"/>
  <c r="T180" i="14" s="1"/>
  <c r="O180" i="14" s="1"/>
  <c r="P180" i="14" s="1"/>
  <c r="T167" i="14"/>
  <c r="O167" i="14" s="1"/>
  <c r="P167" i="14" s="1"/>
  <c r="T161" i="14"/>
  <c r="O161" i="14" s="1"/>
  <c r="P161" i="14" s="1"/>
  <c r="Q148" i="14"/>
  <c r="T148" i="14" s="1"/>
  <c r="O148" i="14" s="1"/>
  <c r="P148" i="14" s="1"/>
  <c r="T129" i="14"/>
  <c r="O129" i="14" s="1"/>
  <c r="P129" i="14" s="1"/>
  <c r="Q116" i="14"/>
  <c r="T116" i="14" s="1"/>
  <c r="O116" i="14" s="1"/>
  <c r="P116" i="14" s="1"/>
  <c r="T110" i="14"/>
  <c r="O110" i="14" s="1"/>
  <c r="P110" i="14" s="1"/>
  <c r="Q104" i="14"/>
  <c r="T104" i="14"/>
  <c r="O104" i="14" s="1"/>
  <c r="P104" i="14" s="1"/>
  <c r="T122" i="14"/>
  <c r="O122" i="14" s="1"/>
  <c r="P122" i="14" s="1"/>
  <c r="T98" i="14"/>
  <c r="O98" i="14" s="1"/>
  <c r="P98" i="14" s="1"/>
  <c r="Q92" i="14"/>
  <c r="T92" i="14"/>
  <c r="O92" i="14" s="1"/>
  <c r="P92" i="14" s="1"/>
  <c r="Q38" i="14"/>
  <c r="T38" i="14" s="1"/>
  <c r="O38" i="14" s="1"/>
  <c r="P38" i="14" s="1"/>
  <c r="Q128" i="14"/>
  <c r="T128" i="14" s="1"/>
  <c r="O128" i="14" s="1"/>
  <c r="P128" i="14" s="1"/>
  <c r="T198" i="14"/>
  <c r="O198" i="14" s="1"/>
  <c r="P198" i="14" s="1"/>
  <c r="T166" i="14"/>
  <c r="O166" i="14" s="1"/>
  <c r="P166" i="14" s="1"/>
  <c r="T134" i="14"/>
  <c r="O134" i="14" s="1"/>
  <c r="P134" i="14" s="1"/>
  <c r="Q50" i="14"/>
  <c r="T50" i="14" s="1"/>
  <c r="O50" i="14" s="1"/>
  <c r="P50" i="14" s="1"/>
  <c r="Q172" i="14"/>
  <c r="T172" i="14" s="1"/>
  <c r="O172" i="14" s="1"/>
  <c r="P172" i="14" s="1"/>
  <c r="Q140" i="14"/>
  <c r="T140" i="14" s="1"/>
  <c r="O140" i="14" s="1"/>
  <c r="P140" i="14" s="1"/>
  <c r="Q80" i="14"/>
  <c r="T80" i="14" s="1"/>
  <c r="O80" i="14" s="1"/>
  <c r="P80" i="14" s="1"/>
  <c r="T339" i="14"/>
  <c r="O339" i="14" s="1"/>
  <c r="P339" i="14" s="1"/>
  <c r="T323" i="14"/>
  <c r="O323" i="14" s="1"/>
  <c r="P323" i="14" s="1"/>
  <c r="T307" i="14"/>
  <c r="O307" i="14" s="1"/>
  <c r="P307" i="14" s="1"/>
  <c r="T291" i="14"/>
  <c r="O291" i="14" s="1"/>
  <c r="P291" i="14" s="1"/>
  <c r="T275" i="14"/>
  <c r="O275" i="14" s="1"/>
  <c r="P275" i="14" s="1"/>
  <c r="T259" i="14"/>
  <c r="O259" i="14" s="1"/>
  <c r="P259" i="14" s="1"/>
  <c r="T243" i="14"/>
  <c r="O243" i="14" s="1"/>
  <c r="P243" i="14" s="1"/>
  <c r="T232" i="14"/>
  <c r="O232" i="14" s="1"/>
  <c r="P232" i="14" s="1"/>
  <c r="T209" i="14"/>
  <c r="O209" i="14" s="1"/>
  <c r="P209" i="14" s="1"/>
  <c r="T203" i="14"/>
  <c r="O203" i="14" s="1"/>
  <c r="P203" i="14" s="1"/>
  <c r="T178" i="14"/>
  <c r="O178" i="14" s="1"/>
  <c r="P178" i="14" s="1"/>
  <c r="T146" i="14"/>
  <c r="O146" i="14" s="1"/>
  <c r="P146" i="14" s="1"/>
  <c r="T114" i="14"/>
  <c r="O114" i="14" s="1"/>
  <c r="P114" i="14" s="1"/>
  <c r="Q108" i="14"/>
  <c r="T108" i="14" s="1"/>
  <c r="O108" i="14" s="1"/>
  <c r="P108" i="14" s="1"/>
  <c r="Q62" i="14"/>
  <c r="T62" i="14" s="1"/>
  <c r="O62" i="14" s="1"/>
  <c r="P62" i="14" s="1"/>
  <c r="Q184" i="14"/>
  <c r="T184" i="14" s="1"/>
  <c r="O184" i="14" s="1"/>
  <c r="P184" i="14" s="1"/>
  <c r="Q152" i="14"/>
  <c r="T152" i="14" s="1"/>
  <c r="O152" i="14" s="1"/>
  <c r="P152" i="14" s="1"/>
  <c r="Q120" i="14"/>
  <c r="T120" i="14" s="1"/>
  <c r="O120" i="14" s="1"/>
  <c r="P120" i="14" s="1"/>
  <c r="Q96" i="14"/>
  <c r="T96" i="14" s="1"/>
  <c r="O96" i="14" s="1"/>
  <c r="P96" i="14" s="1"/>
  <c r="T214" i="14"/>
  <c r="O214" i="14" s="1"/>
  <c r="P214" i="14" s="1"/>
  <c r="T208" i="14"/>
  <c r="O208" i="14" s="1"/>
  <c r="P208" i="14" s="1"/>
  <c r="T190" i="14"/>
  <c r="O190" i="14" s="1"/>
  <c r="P190" i="14" s="1"/>
  <c r="T158" i="14"/>
  <c r="O158" i="14" s="1"/>
  <c r="P158" i="14" s="1"/>
  <c r="T126" i="14"/>
  <c r="O126" i="14" s="1"/>
  <c r="P126" i="14" s="1"/>
  <c r="T90" i="14"/>
  <c r="O90" i="14" s="1"/>
  <c r="P90" i="14" s="1"/>
  <c r="Q42" i="14"/>
  <c r="T42" i="14" s="1"/>
  <c r="O42" i="14" s="1"/>
  <c r="P42" i="14" s="1"/>
  <c r="T34" i="14"/>
  <c r="O34" i="14" s="1"/>
  <c r="P34" i="14" s="1"/>
  <c r="T30" i="14"/>
  <c r="O30" i="14" s="1"/>
  <c r="P30" i="14" s="1"/>
  <c r="T26" i="14"/>
  <c r="O26" i="14" s="1"/>
  <c r="P26" i="14" s="1"/>
  <c r="T72" i="14"/>
  <c r="O72" i="14" s="1"/>
  <c r="P72" i="14" s="1"/>
  <c r="T68" i="14"/>
  <c r="O68" i="14" s="1"/>
  <c r="P68" i="14" s="1"/>
  <c r="T64" i="14"/>
  <c r="O64" i="14" s="1"/>
  <c r="P64" i="14" s="1"/>
  <c r="T60" i="14"/>
  <c r="O60" i="14" s="1"/>
  <c r="P60" i="14" s="1"/>
  <c r="T56" i="14"/>
  <c r="O56" i="14" s="1"/>
  <c r="P56" i="14" s="1"/>
  <c r="T52" i="14"/>
  <c r="O52" i="14" s="1"/>
  <c r="P52" i="14" s="1"/>
  <c r="T48" i="14"/>
  <c r="O48" i="14" s="1"/>
  <c r="P48" i="14" s="1"/>
  <c r="T44" i="14"/>
  <c r="O44" i="14" s="1"/>
  <c r="P44" i="14" s="1"/>
  <c r="AA63" i="14" l="1"/>
  <c r="AA374" i="14"/>
  <c r="AA270" i="14"/>
  <c r="AA366" i="14"/>
  <c r="AA398" i="14"/>
  <c r="AA67" i="14"/>
  <c r="AA414" i="14"/>
  <c r="AA426" i="14"/>
  <c r="AA55" i="14"/>
  <c r="AA430" i="14"/>
  <c r="AA494" i="14"/>
  <c r="AA53" i="14"/>
  <c r="AA362" i="14"/>
  <c r="AA59" i="14"/>
  <c r="AA470" i="14"/>
  <c r="V254" i="14"/>
  <c r="W254" i="14" s="1"/>
  <c r="AA187" i="14"/>
  <c r="AA416" i="14"/>
  <c r="AA350" i="14"/>
  <c r="AA486" i="14"/>
  <c r="AA390" i="14"/>
  <c r="AA376" i="14"/>
  <c r="AA87" i="14"/>
  <c r="AA428" i="14"/>
  <c r="AA422" i="14"/>
  <c r="AA352" i="14"/>
  <c r="AA79" i="14"/>
  <c r="AA65" i="14"/>
  <c r="AA424" i="14"/>
  <c r="AA135" i="14"/>
  <c r="AA402" i="14"/>
  <c r="AA73" i="14"/>
  <c r="AA131" i="14"/>
  <c r="X223" i="14"/>
  <c r="Y223" i="14" s="1"/>
  <c r="AA85" i="14"/>
  <c r="AA420" i="14"/>
  <c r="AA490" i="14"/>
  <c r="AA17" i="14"/>
  <c r="AA8" i="14"/>
  <c r="AA43" i="14"/>
  <c r="AA40" i="14"/>
  <c r="AA9" i="14"/>
  <c r="AA7" i="14"/>
  <c r="AA16" i="14"/>
  <c r="AA20" i="14"/>
  <c r="AA14" i="14"/>
  <c r="AA45" i="14"/>
  <c r="AA22" i="14"/>
  <c r="AA41" i="14"/>
  <c r="X254" i="14"/>
  <c r="Y254" i="14" s="1"/>
  <c r="AA47" i="14"/>
  <c r="V223" i="14"/>
  <c r="W223" i="14" s="1"/>
  <c r="Z366" i="14"/>
  <c r="Z430" i="14"/>
  <c r="Z416" i="14"/>
  <c r="Z470" i="14"/>
  <c r="Z414" i="14"/>
  <c r="Z79" i="14"/>
  <c r="Z17" i="14"/>
  <c r="Z67" i="14"/>
  <c r="Z402" i="14"/>
  <c r="Z85" i="14"/>
  <c r="Z43" i="14"/>
  <c r="Z362" i="14"/>
  <c r="Z65" i="14"/>
  <c r="Z390" i="14"/>
  <c r="Z20" i="14"/>
  <c r="Z14" i="14"/>
  <c r="Z47" i="14"/>
  <c r="Z40" i="14"/>
  <c r="Z63" i="14"/>
  <c r="Z424" i="14"/>
  <c r="Y81" i="14"/>
  <c r="Z81" i="14"/>
  <c r="Y406" i="14"/>
  <c r="Z406" i="14"/>
  <c r="Y238" i="14"/>
  <c r="Z238" i="14"/>
  <c r="Y378" i="14"/>
  <c r="Z378" i="14"/>
  <c r="Y86" i="14"/>
  <c r="Z86" i="14"/>
  <c r="Y446" i="14"/>
  <c r="Z446" i="14"/>
  <c r="Y370" i="14"/>
  <c r="Z370" i="14"/>
  <c r="X18" i="14"/>
  <c r="Y18" i="14" s="1"/>
  <c r="V91" i="14"/>
  <c r="W91" i="14" s="1"/>
  <c r="Y394" i="14"/>
  <c r="Z394" i="14"/>
  <c r="Y101" i="14"/>
  <c r="Z101" i="14"/>
  <c r="Y33" i="14"/>
  <c r="Z33" i="14"/>
  <c r="Y450" i="14"/>
  <c r="Z450" i="14"/>
  <c r="X432" i="14"/>
  <c r="Y432" i="14" s="1"/>
  <c r="Z422" i="14"/>
  <c r="Y358" i="14"/>
  <c r="Z358" i="14"/>
  <c r="Y442" i="14"/>
  <c r="Z442" i="14"/>
  <c r="Z45" i="14"/>
  <c r="X337" i="14"/>
  <c r="Y337" i="14" s="1"/>
  <c r="Z59" i="14"/>
  <c r="V297" i="14"/>
  <c r="W297" i="14" s="1"/>
  <c r="Z350" i="14"/>
  <c r="Z8" i="14"/>
  <c r="X286" i="14"/>
  <c r="Y286" i="14" s="1"/>
  <c r="Z398" i="14"/>
  <c r="Z270" i="14"/>
  <c r="Z53" i="14"/>
  <c r="Z374" i="14"/>
  <c r="Z131" i="14"/>
  <c r="Z187" i="14"/>
  <c r="Z352" i="14"/>
  <c r="Z486" i="14"/>
  <c r="Z420" i="14"/>
  <c r="V256" i="14"/>
  <c r="W256" i="14" s="1"/>
  <c r="Z494" i="14"/>
  <c r="Z376" i="14"/>
  <c r="Z55" i="14"/>
  <c r="Z41" i="14"/>
  <c r="Z22" i="14"/>
  <c r="V175" i="14"/>
  <c r="W175" i="14" s="1"/>
  <c r="Z428" i="14"/>
  <c r="Z9" i="14"/>
  <c r="V150" i="14"/>
  <c r="W150" i="14" s="1"/>
  <c r="Z426" i="14"/>
  <c r="Z87" i="14"/>
  <c r="Z73" i="14"/>
  <c r="Z7" i="14"/>
  <c r="V165" i="14"/>
  <c r="W165" i="14" s="1"/>
  <c r="Z490" i="14"/>
  <c r="Z16" i="14"/>
  <c r="Z135" i="14"/>
  <c r="X2" i="14"/>
  <c r="Y2" i="14" s="1"/>
  <c r="V337" i="14"/>
  <c r="W337" i="14" s="1"/>
  <c r="V286" i="14"/>
  <c r="W286" i="14" s="1"/>
  <c r="X297" i="14"/>
  <c r="Y297" i="14" s="1"/>
  <c r="X150" i="14"/>
  <c r="Y150" i="14" s="1"/>
  <c r="V18" i="14"/>
  <c r="W18" i="14" s="1"/>
  <c r="V432" i="14"/>
  <c r="W432" i="14" s="1"/>
  <c r="X175" i="14"/>
  <c r="Y175" i="14" s="1"/>
  <c r="X165" i="14"/>
  <c r="Y165" i="14" s="1"/>
  <c r="X256" i="14"/>
  <c r="Y256" i="14" s="1"/>
  <c r="X91" i="14"/>
  <c r="Y91" i="14" s="1"/>
  <c r="V162" i="14"/>
  <c r="W162" i="14" s="1"/>
  <c r="X162" i="14"/>
  <c r="Y162" i="14" s="1"/>
  <c r="V465" i="14"/>
  <c r="W465" i="14" s="1"/>
  <c r="X465" i="14"/>
  <c r="Y465" i="14" s="1"/>
  <c r="V302" i="14"/>
  <c r="W302" i="14" s="1"/>
  <c r="X302" i="14"/>
  <c r="Y302" i="14" s="1"/>
  <c r="V178" i="14"/>
  <c r="W178" i="14" s="1"/>
  <c r="X178" i="14"/>
  <c r="Y178" i="14" s="1"/>
  <c r="V421" i="14"/>
  <c r="W421" i="14" s="1"/>
  <c r="X421" i="14"/>
  <c r="Y421" i="14" s="1"/>
  <c r="V488" i="14"/>
  <c r="W488" i="14" s="1"/>
  <c r="X488" i="14"/>
  <c r="Y488" i="14" s="1"/>
  <c r="V11" i="14"/>
  <c r="W11" i="14" s="1"/>
  <c r="X11" i="14"/>
  <c r="Y11" i="14" s="1"/>
  <c r="V167" i="14"/>
  <c r="W167" i="14" s="1"/>
  <c r="X167" i="14"/>
  <c r="Y167" i="14" s="1"/>
  <c r="V413" i="14"/>
  <c r="W413" i="14" s="1"/>
  <c r="X413" i="14"/>
  <c r="Y413" i="14" s="1"/>
  <c r="V98" i="14"/>
  <c r="W98" i="14" s="1"/>
  <c r="X98" i="14"/>
  <c r="Y98" i="14" s="1"/>
  <c r="V299" i="14"/>
  <c r="W299" i="14" s="1"/>
  <c r="X299" i="14"/>
  <c r="Y299" i="14" s="1"/>
  <c r="V505" i="14"/>
  <c r="W505" i="14" s="1"/>
  <c r="X505" i="14"/>
  <c r="Y505" i="14" s="1"/>
  <c r="V15" i="14"/>
  <c r="W15" i="14" s="1"/>
  <c r="X15" i="14"/>
  <c r="Y15" i="14" s="1"/>
  <c r="V147" i="14"/>
  <c r="W147" i="14" s="1"/>
  <c r="X147" i="14"/>
  <c r="Y147" i="14" s="1"/>
  <c r="V120" i="14"/>
  <c r="W120" i="14" s="1"/>
  <c r="X120" i="14"/>
  <c r="Y120" i="14" s="1"/>
  <c r="V315" i="14"/>
  <c r="W315" i="14" s="1"/>
  <c r="X315" i="14"/>
  <c r="Y315" i="14" s="1"/>
  <c r="V419" i="14"/>
  <c r="W419" i="14" s="1"/>
  <c r="X419" i="14"/>
  <c r="Y419" i="14" s="1"/>
  <c r="V485" i="14"/>
  <c r="W485" i="14" s="1"/>
  <c r="X485" i="14"/>
  <c r="Y485" i="14" s="1"/>
  <c r="V217" i="14"/>
  <c r="W217" i="14" s="1"/>
  <c r="X217" i="14"/>
  <c r="Y217" i="14" s="1"/>
  <c r="V191" i="14"/>
  <c r="W191" i="14" s="1"/>
  <c r="X191" i="14"/>
  <c r="Y191" i="14" s="1"/>
  <c r="V104" i="14"/>
  <c r="W104" i="14" s="1"/>
  <c r="X104" i="14"/>
  <c r="Y104" i="14" s="1"/>
  <c r="V261" i="14"/>
  <c r="W261" i="14" s="1"/>
  <c r="X261" i="14"/>
  <c r="Y261" i="14" s="1"/>
  <c r="V383" i="14"/>
  <c r="W383" i="14" s="1"/>
  <c r="X383" i="14"/>
  <c r="Y383" i="14" s="1"/>
  <c r="V331" i="14"/>
  <c r="W331" i="14" s="1"/>
  <c r="X331" i="14"/>
  <c r="Y331" i="14" s="1"/>
  <c r="V125" i="14"/>
  <c r="W125" i="14" s="1"/>
  <c r="X125" i="14"/>
  <c r="Y125" i="14" s="1"/>
  <c r="V247" i="14"/>
  <c r="W247" i="14" s="1"/>
  <c r="X247" i="14"/>
  <c r="Y247" i="14" s="1"/>
  <c r="V409" i="14"/>
  <c r="W409" i="14" s="1"/>
  <c r="X409" i="14"/>
  <c r="Y409" i="14" s="1"/>
  <c r="V501" i="14"/>
  <c r="W501" i="14" s="1"/>
  <c r="X501" i="14"/>
  <c r="Y501" i="14" s="1"/>
  <c r="V311" i="14"/>
  <c r="W311" i="14" s="1"/>
  <c r="X311" i="14"/>
  <c r="Y311" i="14" s="1"/>
  <c r="V274" i="14"/>
  <c r="W274" i="14" s="1"/>
  <c r="X274" i="14"/>
  <c r="Y274" i="14" s="1"/>
  <c r="V479" i="14"/>
  <c r="W479" i="14" s="1"/>
  <c r="X479" i="14"/>
  <c r="Y479" i="14" s="1"/>
  <c r="V192" i="14"/>
  <c r="W192" i="14" s="1"/>
  <c r="X192" i="14"/>
  <c r="Y192" i="14" s="1"/>
  <c r="V345" i="14"/>
  <c r="W345" i="14" s="1"/>
  <c r="X345" i="14"/>
  <c r="Y345" i="14" s="1"/>
  <c r="V212" i="14"/>
  <c r="W212" i="14" s="1"/>
  <c r="X212" i="14"/>
  <c r="Y212" i="14" s="1"/>
  <c r="V434" i="14"/>
  <c r="W434" i="14" s="1"/>
  <c r="X434" i="14"/>
  <c r="Y434" i="14" s="1"/>
  <c r="V31" i="14"/>
  <c r="W31" i="14" s="1"/>
  <c r="X31" i="14"/>
  <c r="Y31" i="14" s="1"/>
  <c r="V237" i="14"/>
  <c r="W237" i="14" s="1"/>
  <c r="X237" i="14"/>
  <c r="Y237" i="14" s="1"/>
  <c r="V492" i="14"/>
  <c r="W492" i="14" s="1"/>
  <c r="X492" i="14"/>
  <c r="Y492" i="14" s="1"/>
  <c r="V240" i="14"/>
  <c r="W240" i="14" s="1"/>
  <c r="X240" i="14"/>
  <c r="Y240" i="14" s="1"/>
  <c r="V354" i="14"/>
  <c r="W354" i="14" s="1"/>
  <c r="X354" i="14"/>
  <c r="Y354" i="14" s="1"/>
  <c r="V380" i="14"/>
  <c r="W380" i="14" s="1"/>
  <c r="X380" i="14"/>
  <c r="Y380" i="14" s="1"/>
  <c r="V71" i="14"/>
  <c r="W71" i="14" s="1"/>
  <c r="X71" i="14"/>
  <c r="Y71" i="14" s="1"/>
  <c r="V500" i="14"/>
  <c r="W500" i="14" s="1"/>
  <c r="X500" i="14"/>
  <c r="Y500" i="14" s="1"/>
  <c r="V153" i="14"/>
  <c r="W153" i="14" s="1"/>
  <c r="X153" i="14"/>
  <c r="Y153" i="14" s="1"/>
  <c r="V58" i="14"/>
  <c r="W58" i="14" s="1"/>
  <c r="X58" i="14"/>
  <c r="Y58" i="14" s="1"/>
  <c r="V452" i="14"/>
  <c r="W452" i="14" s="1"/>
  <c r="X452" i="14"/>
  <c r="Y452" i="14" s="1"/>
  <c r="V166" i="14"/>
  <c r="W166" i="14" s="1"/>
  <c r="X166" i="14"/>
  <c r="Y166" i="14" s="1"/>
  <c r="V51" i="14"/>
  <c r="W51" i="14" s="1"/>
  <c r="X51" i="14"/>
  <c r="Y51" i="14" s="1"/>
  <c r="V290" i="14"/>
  <c r="W290" i="14" s="1"/>
  <c r="X290" i="14"/>
  <c r="Y290" i="14" s="1"/>
  <c r="V405" i="14"/>
  <c r="W405" i="14" s="1"/>
  <c r="X405" i="14"/>
  <c r="Y405" i="14" s="1"/>
  <c r="V478" i="14"/>
  <c r="W478" i="14" s="1"/>
  <c r="X478" i="14"/>
  <c r="Y478" i="14" s="1"/>
  <c r="V88" i="14"/>
  <c r="W88" i="14" s="1"/>
  <c r="X88" i="14"/>
  <c r="Y88" i="14" s="1"/>
  <c r="V429" i="14"/>
  <c r="W429" i="14" s="1"/>
  <c r="X429" i="14"/>
  <c r="Y429" i="14" s="1"/>
  <c r="V221" i="14"/>
  <c r="W221" i="14" s="1"/>
  <c r="X221" i="14"/>
  <c r="Y221" i="14" s="1"/>
  <c r="V6" i="14"/>
  <c r="W6" i="14" s="1"/>
  <c r="X6" i="14"/>
  <c r="Y6" i="14" s="1"/>
  <c r="V36" i="14"/>
  <c r="W36" i="14" s="1"/>
  <c r="X36" i="14"/>
  <c r="Y36" i="14" s="1"/>
  <c r="V248" i="14"/>
  <c r="W248" i="14" s="1"/>
  <c r="X248" i="14"/>
  <c r="Y248" i="14" s="1"/>
  <c r="V502" i="14"/>
  <c r="W502" i="14" s="1"/>
  <c r="X502" i="14"/>
  <c r="Y502" i="14" s="1"/>
  <c r="V281" i="14"/>
  <c r="W281" i="14" s="1"/>
  <c r="X281" i="14"/>
  <c r="Y281" i="14" s="1"/>
  <c r="V400" i="14"/>
  <c r="W400" i="14" s="1"/>
  <c r="X400" i="14"/>
  <c r="Y400" i="14" s="1"/>
  <c r="V392" i="14"/>
  <c r="W392" i="14" s="1"/>
  <c r="X392" i="14"/>
  <c r="Y392" i="14" s="1"/>
  <c r="V181" i="14"/>
  <c r="W181" i="14" s="1"/>
  <c r="X181" i="14"/>
  <c r="Y181" i="14" s="1"/>
  <c r="V173" i="14"/>
  <c r="W173" i="14" s="1"/>
  <c r="X173" i="14"/>
  <c r="Y173" i="14" s="1"/>
  <c r="V317" i="14"/>
  <c r="W317" i="14" s="1"/>
  <c r="X317" i="14"/>
  <c r="Y317" i="14" s="1"/>
  <c r="V319" i="14"/>
  <c r="W319" i="14" s="1"/>
  <c r="X319" i="14"/>
  <c r="Y319" i="14" s="1"/>
  <c r="V373" i="14"/>
  <c r="W373" i="14" s="1"/>
  <c r="X373" i="14"/>
  <c r="Y373" i="14" s="1"/>
  <c r="V260" i="14"/>
  <c r="W260" i="14" s="1"/>
  <c r="X260" i="14"/>
  <c r="Y260" i="14" s="1"/>
  <c r="V349" i="14"/>
  <c r="W349" i="14" s="1"/>
  <c r="X349" i="14"/>
  <c r="Y349" i="14" s="1"/>
  <c r="V198" i="14"/>
  <c r="W198" i="14" s="1"/>
  <c r="X198" i="14"/>
  <c r="Y198" i="14" s="1"/>
  <c r="V433" i="14"/>
  <c r="W433" i="14" s="1"/>
  <c r="X433" i="14"/>
  <c r="Y433" i="14" s="1"/>
  <c r="V234" i="14"/>
  <c r="W234" i="14" s="1"/>
  <c r="X234" i="14"/>
  <c r="Y234" i="14" s="1"/>
  <c r="V401" i="14"/>
  <c r="W401" i="14" s="1"/>
  <c r="X401" i="14"/>
  <c r="Y401" i="14" s="1"/>
  <c r="V295" i="14"/>
  <c r="W295" i="14" s="1"/>
  <c r="X295" i="14"/>
  <c r="Y295" i="14" s="1"/>
  <c r="V361" i="14"/>
  <c r="W361" i="14" s="1"/>
  <c r="X361" i="14"/>
  <c r="Y361" i="14" s="1"/>
  <c r="V410" i="14"/>
  <c r="W410" i="14" s="1"/>
  <c r="X410" i="14"/>
  <c r="Y410" i="14" s="1"/>
  <c r="V56" i="14"/>
  <c r="W56" i="14" s="1"/>
  <c r="X56" i="14"/>
  <c r="Y56" i="14" s="1"/>
  <c r="V245" i="14"/>
  <c r="W245" i="14" s="1"/>
  <c r="X245" i="14"/>
  <c r="Y245" i="14" s="1"/>
  <c r="V507" i="14"/>
  <c r="W507" i="14" s="1"/>
  <c r="X507" i="14"/>
  <c r="Y507" i="14" s="1"/>
  <c r="V179" i="14"/>
  <c r="W179" i="14" s="1"/>
  <c r="X179" i="14"/>
  <c r="Y179" i="14" s="1"/>
  <c r="V210" i="14"/>
  <c r="W210" i="14" s="1"/>
  <c r="X210" i="14"/>
  <c r="Y210" i="14" s="1"/>
  <c r="V60" i="14"/>
  <c r="W60" i="14" s="1"/>
  <c r="X60" i="14"/>
  <c r="Y60" i="14" s="1"/>
  <c r="V184" i="14"/>
  <c r="W184" i="14" s="1"/>
  <c r="X184" i="14"/>
  <c r="Y184" i="14" s="1"/>
  <c r="V441" i="14"/>
  <c r="W441" i="14" s="1"/>
  <c r="X441" i="14"/>
  <c r="Y441" i="14" s="1"/>
  <c r="V68" i="14"/>
  <c r="W68" i="14" s="1"/>
  <c r="X68" i="14"/>
  <c r="Y68" i="14" s="1"/>
  <c r="V157" i="14"/>
  <c r="W157" i="14" s="1"/>
  <c r="X157" i="14"/>
  <c r="Y157" i="14" s="1"/>
  <c r="V222" i="14"/>
  <c r="W222" i="14" s="1"/>
  <c r="X222" i="14"/>
  <c r="Y222" i="14" s="1"/>
  <c r="V231" i="14"/>
  <c r="W231" i="14" s="1"/>
  <c r="X231" i="14"/>
  <c r="Y231" i="14" s="1"/>
  <c r="V119" i="14"/>
  <c r="W119" i="14" s="1"/>
  <c r="X119" i="14"/>
  <c r="Y119" i="14" s="1"/>
  <c r="V49" i="14"/>
  <c r="W49" i="14" s="1"/>
  <c r="X49" i="14"/>
  <c r="Y49" i="14" s="1"/>
  <c r="V257" i="14"/>
  <c r="W257" i="14" s="1"/>
  <c r="X257" i="14"/>
  <c r="Y257" i="14" s="1"/>
  <c r="V510" i="14"/>
  <c r="W510" i="14" s="1"/>
  <c r="X510" i="14"/>
  <c r="Y510" i="14" s="1"/>
  <c r="V333" i="14"/>
  <c r="W333" i="14" s="1"/>
  <c r="X333" i="14"/>
  <c r="Y333" i="14" s="1"/>
  <c r="V12" i="14"/>
  <c r="W12" i="14" s="1"/>
  <c r="X12" i="14"/>
  <c r="Y12" i="14" s="1"/>
  <c r="V177" i="14"/>
  <c r="W177" i="14" s="1"/>
  <c r="X177" i="14"/>
  <c r="Y177" i="14" s="1"/>
  <c r="V249" i="14"/>
  <c r="W249" i="14" s="1"/>
  <c r="X249" i="14"/>
  <c r="Y249" i="14" s="1"/>
  <c r="V280" i="14"/>
  <c r="W280" i="14" s="1"/>
  <c r="X280" i="14"/>
  <c r="Y280" i="14" s="1"/>
  <c r="V347" i="14"/>
  <c r="W347" i="14" s="1"/>
  <c r="X347" i="14"/>
  <c r="Y347" i="14" s="1"/>
  <c r="V195" i="14"/>
  <c r="W195" i="14" s="1"/>
  <c r="X195" i="14"/>
  <c r="Y195" i="14" s="1"/>
  <c r="V473" i="14"/>
  <c r="W473" i="14" s="1"/>
  <c r="X473" i="14"/>
  <c r="Y473" i="14" s="1"/>
  <c r="V484" i="14"/>
  <c r="W484" i="14" s="1"/>
  <c r="X484" i="14"/>
  <c r="Y484" i="14" s="1"/>
  <c r="V207" i="14"/>
  <c r="W207" i="14" s="1"/>
  <c r="X207" i="14"/>
  <c r="Y207" i="14" s="1"/>
  <c r="V253" i="14"/>
  <c r="W253" i="14" s="1"/>
  <c r="X253" i="14"/>
  <c r="Y253" i="14" s="1"/>
  <c r="V289" i="14"/>
  <c r="W289" i="14" s="1"/>
  <c r="X289" i="14"/>
  <c r="Y289" i="14" s="1"/>
  <c r="V90" i="14"/>
  <c r="W90" i="14" s="1"/>
  <c r="X90" i="14"/>
  <c r="Y90" i="14" s="1"/>
  <c r="V213" i="14"/>
  <c r="W213" i="14" s="1"/>
  <c r="X213" i="14"/>
  <c r="Y213" i="14" s="1"/>
  <c r="V291" i="14"/>
  <c r="W291" i="14" s="1"/>
  <c r="X291" i="14"/>
  <c r="Y291" i="14" s="1"/>
  <c r="V219" i="14"/>
  <c r="W219" i="14" s="1"/>
  <c r="X219" i="14"/>
  <c r="Y219" i="14" s="1"/>
  <c r="V415" i="14"/>
  <c r="W415" i="14" s="1"/>
  <c r="X415" i="14"/>
  <c r="Y415" i="14" s="1"/>
  <c r="V185" i="14"/>
  <c r="W185" i="14" s="1"/>
  <c r="X185" i="14"/>
  <c r="Y185" i="14" s="1"/>
  <c r="V122" i="14"/>
  <c r="W122" i="14" s="1"/>
  <c r="X122" i="14"/>
  <c r="Y122" i="14" s="1"/>
  <c r="V461" i="14"/>
  <c r="W461" i="14" s="1"/>
  <c r="X461" i="14"/>
  <c r="Y461" i="14" s="1"/>
  <c r="V411" i="14"/>
  <c r="W411" i="14" s="1"/>
  <c r="X411" i="14"/>
  <c r="Y411" i="14" s="1"/>
  <c r="V482" i="14"/>
  <c r="W482" i="14" s="1"/>
  <c r="X482" i="14"/>
  <c r="Y482" i="14" s="1"/>
  <c r="V496" i="14"/>
  <c r="W496" i="14" s="1"/>
  <c r="X496" i="14"/>
  <c r="Y496" i="14" s="1"/>
  <c r="V64" i="14"/>
  <c r="W64" i="14" s="1"/>
  <c r="X64" i="14"/>
  <c r="Y64" i="14" s="1"/>
  <c r="V387" i="14"/>
  <c r="W387" i="14" s="1"/>
  <c r="X387" i="14"/>
  <c r="Y387" i="14" s="1"/>
  <c r="V271" i="14"/>
  <c r="W271" i="14" s="1"/>
  <c r="X271" i="14"/>
  <c r="Y271" i="14" s="1"/>
  <c r="V353" i="14"/>
  <c r="W353" i="14" s="1"/>
  <c r="X353" i="14"/>
  <c r="Y353" i="14" s="1"/>
  <c r="V80" i="14"/>
  <c r="W80" i="14" s="1"/>
  <c r="X80" i="14"/>
  <c r="Y80" i="14" s="1"/>
  <c r="V293" i="14"/>
  <c r="W293" i="14" s="1"/>
  <c r="X293" i="14"/>
  <c r="Y293" i="14" s="1"/>
  <c r="V132" i="14"/>
  <c r="W132" i="14" s="1"/>
  <c r="X132" i="14"/>
  <c r="Y132" i="14" s="1"/>
  <c r="V443" i="14"/>
  <c r="W443" i="14" s="1"/>
  <c r="X443" i="14"/>
  <c r="Y443" i="14" s="1"/>
  <c r="V72" i="14"/>
  <c r="W72" i="14" s="1"/>
  <c r="X72" i="14"/>
  <c r="Y72" i="14" s="1"/>
  <c r="V309" i="14"/>
  <c r="W309" i="14" s="1"/>
  <c r="X309" i="14"/>
  <c r="Y309" i="14" s="1"/>
  <c r="V156" i="14"/>
  <c r="W156" i="14" s="1"/>
  <c r="X156" i="14"/>
  <c r="Y156" i="14" s="1"/>
  <c r="V163" i="14"/>
  <c r="W163" i="14" s="1"/>
  <c r="X163" i="14"/>
  <c r="Y163" i="14" s="1"/>
  <c r="V164" i="14"/>
  <c r="W164" i="14" s="1"/>
  <c r="X164" i="14"/>
  <c r="Y164" i="14" s="1"/>
  <c r="V417" i="14"/>
  <c r="W417" i="14" s="1"/>
  <c r="X417" i="14"/>
  <c r="Y417" i="14" s="1"/>
  <c r="V255" i="14"/>
  <c r="W255" i="14" s="1"/>
  <c r="X255" i="14"/>
  <c r="Y255" i="14" s="1"/>
  <c r="V266" i="14"/>
  <c r="W266" i="14" s="1"/>
  <c r="X266" i="14"/>
  <c r="Y266" i="14" s="1"/>
  <c r="V449" i="14"/>
  <c r="W449" i="14" s="1"/>
  <c r="X449" i="14"/>
  <c r="Y449" i="14" s="1"/>
  <c r="V338" i="14"/>
  <c r="W338" i="14" s="1"/>
  <c r="X338" i="14"/>
  <c r="Y338" i="14" s="1"/>
  <c r="V493" i="14"/>
  <c r="W493" i="14" s="1"/>
  <c r="X493" i="14"/>
  <c r="Y493" i="14" s="1"/>
  <c r="V94" i="14"/>
  <c r="W94" i="14" s="1"/>
  <c r="X94" i="14"/>
  <c r="Y94" i="14" s="1"/>
  <c r="V264" i="14"/>
  <c r="W264" i="14" s="1"/>
  <c r="X264" i="14"/>
  <c r="Y264" i="14" s="1"/>
  <c r="V141" i="14"/>
  <c r="W141" i="14" s="1"/>
  <c r="X141" i="14"/>
  <c r="Y141" i="14" s="1"/>
  <c r="V69" i="14"/>
  <c r="W69" i="14" s="1"/>
  <c r="X69" i="14"/>
  <c r="Y69" i="14" s="1"/>
  <c r="V268" i="14"/>
  <c r="W268" i="14" s="1"/>
  <c r="X268" i="14"/>
  <c r="Y268" i="14" s="1"/>
  <c r="V77" i="14"/>
  <c r="W77" i="14" s="1"/>
  <c r="X77" i="14"/>
  <c r="Y77" i="14" s="1"/>
  <c r="V384" i="14"/>
  <c r="W384" i="14" s="1"/>
  <c r="X384" i="14"/>
  <c r="Y384" i="14" s="1"/>
  <c r="V117" i="14"/>
  <c r="W117" i="14" s="1"/>
  <c r="X117" i="14"/>
  <c r="Y117" i="14" s="1"/>
  <c r="V229" i="14"/>
  <c r="W229" i="14" s="1"/>
  <c r="X229" i="14"/>
  <c r="Y229" i="14" s="1"/>
  <c r="V123" i="14"/>
  <c r="W123" i="14" s="1"/>
  <c r="X123" i="14"/>
  <c r="Y123" i="14" s="1"/>
  <c r="V329" i="14"/>
  <c r="W329" i="14" s="1"/>
  <c r="X329" i="14"/>
  <c r="Y329" i="14" s="1"/>
  <c r="V288" i="14"/>
  <c r="W288" i="14" s="1"/>
  <c r="X288" i="14"/>
  <c r="Y288" i="14" s="1"/>
  <c r="V511" i="14"/>
  <c r="W511" i="14" s="1"/>
  <c r="X511" i="14"/>
  <c r="Y511" i="14" s="1"/>
  <c r="V335" i="14"/>
  <c r="W335" i="14" s="1"/>
  <c r="X335" i="14"/>
  <c r="Y335" i="14" s="1"/>
  <c r="V252" i="14"/>
  <c r="W252" i="14" s="1"/>
  <c r="X252" i="14"/>
  <c r="Y252" i="14" s="1"/>
  <c r="V121" i="14"/>
  <c r="W121" i="14" s="1"/>
  <c r="X121" i="14"/>
  <c r="Y121" i="14" s="1"/>
  <c r="V203" i="14"/>
  <c r="W203" i="14" s="1"/>
  <c r="X203" i="14"/>
  <c r="Y203" i="14" s="1"/>
  <c r="V377" i="14"/>
  <c r="W377" i="14" s="1"/>
  <c r="X377" i="14"/>
  <c r="Y377" i="14" s="1"/>
  <c r="V96" i="14"/>
  <c r="W96" i="14" s="1"/>
  <c r="X96" i="14"/>
  <c r="Y96" i="14" s="1"/>
  <c r="V112" i="14"/>
  <c r="W112" i="14" s="1"/>
  <c r="X112" i="14"/>
  <c r="Y112" i="14" s="1"/>
  <c r="V481" i="14"/>
  <c r="W481" i="14" s="1"/>
  <c r="X481" i="14"/>
  <c r="Y481" i="14" s="1"/>
  <c r="V230" i="14"/>
  <c r="W230" i="14" s="1"/>
  <c r="X230" i="14"/>
  <c r="Y230" i="14" s="1"/>
  <c r="V143" i="14"/>
  <c r="W143" i="14" s="1"/>
  <c r="X143" i="14"/>
  <c r="Y143" i="14" s="1"/>
  <c r="V351" i="14"/>
  <c r="W351" i="14" s="1"/>
  <c r="X351" i="14"/>
  <c r="Y351" i="14" s="1"/>
  <c r="V379" i="14"/>
  <c r="W379" i="14" s="1"/>
  <c r="X379" i="14"/>
  <c r="Y379" i="14" s="1"/>
  <c r="V239" i="14"/>
  <c r="W239" i="14" s="1"/>
  <c r="X239" i="14"/>
  <c r="Y239" i="14" s="1"/>
  <c r="V324" i="14"/>
  <c r="W324" i="14" s="1"/>
  <c r="X324" i="14"/>
  <c r="Y324" i="14" s="1"/>
  <c r="V418" i="14"/>
  <c r="W418" i="14" s="1"/>
  <c r="X418" i="14"/>
  <c r="Y418" i="14" s="1"/>
  <c r="V323" i="14"/>
  <c r="W323" i="14" s="1"/>
  <c r="X323" i="14"/>
  <c r="Y323" i="14" s="1"/>
  <c r="V277" i="14"/>
  <c r="W277" i="14" s="1"/>
  <c r="X277" i="14"/>
  <c r="Y277" i="14" s="1"/>
  <c r="V84" i="14"/>
  <c r="W84" i="14" s="1"/>
  <c r="X84" i="14"/>
  <c r="Y84" i="14" s="1"/>
  <c r="V258" i="14"/>
  <c r="W258" i="14" s="1"/>
  <c r="X258" i="14"/>
  <c r="Y258" i="14" s="1"/>
  <c r="V62" i="14"/>
  <c r="W62" i="14" s="1"/>
  <c r="X62" i="14"/>
  <c r="Y62" i="14" s="1"/>
  <c r="V136" i="14"/>
  <c r="W136" i="14" s="1"/>
  <c r="X136" i="14"/>
  <c r="Y136" i="14" s="1"/>
  <c r="V306" i="14"/>
  <c r="W306" i="14" s="1"/>
  <c r="X306" i="14"/>
  <c r="Y306" i="14" s="1"/>
  <c r="V399" i="14"/>
  <c r="W399" i="14" s="1"/>
  <c r="X399" i="14"/>
  <c r="Y399" i="14" s="1"/>
  <c r="V5" i="14"/>
  <c r="W5" i="14" s="1"/>
  <c r="X5" i="14"/>
  <c r="Y5" i="14" s="1"/>
  <c r="V116" i="14"/>
  <c r="W116" i="14" s="1"/>
  <c r="X116" i="14"/>
  <c r="Y116" i="14" s="1"/>
  <c r="V26" i="14"/>
  <c r="W26" i="14" s="1"/>
  <c r="X26" i="14"/>
  <c r="Y26" i="14" s="1"/>
  <c r="V172" i="14"/>
  <c r="W172" i="14" s="1"/>
  <c r="X172" i="14"/>
  <c r="Y172" i="14" s="1"/>
  <c r="V325" i="14"/>
  <c r="W325" i="14" s="1"/>
  <c r="X325" i="14"/>
  <c r="Y325" i="14" s="1"/>
  <c r="V196" i="14"/>
  <c r="W196" i="14" s="1"/>
  <c r="X196" i="14"/>
  <c r="Y196" i="14" s="1"/>
  <c r="V282" i="14"/>
  <c r="W282" i="14" s="1"/>
  <c r="X282" i="14"/>
  <c r="Y282" i="14" s="1"/>
  <c r="V463" i="14"/>
  <c r="W463" i="14" s="1"/>
  <c r="X463" i="14"/>
  <c r="Y463" i="14" s="1"/>
  <c r="V407" i="14"/>
  <c r="W407" i="14" s="1"/>
  <c r="X407" i="14"/>
  <c r="Y407" i="14" s="1"/>
  <c r="V471" i="14"/>
  <c r="W471" i="14" s="1"/>
  <c r="X471" i="14"/>
  <c r="Y471" i="14" s="1"/>
  <c r="V287" i="14"/>
  <c r="W287" i="14" s="1"/>
  <c r="X287" i="14"/>
  <c r="Y287" i="14" s="1"/>
  <c r="V487" i="14"/>
  <c r="W487" i="14" s="1"/>
  <c r="X487" i="14"/>
  <c r="Y487" i="14" s="1"/>
  <c r="V109" i="14"/>
  <c r="W109" i="14" s="1"/>
  <c r="X109" i="14"/>
  <c r="Y109" i="14" s="1"/>
  <c r="V360" i="14"/>
  <c r="W360" i="14" s="1"/>
  <c r="X360" i="14"/>
  <c r="Y360" i="14" s="1"/>
  <c r="V244" i="14"/>
  <c r="W244" i="14" s="1"/>
  <c r="X244" i="14"/>
  <c r="Y244" i="14" s="1"/>
  <c r="V75" i="14"/>
  <c r="W75" i="14" s="1"/>
  <c r="X75" i="14"/>
  <c r="Y75" i="14" s="1"/>
  <c r="V320" i="14"/>
  <c r="W320" i="14" s="1"/>
  <c r="X320" i="14"/>
  <c r="Y320" i="14" s="1"/>
  <c r="V197" i="14"/>
  <c r="W197" i="14" s="1"/>
  <c r="X197" i="14"/>
  <c r="Y197" i="14" s="1"/>
  <c r="V438" i="14"/>
  <c r="W438" i="14" s="1"/>
  <c r="X438" i="14"/>
  <c r="Y438" i="14" s="1"/>
  <c r="V142" i="14"/>
  <c r="W142" i="14" s="1"/>
  <c r="X142" i="14"/>
  <c r="Y142" i="14" s="1"/>
  <c r="V356" i="14"/>
  <c r="W356" i="14" s="1"/>
  <c r="X356" i="14"/>
  <c r="Y356" i="14" s="1"/>
  <c r="V149" i="14"/>
  <c r="W149" i="14" s="1"/>
  <c r="X149" i="14"/>
  <c r="Y149" i="14" s="1"/>
  <c r="V388" i="14"/>
  <c r="W388" i="14" s="1"/>
  <c r="X388" i="14"/>
  <c r="Y388" i="14" s="1"/>
  <c r="V127" i="14"/>
  <c r="W127" i="14" s="1"/>
  <c r="X127" i="14"/>
  <c r="Y127" i="14" s="1"/>
  <c r="V457" i="14"/>
  <c r="W457" i="14" s="1"/>
  <c r="X457" i="14"/>
  <c r="Y457" i="14" s="1"/>
  <c r="V396" i="14"/>
  <c r="W396" i="14" s="1"/>
  <c r="X396" i="14"/>
  <c r="Y396" i="14" s="1"/>
  <c r="V171" i="14"/>
  <c r="W171" i="14" s="1"/>
  <c r="X171" i="14"/>
  <c r="Y171" i="14" s="1"/>
  <c r="V42" i="14"/>
  <c r="W42" i="14" s="1"/>
  <c r="X42" i="14"/>
  <c r="Y42" i="14" s="1"/>
  <c r="V404" i="14"/>
  <c r="W404" i="14" s="1"/>
  <c r="X404" i="14"/>
  <c r="Y404" i="14" s="1"/>
  <c r="V294" i="14"/>
  <c r="W294" i="14" s="1"/>
  <c r="X294" i="14"/>
  <c r="Y294" i="14" s="1"/>
  <c r="V52" i="14"/>
  <c r="W52" i="14" s="1"/>
  <c r="X52" i="14"/>
  <c r="Y52" i="14" s="1"/>
  <c r="V375" i="14"/>
  <c r="W375" i="14" s="1"/>
  <c r="X375" i="14"/>
  <c r="Y375" i="14" s="1"/>
  <c r="V469" i="14"/>
  <c r="W469" i="14" s="1"/>
  <c r="X469" i="14"/>
  <c r="Y469" i="14" s="1"/>
  <c r="V61" i="14"/>
  <c r="W61" i="14" s="1"/>
  <c r="X61" i="14"/>
  <c r="Y61" i="14" s="1"/>
  <c r="V464" i="14"/>
  <c r="W464" i="14" s="1"/>
  <c r="X464" i="14"/>
  <c r="Y464" i="14" s="1"/>
  <c r="V296" i="14"/>
  <c r="W296" i="14" s="1"/>
  <c r="X296" i="14"/>
  <c r="Y296" i="14" s="1"/>
  <c r="V462" i="14"/>
  <c r="W462" i="14" s="1"/>
  <c r="X462" i="14"/>
  <c r="Y462" i="14" s="1"/>
  <c r="V307" i="14"/>
  <c r="W307" i="14" s="1"/>
  <c r="X307" i="14"/>
  <c r="Y307" i="14" s="1"/>
  <c r="V225" i="14"/>
  <c r="W225" i="14" s="1"/>
  <c r="X225" i="14"/>
  <c r="Y225" i="14" s="1"/>
  <c r="V330" i="14"/>
  <c r="W330" i="14" s="1"/>
  <c r="X330" i="14"/>
  <c r="Y330" i="14" s="1"/>
  <c r="V25" i="14"/>
  <c r="W25" i="14" s="1"/>
  <c r="X25" i="14"/>
  <c r="Y25" i="14" s="1"/>
  <c r="V321" i="14"/>
  <c r="W321" i="14" s="1"/>
  <c r="X321" i="14"/>
  <c r="Y321" i="14" s="1"/>
  <c r="V508" i="14"/>
  <c r="W508" i="14" s="1"/>
  <c r="X508" i="14"/>
  <c r="Y508" i="14" s="1"/>
  <c r="V152" i="14"/>
  <c r="W152" i="14" s="1"/>
  <c r="X152" i="14"/>
  <c r="Y152" i="14" s="1"/>
  <c r="V339" i="14"/>
  <c r="W339" i="14" s="1"/>
  <c r="X339" i="14"/>
  <c r="Y339" i="14" s="1"/>
  <c r="V144" i="14"/>
  <c r="W144" i="14" s="1"/>
  <c r="X144" i="14"/>
  <c r="Y144" i="14" s="1"/>
  <c r="V186" i="14"/>
  <c r="W186" i="14" s="1"/>
  <c r="X186" i="14"/>
  <c r="Y186" i="14" s="1"/>
  <c r="V391" i="14"/>
  <c r="W391" i="14" s="1"/>
  <c r="X391" i="14"/>
  <c r="Y391" i="14" s="1"/>
  <c r="V110" i="14"/>
  <c r="W110" i="14" s="1"/>
  <c r="X110" i="14"/>
  <c r="Y110" i="14" s="1"/>
  <c r="V124" i="14"/>
  <c r="W124" i="14" s="1"/>
  <c r="X124" i="14"/>
  <c r="Y124" i="14" s="1"/>
  <c r="V154" i="14"/>
  <c r="W154" i="14" s="1"/>
  <c r="X154" i="14"/>
  <c r="Y154" i="14" s="1"/>
  <c r="V303" i="14"/>
  <c r="W303" i="14" s="1"/>
  <c r="X303" i="14"/>
  <c r="Y303" i="14" s="1"/>
  <c r="V233" i="14"/>
  <c r="W233" i="14" s="1"/>
  <c r="X233" i="14"/>
  <c r="Y233" i="14" s="1"/>
  <c r="V140" i="14"/>
  <c r="W140" i="14" s="1"/>
  <c r="X140" i="14"/>
  <c r="Y140" i="14" s="1"/>
  <c r="V168" i="14"/>
  <c r="W168" i="14" s="1"/>
  <c r="X168" i="14"/>
  <c r="Y168" i="14" s="1"/>
  <c r="V108" i="14"/>
  <c r="W108" i="14" s="1"/>
  <c r="X108" i="14"/>
  <c r="Y108" i="14" s="1"/>
  <c r="V129" i="14"/>
  <c r="W129" i="14" s="1"/>
  <c r="X129" i="14"/>
  <c r="Y129" i="14" s="1"/>
  <c r="V46" i="14"/>
  <c r="W46" i="14" s="1"/>
  <c r="X46" i="14"/>
  <c r="Y46" i="14" s="1"/>
  <c r="V188" i="14"/>
  <c r="W188" i="14" s="1"/>
  <c r="X188" i="14"/>
  <c r="Y188" i="14" s="1"/>
  <c r="V176" i="14"/>
  <c r="W176" i="14" s="1"/>
  <c r="X176" i="14"/>
  <c r="Y176" i="14" s="1"/>
  <c r="V431" i="14"/>
  <c r="W431" i="14" s="1"/>
  <c r="X431" i="14"/>
  <c r="Y431" i="14" s="1"/>
  <c r="V284" i="14"/>
  <c r="W284" i="14" s="1"/>
  <c r="X284" i="14"/>
  <c r="Y284" i="14" s="1"/>
  <c r="V30" i="14"/>
  <c r="W30" i="14" s="1"/>
  <c r="X30" i="14"/>
  <c r="Y30" i="14" s="1"/>
  <c r="V114" i="14"/>
  <c r="W114" i="14" s="1"/>
  <c r="X114" i="14"/>
  <c r="Y114" i="14" s="1"/>
  <c r="V50" i="14"/>
  <c r="W50" i="14" s="1"/>
  <c r="X50" i="14"/>
  <c r="Y50" i="14" s="1"/>
  <c r="V148" i="14"/>
  <c r="W148" i="14" s="1"/>
  <c r="X148" i="14"/>
  <c r="Y148" i="14" s="1"/>
  <c r="V341" i="14"/>
  <c r="W341" i="14" s="1"/>
  <c r="X341" i="14"/>
  <c r="Y341" i="14" s="1"/>
  <c r="V130" i="14"/>
  <c r="W130" i="14" s="1"/>
  <c r="X130" i="14"/>
  <c r="Y130" i="14" s="1"/>
  <c r="V246" i="14"/>
  <c r="W246" i="14" s="1"/>
  <c r="X246" i="14"/>
  <c r="Y246" i="14" s="1"/>
  <c r="V189" i="14"/>
  <c r="W189" i="14" s="1"/>
  <c r="X189" i="14"/>
  <c r="Y189" i="14" s="1"/>
  <c r="V242" i="14"/>
  <c r="W242" i="14" s="1"/>
  <c r="X242" i="14"/>
  <c r="Y242" i="14" s="1"/>
  <c r="V300" i="14"/>
  <c r="W300" i="14" s="1"/>
  <c r="X300" i="14"/>
  <c r="Y300" i="14" s="1"/>
  <c r="V292" i="14"/>
  <c r="W292" i="14" s="1"/>
  <c r="X292" i="14"/>
  <c r="Y292" i="14" s="1"/>
  <c r="V437" i="14"/>
  <c r="W437" i="14" s="1"/>
  <c r="X437" i="14"/>
  <c r="Y437" i="14" s="1"/>
  <c r="V322" i="14"/>
  <c r="W322" i="14" s="1"/>
  <c r="X322" i="14"/>
  <c r="Y322" i="14" s="1"/>
  <c r="V139" i="14"/>
  <c r="W139" i="14" s="1"/>
  <c r="X139" i="14"/>
  <c r="Y139" i="14" s="1"/>
  <c r="V368" i="14"/>
  <c r="W368" i="14" s="1"/>
  <c r="X368" i="14"/>
  <c r="Y368" i="14" s="1"/>
  <c r="V265" i="14"/>
  <c r="W265" i="14" s="1"/>
  <c r="X265" i="14"/>
  <c r="Y265" i="14" s="1"/>
  <c r="V82" i="14"/>
  <c r="W82" i="14" s="1"/>
  <c r="X82" i="14"/>
  <c r="Y82" i="14" s="1"/>
  <c r="V372" i="14"/>
  <c r="W372" i="14" s="1"/>
  <c r="X372" i="14"/>
  <c r="Y372" i="14" s="1"/>
  <c r="V218" i="14"/>
  <c r="W218" i="14" s="1"/>
  <c r="X218" i="14"/>
  <c r="Y218" i="14" s="1"/>
  <c r="V474" i="14"/>
  <c r="W474" i="14" s="1"/>
  <c r="X474" i="14"/>
  <c r="Y474" i="14" s="1"/>
  <c r="V269" i="14"/>
  <c r="W269" i="14" s="1"/>
  <c r="X269" i="14"/>
  <c r="Y269" i="14" s="1"/>
  <c r="V27" i="14"/>
  <c r="W27" i="14" s="1"/>
  <c r="X27" i="14"/>
  <c r="Y27" i="14" s="1"/>
  <c r="V159" i="14"/>
  <c r="W159" i="14" s="1"/>
  <c r="X159" i="14"/>
  <c r="Y159" i="14" s="1"/>
  <c r="V472" i="14"/>
  <c r="W472" i="14" s="1"/>
  <c r="X472" i="14"/>
  <c r="Y472" i="14" s="1"/>
  <c r="V155" i="14"/>
  <c r="W155" i="14" s="1"/>
  <c r="X155" i="14"/>
  <c r="Y155" i="14" s="1"/>
  <c r="V89" i="14"/>
  <c r="W89" i="14" s="1"/>
  <c r="X89" i="14"/>
  <c r="Y89" i="14" s="1"/>
  <c r="V458" i="14"/>
  <c r="W458" i="14" s="1"/>
  <c r="X458" i="14"/>
  <c r="Y458" i="14" s="1"/>
  <c r="V344" i="14"/>
  <c r="W344" i="14" s="1"/>
  <c r="X344" i="14"/>
  <c r="Y344" i="14" s="1"/>
  <c r="V308" i="14"/>
  <c r="W308" i="14" s="1"/>
  <c r="X308" i="14"/>
  <c r="Y308" i="14" s="1"/>
  <c r="V504" i="14"/>
  <c r="W504" i="14" s="1"/>
  <c r="X504" i="14"/>
  <c r="Y504" i="14" s="1"/>
  <c r="V111" i="14"/>
  <c r="W111" i="14" s="1"/>
  <c r="X111" i="14"/>
  <c r="Y111" i="14" s="1"/>
  <c r="V200" i="14"/>
  <c r="W200" i="14" s="1"/>
  <c r="X200" i="14"/>
  <c r="Y200" i="14" s="1"/>
  <c r="V279" i="14"/>
  <c r="W279" i="14" s="1"/>
  <c r="X279" i="14"/>
  <c r="Y279" i="14" s="1"/>
  <c r="V365" i="14"/>
  <c r="W365" i="14" s="1"/>
  <c r="X365" i="14"/>
  <c r="Y365" i="14" s="1"/>
  <c r="V102" i="14"/>
  <c r="W102" i="14" s="1"/>
  <c r="X102" i="14"/>
  <c r="Y102" i="14" s="1"/>
  <c r="V126" i="14"/>
  <c r="W126" i="14" s="1"/>
  <c r="X126" i="14"/>
  <c r="Y126" i="14" s="1"/>
  <c r="V209" i="14"/>
  <c r="W209" i="14" s="1"/>
  <c r="X209" i="14"/>
  <c r="Y209" i="14" s="1"/>
  <c r="V128" i="14"/>
  <c r="W128" i="14" s="1"/>
  <c r="X128" i="14"/>
  <c r="Y128" i="14" s="1"/>
  <c r="V180" i="14"/>
  <c r="W180" i="14" s="1"/>
  <c r="X180" i="14"/>
  <c r="Y180" i="14" s="1"/>
  <c r="V355" i="14"/>
  <c r="W355" i="14" s="1"/>
  <c r="X355" i="14"/>
  <c r="Y355" i="14" s="1"/>
  <c r="V206" i="14"/>
  <c r="W206" i="14" s="1"/>
  <c r="X206" i="14"/>
  <c r="Y206" i="14" s="1"/>
  <c r="V310" i="14"/>
  <c r="W310" i="14" s="1"/>
  <c r="X310" i="14"/>
  <c r="Y310" i="14" s="1"/>
  <c r="V236" i="14"/>
  <c r="W236" i="14" s="1"/>
  <c r="X236" i="14"/>
  <c r="Y236" i="14" s="1"/>
  <c r="V381" i="14"/>
  <c r="W381" i="14" s="1"/>
  <c r="X381" i="14"/>
  <c r="Y381" i="14" s="1"/>
  <c r="V263" i="14"/>
  <c r="W263" i="14" s="1"/>
  <c r="X263" i="14"/>
  <c r="Y263" i="14" s="1"/>
  <c r="V440" i="14"/>
  <c r="W440" i="14" s="1"/>
  <c r="X440" i="14"/>
  <c r="Y440" i="14" s="1"/>
  <c r="V427" i="14"/>
  <c r="W427" i="14" s="1"/>
  <c r="X427" i="14"/>
  <c r="Y427" i="14" s="1"/>
  <c r="V477" i="14"/>
  <c r="W477" i="14" s="1"/>
  <c r="X477" i="14"/>
  <c r="Y477" i="14" s="1"/>
  <c r="V491" i="14"/>
  <c r="W491" i="14" s="1"/>
  <c r="X491" i="14"/>
  <c r="Y491" i="14" s="1"/>
  <c r="V475" i="14"/>
  <c r="W475" i="14" s="1"/>
  <c r="X475" i="14"/>
  <c r="Y475" i="14" s="1"/>
  <c r="V314" i="14"/>
  <c r="W314" i="14" s="1"/>
  <c r="X314" i="14"/>
  <c r="Y314" i="14" s="1"/>
  <c r="V304" i="14"/>
  <c r="W304" i="14" s="1"/>
  <c r="X304" i="14"/>
  <c r="Y304" i="14" s="1"/>
  <c r="V305" i="14"/>
  <c r="W305" i="14" s="1"/>
  <c r="X305" i="14"/>
  <c r="Y305" i="14" s="1"/>
  <c r="V460" i="14"/>
  <c r="W460" i="14" s="1"/>
  <c r="X460" i="14"/>
  <c r="Y460" i="14" s="1"/>
  <c r="V97" i="14"/>
  <c r="W97" i="14" s="1"/>
  <c r="X97" i="14"/>
  <c r="Y97" i="14" s="1"/>
  <c r="V32" i="14"/>
  <c r="W32" i="14" s="1"/>
  <c r="X32" i="14"/>
  <c r="Y32" i="14" s="1"/>
  <c r="V99" i="14"/>
  <c r="W99" i="14" s="1"/>
  <c r="X99" i="14"/>
  <c r="Y99" i="14" s="1"/>
  <c r="V13" i="14"/>
  <c r="W13" i="14" s="1"/>
  <c r="X13" i="14"/>
  <c r="Y13" i="14" s="1"/>
  <c r="V364" i="14"/>
  <c r="W364" i="14" s="1"/>
  <c r="X364" i="14"/>
  <c r="Y364" i="14" s="1"/>
  <c r="V169" i="14"/>
  <c r="W169" i="14" s="1"/>
  <c r="X169" i="14"/>
  <c r="Y169" i="14" s="1"/>
  <c r="V10" i="14"/>
  <c r="W10" i="14" s="1"/>
  <c r="X10" i="14"/>
  <c r="Y10" i="14" s="1"/>
  <c r="V183" i="14"/>
  <c r="W183" i="14" s="1"/>
  <c r="X183" i="14"/>
  <c r="Y183" i="14" s="1"/>
  <c r="V174" i="14"/>
  <c r="W174" i="14" s="1"/>
  <c r="X174" i="14"/>
  <c r="Y174" i="14" s="1"/>
  <c r="V146" i="14"/>
  <c r="W146" i="14" s="1"/>
  <c r="X146" i="14"/>
  <c r="Y146" i="14" s="1"/>
  <c r="V24" i="14"/>
  <c r="W24" i="14" s="1"/>
  <c r="X24" i="14"/>
  <c r="Y24" i="14" s="1"/>
  <c r="V76" i="14"/>
  <c r="W76" i="14" s="1"/>
  <c r="X76" i="14"/>
  <c r="Y76" i="14" s="1"/>
  <c r="V273" i="14"/>
  <c r="W273" i="14" s="1"/>
  <c r="X273" i="14"/>
  <c r="Y273" i="14" s="1"/>
  <c r="V262" i="14"/>
  <c r="W262" i="14" s="1"/>
  <c r="X262" i="14"/>
  <c r="Y262" i="14" s="1"/>
  <c r="V408" i="14"/>
  <c r="W408" i="14" s="1"/>
  <c r="X408" i="14"/>
  <c r="Y408" i="14" s="1"/>
  <c r="V194" i="14"/>
  <c r="W194" i="14" s="1"/>
  <c r="X194" i="14"/>
  <c r="Y194" i="14" s="1"/>
  <c r="V3" i="14"/>
  <c r="W3" i="14" s="1"/>
  <c r="X3" i="14"/>
  <c r="Y3" i="14" s="1"/>
  <c r="V435" i="14"/>
  <c r="W435" i="14" s="1"/>
  <c r="X435" i="14"/>
  <c r="Y435" i="14" s="1"/>
  <c r="V70" i="14"/>
  <c r="W70" i="14" s="1"/>
  <c r="X70" i="14"/>
  <c r="Y70" i="14" s="1"/>
  <c r="V193" i="14"/>
  <c r="W193" i="14" s="1"/>
  <c r="X193" i="14"/>
  <c r="Y193" i="14" s="1"/>
  <c r="V447" i="14"/>
  <c r="W447" i="14" s="1"/>
  <c r="X447" i="14"/>
  <c r="Y447" i="14" s="1"/>
  <c r="V332" i="14"/>
  <c r="W332" i="14" s="1"/>
  <c r="X332" i="14"/>
  <c r="Y332" i="14" s="1"/>
  <c r="V105" i="14"/>
  <c r="W105" i="14" s="1"/>
  <c r="X105" i="14"/>
  <c r="Y105" i="14" s="1"/>
  <c r="V106" i="14"/>
  <c r="W106" i="14" s="1"/>
  <c r="X106" i="14"/>
  <c r="Y106" i="14" s="1"/>
  <c r="V118" i="14"/>
  <c r="W118" i="14" s="1"/>
  <c r="X118" i="14"/>
  <c r="Y118" i="14" s="1"/>
  <c r="V251" i="14"/>
  <c r="W251" i="14" s="1"/>
  <c r="X251" i="14"/>
  <c r="Y251" i="14" s="1"/>
  <c r="V489" i="14"/>
  <c r="W489" i="14" s="1"/>
  <c r="X489" i="14"/>
  <c r="Y489" i="14" s="1"/>
  <c r="V343" i="14"/>
  <c r="W343" i="14" s="1"/>
  <c r="X343" i="14"/>
  <c r="Y343" i="14" s="1"/>
  <c r="V340" i="14"/>
  <c r="W340" i="14" s="1"/>
  <c r="X340" i="14"/>
  <c r="Y340" i="14" s="1"/>
  <c r="V448" i="14"/>
  <c r="W448" i="14" s="1"/>
  <c r="X448" i="14"/>
  <c r="Y448" i="14" s="1"/>
  <c r="V386" i="14"/>
  <c r="W386" i="14" s="1"/>
  <c r="X386" i="14"/>
  <c r="Y386" i="14" s="1"/>
  <c r="V506" i="14"/>
  <c r="W506" i="14" s="1"/>
  <c r="X506" i="14"/>
  <c r="Y506" i="14" s="1"/>
  <c r="V103" i="14"/>
  <c r="W103" i="14" s="1"/>
  <c r="X103" i="14"/>
  <c r="Y103" i="14" s="1"/>
  <c r="V37" i="14"/>
  <c r="W37" i="14" s="1"/>
  <c r="X37" i="14"/>
  <c r="Y37" i="14" s="1"/>
  <c r="V357" i="14"/>
  <c r="W357" i="14" s="1"/>
  <c r="X357" i="14"/>
  <c r="Y357" i="14" s="1"/>
  <c r="V115" i="14"/>
  <c r="W115" i="14" s="1"/>
  <c r="X115" i="14"/>
  <c r="Y115" i="14" s="1"/>
  <c r="V28" i="14"/>
  <c r="W28" i="14" s="1"/>
  <c r="X28" i="14"/>
  <c r="Y28" i="14" s="1"/>
  <c r="V202" i="14"/>
  <c r="W202" i="14" s="1"/>
  <c r="X202" i="14"/>
  <c r="Y202" i="14" s="1"/>
  <c r="V312" i="14"/>
  <c r="W312" i="14" s="1"/>
  <c r="X312" i="14"/>
  <c r="Y312" i="14" s="1"/>
  <c r="V113" i="14"/>
  <c r="W113" i="14" s="1"/>
  <c r="X113" i="14"/>
  <c r="Y113" i="14" s="1"/>
  <c r="V224" i="14"/>
  <c r="W224" i="14" s="1"/>
  <c r="X224" i="14"/>
  <c r="Y224" i="14" s="1"/>
  <c r="V444" i="14"/>
  <c r="W444" i="14" s="1"/>
  <c r="X444" i="14"/>
  <c r="Y444" i="14" s="1"/>
  <c r="V134" i="14"/>
  <c r="W134" i="14" s="1"/>
  <c r="X134" i="14"/>
  <c r="Y134" i="14" s="1"/>
  <c r="V459" i="14"/>
  <c r="W459" i="14" s="1"/>
  <c r="X459" i="14"/>
  <c r="Y459" i="14" s="1"/>
  <c r="V201" i="14"/>
  <c r="W201" i="14" s="1"/>
  <c r="X201" i="14"/>
  <c r="Y201" i="14" s="1"/>
  <c r="V382" i="14"/>
  <c r="W382" i="14" s="1"/>
  <c r="X382" i="14"/>
  <c r="Y382" i="14" s="1"/>
  <c r="V161" i="14"/>
  <c r="W161" i="14" s="1"/>
  <c r="X161" i="14"/>
  <c r="Y161" i="14" s="1"/>
  <c r="V509" i="14"/>
  <c r="W509" i="14" s="1"/>
  <c r="X509" i="14"/>
  <c r="Y509" i="14" s="1"/>
  <c r="V313" i="14"/>
  <c r="W313" i="14" s="1"/>
  <c r="X313" i="14"/>
  <c r="Y313" i="14" s="1"/>
  <c r="V412" i="14"/>
  <c r="W412" i="14" s="1"/>
  <c r="X412" i="14"/>
  <c r="Y412" i="14" s="1"/>
  <c r="V21" i="14"/>
  <c r="W21" i="14" s="1"/>
  <c r="X21" i="14"/>
  <c r="Y21" i="14" s="1"/>
  <c r="V133" i="14"/>
  <c r="W133" i="14" s="1"/>
  <c r="X133" i="14"/>
  <c r="Y133" i="14" s="1"/>
  <c r="V158" i="14"/>
  <c r="W158" i="14" s="1"/>
  <c r="X158" i="14"/>
  <c r="Y158" i="14" s="1"/>
  <c r="V38" i="14"/>
  <c r="W38" i="14" s="1"/>
  <c r="X38" i="14"/>
  <c r="Y38" i="14" s="1"/>
  <c r="V235" i="14"/>
  <c r="W235" i="14" s="1"/>
  <c r="X235" i="14"/>
  <c r="Y235" i="14" s="1"/>
  <c r="V54" i="14"/>
  <c r="W54" i="14" s="1"/>
  <c r="X54" i="14"/>
  <c r="Y54" i="14" s="1"/>
  <c r="V298" i="14"/>
  <c r="W298" i="14" s="1"/>
  <c r="X298" i="14"/>
  <c r="Y298" i="14" s="1"/>
  <c r="V483" i="14"/>
  <c r="W483" i="14" s="1"/>
  <c r="X483" i="14"/>
  <c r="Y483" i="14" s="1"/>
  <c r="V455" i="14"/>
  <c r="W455" i="14" s="1"/>
  <c r="X455" i="14"/>
  <c r="Y455" i="14" s="1"/>
  <c r="V316" i="14"/>
  <c r="W316" i="14" s="1"/>
  <c r="X316" i="14"/>
  <c r="Y316" i="14" s="1"/>
  <c r="V95" i="14"/>
  <c r="W95" i="14" s="1"/>
  <c r="X95" i="14"/>
  <c r="Y95" i="14" s="1"/>
  <c r="V107" i="14"/>
  <c r="W107" i="14" s="1"/>
  <c r="X107" i="14"/>
  <c r="Y107" i="14" s="1"/>
  <c r="V23" i="14"/>
  <c r="W23" i="14" s="1"/>
  <c r="X23" i="14"/>
  <c r="Y23" i="14" s="1"/>
  <c r="V19" i="14"/>
  <c r="W19" i="14" s="1"/>
  <c r="X19" i="14"/>
  <c r="Y19" i="14" s="1"/>
  <c r="V211" i="14"/>
  <c r="W211" i="14" s="1"/>
  <c r="X211" i="14"/>
  <c r="Y211" i="14" s="1"/>
  <c r="V190" i="14"/>
  <c r="W190" i="14" s="1"/>
  <c r="X190" i="14"/>
  <c r="Y190" i="14" s="1"/>
  <c r="V199" i="14"/>
  <c r="W199" i="14" s="1"/>
  <c r="X199" i="14"/>
  <c r="Y199" i="14" s="1"/>
  <c r="V342" i="14"/>
  <c r="W342" i="14" s="1"/>
  <c r="X342" i="14"/>
  <c r="Y342" i="14" s="1"/>
  <c r="V389" i="14"/>
  <c r="W389" i="14" s="1"/>
  <c r="X389" i="14"/>
  <c r="Y389" i="14" s="1"/>
  <c r="V44" i="14"/>
  <c r="W44" i="14" s="1"/>
  <c r="X44" i="14"/>
  <c r="Y44" i="14" s="1"/>
  <c r="V259" i="14"/>
  <c r="W259" i="14" s="1"/>
  <c r="X259" i="14"/>
  <c r="Y259" i="14" s="1"/>
  <c r="V367" i="14"/>
  <c r="W367" i="14" s="1"/>
  <c r="X367" i="14"/>
  <c r="Y367" i="14" s="1"/>
  <c r="V100" i="14"/>
  <c r="W100" i="14" s="1"/>
  <c r="X100" i="14"/>
  <c r="Y100" i="14" s="1"/>
  <c r="V393" i="14"/>
  <c r="W393" i="14" s="1"/>
  <c r="X393" i="14"/>
  <c r="Y393" i="14" s="1"/>
  <c r="V453" i="14"/>
  <c r="W453" i="14" s="1"/>
  <c r="X453" i="14"/>
  <c r="Y453" i="14" s="1"/>
  <c r="V227" i="14"/>
  <c r="W227" i="14" s="1"/>
  <c r="X227" i="14"/>
  <c r="Y227" i="14" s="1"/>
  <c r="V495" i="14"/>
  <c r="W495" i="14" s="1"/>
  <c r="X495" i="14"/>
  <c r="Y495" i="14" s="1"/>
  <c r="V467" i="14"/>
  <c r="W467" i="14" s="1"/>
  <c r="X467" i="14"/>
  <c r="Y467" i="14" s="1"/>
  <c r="V439" i="14"/>
  <c r="W439" i="14" s="1"/>
  <c r="X439" i="14"/>
  <c r="Y439" i="14" s="1"/>
  <c r="V160" i="14"/>
  <c r="W160" i="14" s="1"/>
  <c r="X160" i="14"/>
  <c r="Y160" i="14" s="1"/>
  <c r="V423" i="14"/>
  <c r="W423" i="14" s="1"/>
  <c r="X423" i="14"/>
  <c r="Y423" i="14" s="1"/>
  <c r="V454" i="14"/>
  <c r="W454" i="14" s="1"/>
  <c r="X454" i="14"/>
  <c r="Y454" i="14" s="1"/>
  <c r="V29" i="14"/>
  <c r="W29" i="14" s="1"/>
  <c r="X29" i="14"/>
  <c r="Y29" i="14" s="1"/>
  <c r="V498" i="14"/>
  <c r="W498" i="14" s="1"/>
  <c r="X498" i="14"/>
  <c r="Y498" i="14" s="1"/>
  <c r="V57" i="14"/>
  <c r="W57" i="14" s="1"/>
  <c r="X57" i="14"/>
  <c r="Y57" i="14" s="1"/>
  <c r="V436" i="14"/>
  <c r="W436" i="14" s="1"/>
  <c r="X436" i="14"/>
  <c r="Y436" i="14" s="1"/>
  <c r="V137" i="14"/>
  <c r="W137" i="14" s="1"/>
  <c r="X137" i="14"/>
  <c r="Y137" i="14" s="1"/>
  <c r="V39" i="14"/>
  <c r="W39" i="14" s="1"/>
  <c r="X39" i="14"/>
  <c r="Y39" i="14" s="1"/>
  <c r="V215" i="14"/>
  <c r="W215" i="14" s="1"/>
  <c r="X215" i="14"/>
  <c r="Y215" i="14" s="1"/>
  <c r="V336" i="14"/>
  <c r="W336" i="14" s="1"/>
  <c r="X336" i="14"/>
  <c r="Y336" i="14" s="1"/>
  <c r="V182" i="14"/>
  <c r="W182" i="14" s="1"/>
  <c r="X182" i="14"/>
  <c r="Y182" i="14" s="1"/>
  <c r="V318" i="14"/>
  <c r="W318" i="14" s="1"/>
  <c r="X318" i="14"/>
  <c r="Y318" i="14" s="1"/>
  <c r="V34" i="14"/>
  <c r="W34" i="14" s="1"/>
  <c r="X34" i="14"/>
  <c r="Y34" i="14" s="1"/>
  <c r="V369" i="14"/>
  <c r="W369" i="14" s="1"/>
  <c r="X369" i="14"/>
  <c r="Y369" i="14" s="1"/>
  <c r="V241" i="14"/>
  <c r="W241" i="14" s="1"/>
  <c r="X241" i="14"/>
  <c r="Y241" i="14" s="1"/>
  <c r="V276" i="14"/>
  <c r="W276" i="14" s="1"/>
  <c r="X276" i="14"/>
  <c r="Y276" i="14" s="1"/>
  <c r="V278" i="14"/>
  <c r="W278" i="14" s="1"/>
  <c r="X278" i="14"/>
  <c r="Y278" i="14" s="1"/>
  <c r="V445" i="14"/>
  <c r="W445" i="14" s="1"/>
  <c r="X445" i="14"/>
  <c r="Y445" i="14" s="1"/>
  <c r="V346" i="14"/>
  <c r="W346" i="14" s="1"/>
  <c r="X346" i="14"/>
  <c r="Y346" i="14" s="1"/>
  <c r="V216" i="14"/>
  <c r="W216" i="14" s="1"/>
  <c r="X216" i="14"/>
  <c r="Y216" i="14" s="1"/>
  <c r="V497" i="14"/>
  <c r="W497" i="14" s="1"/>
  <c r="X497" i="14"/>
  <c r="Y497" i="14" s="1"/>
  <c r="V272" i="14"/>
  <c r="W272" i="14" s="1"/>
  <c r="X272" i="14"/>
  <c r="Y272" i="14" s="1"/>
  <c r="V4" i="14"/>
  <c r="W4" i="14" s="1"/>
  <c r="X4" i="14"/>
  <c r="Y4" i="14" s="1"/>
  <c r="V301" i="14"/>
  <c r="W301" i="14" s="1"/>
  <c r="X301" i="14"/>
  <c r="Y301" i="14" s="1"/>
  <c r="V466" i="14"/>
  <c r="W466" i="14" s="1"/>
  <c r="X466" i="14"/>
  <c r="Y466" i="14" s="1"/>
  <c r="V232" i="14"/>
  <c r="W232" i="14" s="1"/>
  <c r="X232" i="14"/>
  <c r="Y232" i="14" s="1"/>
  <c r="V359" i="14"/>
  <c r="W359" i="14" s="1"/>
  <c r="X359" i="14"/>
  <c r="Y359" i="14" s="1"/>
  <c r="V326" i="14"/>
  <c r="W326" i="14" s="1"/>
  <c r="X326" i="14"/>
  <c r="Y326" i="14" s="1"/>
  <c r="V385" i="14"/>
  <c r="W385" i="14" s="1"/>
  <c r="X385" i="14"/>
  <c r="Y385" i="14" s="1"/>
  <c r="V476" i="14"/>
  <c r="W476" i="14" s="1"/>
  <c r="X476" i="14"/>
  <c r="Y476" i="14" s="1"/>
  <c r="V395" i="14"/>
  <c r="W395" i="14" s="1"/>
  <c r="X395" i="14"/>
  <c r="Y395" i="14" s="1"/>
  <c r="V334" i="14"/>
  <c r="W334" i="14" s="1"/>
  <c r="X334" i="14"/>
  <c r="Y334" i="14" s="1"/>
  <c r="V468" i="14"/>
  <c r="W468" i="14" s="1"/>
  <c r="X468" i="14"/>
  <c r="Y468" i="14" s="1"/>
  <c r="V226" i="14"/>
  <c r="W226" i="14" s="1"/>
  <c r="X226" i="14"/>
  <c r="Y226" i="14" s="1"/>
  <c r="V204" i="14"/>
  <c r="W204" i="14" s="1"/>
  <c r="X204" i="14"/>
  <c r="Y204" i="14" s="1"/>
  <c r="V243" i="14"/>
  <c r="W243" i="14" s="1"/>
  <c r="X243" i="14"/>
  <c r="Y243" i="14" s="1"/>
  <c r="V363" i="14"/>
  <c r="W363" i="14" s="1"/>
  <c r="X363" i="14"/>
  <c r="Y363" i="14" s="1"/>
  <c r="V78" i="14"/>
  <c r="W78" i="14" s="1"/>
  <c r="X78" i="14"/>
  <c r="Y78" i="14" s="1"/>
  <c r="V403" i="14"/>
  <c r="W403" i="14" s="1"/>
  <c r="X403" i="14"/>
  <c r="Y403" i="14" s="1"/>
  <c r="V451" i="14"/>
  <c r="W451" i="14" s="1"/>
  <c r="X451" i="14"/>
  <c r="Y451" i="14" s="1"/>
  <c r="V208" i="14"/>
  <c r="W208" i="14" s="1"/>
  <c r="X208" i="14"/>
  <c r="Y208" i="14" s="1"/>
  <c r="V92" i="14"/>
  <c r="W92" i="14" s="1"/>
  <c r="X92" i="14"/>
  <c r="Y92" i="14" s="1"/>
  <c r="V205" i="14"/>
  <c r="W205" i="14" s="1"/>
  <c r="X205" i="14"/>
  <c r="Y205" i="14" s="1"/>
  <c r="V267" i="14"/>
  <c r="W267" i="14" s="1"/>
  <c r="X267" i="14"/>
  <c r="Y267" i="14" s="1"/>
  <c r="V138" i="14"/>
  <c r="W138" i="14" s="1"/>
  <c r="X138" i="14"/>
  <c r="Y138" i="14" s="1"/>
  <c r="V48" i="14"/>
  <c r="W48" i="14" s="1"/>
  <c r="X48" i="14"/>
  <c r="Y48" i="14" s="1"/>
  <c r="V214" i="14"/>
  <c r="W214" i="14" s="1"/>
  <c r="X214" i="14"/>
  <c r="Y214" i="14" s="1"/>
  <c r="V275" i="14"/>
  <c r="W275" i="14" s="1"/>
  <c r="X275" i="14"/>
  <c r="Y275" i="14" s="1"/>
  <c r="V228" i="14"/>
  <c r="W228" i="14" s="1"/>
  <c r="X228" i="14"/>
  <c r="Y228" i="14" s="1"/>
  <c r="V371" i="14"/>
  <c r="W371" i="14" s="1"/>
  <c r="X371" i="14"/>
  <c r="Y371" i="14" s="1"/>
  <c r="V283" i="14"/>
  <c r="W283" i="14" s="1"/>
  <c r="X283" i="14"/>
  <c r="Y283" i="14" s="1"/>
  <c r="V66" i="14"/>
  <c r="W66" i="14" s="1"/>
  <c r="X66" i="14"/>
  <c r="Y66" i="14" s="1"/>
  <c r="V170" i="14"/>
  <c r="W170" i="14" s="1"/>
  <c r="X170" i="14"/>
  <c r="Y170" i="14" s="1"/>
  <c r="V397" i="14"/>
  <c r="W397" i="14" s="1"/>
  <c r="X397" i="14"/>
  <c r="Y397" i="14" s="1"/>
  <c r="V499" i="14"/>
  <c r="W499" i="14" s="1"/>
  <c r="X499" i="14"/>
  <c r="Y499" i="14" s="1"/>
  <c r="V327" i="14"/>
  <c r="W327" i="14" s="1"/>
  <c r="X327" i="14"/>
  <c r="Y327" i="14" s="1"/>
  <c r="V503" i="14"/>
  <c r="W503" i="14" s="1"/>
  <c r="X503" i="14"/>
  <c r="Y503" i="14" s="1"/>
  <c r="V425" i="14"/>
  <c r="W425" i="14" s="1"/>
  <c r="X425" i="14"/>
  <c r="Y425" i="14" s="1"/>
  <c r="V250" i="14"/>
  <c r="W250" i="14" s="1"/>
  <c r="X250" i="14"/>
  <c r="Y250" i="14" s="1"/>
  <c r="V348" i="14"/>
  <c r="W348" i="14" s="1"/>
  <c r="X348" i="14"/>
  <c r="Y348" i="14" s="1"/>
  <c r="V220" i="14"/>
  <c r="W220" i="14" s="1"/>
  <c r="X220" i="14"/>
  <c r="Y220" i="14" s="1"/>
  <c r="V35" i="14"/>
  <c r="W35" i="14" s="1"/>
  <c r="X35" i="14"/>
  <c r="Y35" i="14" s="1"/>
  <c r="V74" i="14"/>
  <c r="W74" i="14" s="1"/>
  <c r="X74" i="14"/>
  <c r="Y74" i="14" s="1"/>
  <c r="V83" i="14"/>
  <c r="W83" i="14" s="1"/>
  <c r="X83" i="14"/>
  <c r="Y83" i="14" s="1"/>
  <c r="V456" i="14"/>
  <c r="W456" i="14" s="1"/>
  <c r="X456" i="14"/>
  <c r="Y456" i="14" s="1"/>
  <c r="V145" i="14"/>
  <c r="W145" i="14" s="1"/>
  <c r="X145" i="14"/>
  <c r="Y145" i="14" s="1"/>
  <c r="V93" i="14"/>
  <c r="W93" i="14" s="1"/>
  <c r="X93" i="14"/>
  <c r="Y93" i="14" s="1"/>
  <c r="V285" i="14"/>
  <c r="W285" i="14" s="1"/>
  <c r="X285" i="14"/>
  <c r="Y285" i="14" s="1"/>
  <c r="V480" i="14"/>
  <c r="W480" i="14" s="1"/>
  <c r="X480" i="14"/>
  <c r="Y480" i="14" s="1"/>
  <c r="V328" i="14"/>
  <c r="W328" i="14" s="1"/>
  <c r="X328" i="14"/>
  <c r="Y328" i="14" s="1"/>
  <c r="V151" i="14"/>
  <c r="W151" i="14" s="1"/>
  <c r="X151" i="14"/>
  <c r="Y151" i="14" s="1"/>
  <c r="V2" i="14"/>
  <c r="W2" i="14" s="1"/>
  <c r="B1" i="11" a="1"/>
  <c r="C2" i="19" s="1" a="1"/>
  <c r="AA433" i="14" l="1"/>
  <c r="AA223" i="14"/>
  <c r="AA452" i="14"/>
  <c r="AA264" i="14"/>
  <c r="AA222" i="14"/>
  <c r="AA462" i="14"/>
  <c r="AA351" i="14"/>
  <c r="Z223" i="14"/>
  <c r="AA311" i="14"/>
  <c r="AA388" i="14"/>
  <c r="AA329" i="14"/>
  <c r="AA274" i="14"/>
  <c r="AA192" i="14"/>
  <c r="AA236" i="14"/>
  <c r="AA354" i="14"/>
  <c r="AA465" i="14"/>
  <c r="AA271" i="14"/>
  <c r="AA128" i="14"/>
  <c r="AA144" i="14"/>
  <c r="AA90" i="14"/>
  <c r="AA58" i="14"/>
  <c r="AA247" i="14"/>
  <c r="AA51" i="14"/>
  <c r="AA297" i="14"/>
  <c r="AA246" i="14"/>
  <c r="AA440" i="14"/>
  <c r="AA72" i="14"/>
  <c r="AA156" i="14"/>
  <c r="AA431" i="14"/>
  <c r="AA331" i="14"/>
  <c r="AA147" i="14"/>
  <c r="AA180" i="14"/>
  <c r="AA268" i="14"/>
  <c r="AA207" i="14"/>
  <c r="AA229" i="14"/>
  <c r="AA96" i="14"/>
  <c r="AA417" i="14"/>
  <c r="AA122" i="14"/>
  <c r="AA509" i="14"/>
  <c r="AA233" i="14"/>
  <c r="AA118" i="14"/>
  <c r="AA94" i="14"/>
  <c r="AA172" i="14"/>
  <c r="AA121" i="14"/>
  <c r="AA124" i="14"/>
  <c r="AA392" i="14"/>
  <c r="AA48" i="14"/>
  <c r="AA441" i="14"/>
  <c r="AA503" i="14"/>
  <c r="AA211" i="14"/>
  <c r="AA176" i="14"/>
  <c r="AA130" i="14"/>
  <c r="AA111" i="14"/>
  <c r="AA215" i="14"/>
  <c r="AA280" i="14"/>
  <c r="AA228" i="14"/>
  <c r="AA92" i="14"/>
  <c r="AA95" i="14"/>
  <c r="AA163" i="14"/>
  <c r="AA62" i="14"/>
  <c r="AA488" i="14"/>
  <c r="AA170" i="14"/>
  <c r="AA177" i="14"/>
  <c r="AA286" i="14"/>
  <c r="AA158" i="14"/>
  <c r="AA468" i="14"/>
  <c r="AA353" i="14"/>
  <c r="AA293" i="14"/>
  <c r="AA404" i="14"/>
  <c r="AA289" i="14"/>
  <c r="AA149" i="14"/>
  <c r="AA119" i="14"/>
  <c r="AA179" i="14"/>
  <c r="AA303" i="14"/>
  <c r="AA336" i="14"/>
  <c r="AA104" i="14"/>
  <c r="AA253" i="14"/>
  <c r="AA356" i="14"/>
  <c r="AA423" i="14"/>
  <c r="AA389" i="14"/>
  <c r="AA507" i="14"/>
  <c r="AA313" i="14"/>
  <c r="AA142" i="14"/>
  <c r="AA427" i="14"/>
  <c r="AA421" i="14"/>
  <c r="AA203" i="14"/>
  <c r="AA298" i="14"/>
  <c r="AA109" i="14"/>
  <c r="AA221" i="14"/>
  <c r="AA292" i="14"/>
  <c r="AA456" i="14"/>
  <c r="AA224" i="14"/>
  <c r="AA258" i="14"/>
  <c r="AA174" i="14"/>
  <c r="AA150" i="14"/>
  <c r="AA278" i="14"/>
  <c r="AA155" i="14"/>
  <c r="AA493" i="14"/>
  <c r="AA83" i="14"/>
  <c r="AA103" i="14"/>
  <c r="AA54" i="14"/>
  <c r="AA183" i="14"/>
  <c r="AA466" i="14"/>
  <c r="AA194" i="14"/>
  <c r="AA159" i="14"/>
  <c r="AA335" i="14"/>
  <c r="AA208" i="14"/>
  <c r="AA506" i="14"/>
  <c r="AA355" i="14"/>
  <c r="AA169" i="14"/>
  <c r="AA102" i="14"/>
  <c r="AA82" i="14"/>
  <c r="AA511" i="14"/>
  <c r="AA100" i="14"/>
  <c r="AA50" i="14"/>
  <c r="AA448" i="14"/>
  <c r="AA166" i="14"/>
  <c r="AA99" i="14"/>
  <c r="AA301" i="14"/>
  <c r="AA368" i="14"/>
  <c r="AA189" i="14"/>
  <c r="AA500" i="14"/>
  <c r="AA302" i="14"/>
  <c r="AA97" i="14"/>
  <c r="AA273" i="14"/>
  <c r="AA139" i="14"/>
  <c r="AA325" i="14"/>
  <c r="AA162" i="14"/>
  <c r="AA202" i="14"/>
  <c r="AA251" i="14"/>
  <c r="AA148" i="14"/>
  <c r="AA463" i="14"/>
  <c r="AA385" i="14"/>
  <c r="AA173" i="14"/>
  <c r="AA272" i="14"/>
  <c r="AA377" i="14"/>
  <c r="AA120" i="14"/>
  <c r="AA472" i="14"/>
  <c r="AA216" i="14"/>
  <c r="AA436" i="14"/>
  <c r="AA77" i="14"/>
  <c r="AA249" i="14"/>
  <c r="AA306" i="14"/>
  <c r="AA505" i="14"/>
  <c r="AA324" i="14"/>
  <c r="AA501" i="14"/>
  <c r="AA361" i="14"/>
  <c r="AA190" i="14"/>
  <c r="AA328" i="14"/>
  <c r="AA115" i="14"/>
  <c r="AA363" i="14"/>
  <c r="AA316" i="14"/>
  <c r="AA327" i="14"/>
  <c r="AA108" i="14"/>
  <c r="AA310" i="14"/>
  <c r="AA413" i="14"/>
  <c r="AA322" i="14"/>
  <c r="AA256" i="14"/>
  <c r="AA213" i="14"/>
  <c r="AA241" i="14"/>
  <c r="AA502" i="14"/>
  <c r="AA369" i="14"/>
  <c r="AA267" i="14"/>
  <c r="AA479" i="14"/>
  <c r="AA52" i="14"/>
  <c r="AA160" i="14"/>
  <c r="AA182" i="14"/>
  <c r="AA66" i="14"/>
  <c r="AA61" i="14"/>
  <c r="AA220" i="14"/>
  <c r="AA480" i="14"/>
  <c r="AA408" i="14"/>
  <c r="AA259" i="14"/>
  <c r="AA357" i="14"/>
  <c r="AA199" i="14"/>
  <c r="AA334" i="14"/>
  <c r="AA453" i="14"/>
  <c r="AA443" i="14"/>
  <c r="AA349" i="14"/>
  <c r="AA481" i="14"/>
  <c r="AA411" i="14"/>
  <c r="AA269" i="14"/>
  <c r="AA195" i="14"/>
  <c r="AA250" i="14"/>
  <c r="AA333" i="14"/>
  <c r="AA491" i="14"/>
  <c r="AA445" i="14"/>
  <c r="AA455" i="14"/>
  <c r="AA371" i="14"/>
  <c r="AA230" i="14"/>
  <c r="AA437" i="14"/>
  <c r="AA285" i="14"/>
  <c r="AA342" i="14"/>
  <c r="AA345" i="14"/>
  <c r="AA151" i="14"/>
  <c r="AA260" i="14"/>
  <c r="AA140" i="14"/>
  <c r="AA165" i="14"/>
  <c r="AA396" i="14"/>
  <c r="AA314" i="14"/>
  <c r="AA263" i="14"/>
  <c r="AA282" i="14"/>
  <c r="AA474" i="14"/>
  <c r="AA129" i="14"/>
  <c r="AA467" i="14"/>
  <c r="AA309" i="14"/>
  <c r="AA510" i="14"/>
  <c r="AA435" i="14"/>
  <c r="AA397" i="14"/>
  <c r="AA497" i="14"/>
  <c r="AA243" i="14"/>
  <c r="AA340" i="14"/>
  <c r="AA266" i="14"/>
  <c r="AA93" i="14"/>
  <c r="AA312" i="14"/>
  <c r="AA143" i="14"/>
  <c r="AA209" i="14"/>
  <c r="AA206" i="14"/>
  <c r="AA288" i="14"/>
  <c r="AA330" i="14"/>
  <c r="AA239" i="14"/>
  <c r="AA458" i="14"/>
  <c r="AA76" i="14"/>
  <c r="AA262" i="14"/>
  <c r="AA277" i="14"/>
  <c r="AA218" i="14"/>
  <c r="AA123" i="14"/>
  <c r="AA127" i="14"/>
  <c r="AA489" i="14"/>
  <c r="AA60" i="14"/>
  <c r="AA257" i="14"/>
  <c r="AA319" i="14"/>
  <c r="AA126" i="14"/>
  <c r="AA498" i="14"/>
  <c r="AA475" i="14"/>
  <c r="AA219" i="14"/>
  <c r="AA145" i="14"/>
  <c r="AA386" i="14"/>
  <c r="AA399" i="14"/>
  <c r="AA227" i="14"/>
  <c r="AA161" i="14"/>
  <c r="AA372" i="14"/>
  <c r="AA384" i="14"/>
  <c r="AA49" i="14"/>
  <c r="AA153" i="14"/>
  <c r="AA255" i="14"/>
  <c r="AA56" i="14"/>
  <c r="AA508" i="14"/>
  <c r="AA154" i="14"/>
  <c r="AA459" i="14"/>
  <c r="AA403" i="14"/>
  <c r="AA279" i="14"/>
  <c r="AA499" i="14"/>
  <c r="AA178" i="14"/>
  <c r="AA476" i="14"/>
  <c r="AA364" i="14"/>
  <c r="AA381" i="14"/>
  <c r="AA114" i="14"/>
  <c r="AA341" i="14"/>
  <c r="AA232" i="14"/>
  <c r="AA265" i="14"/>
  <c r="AA451" i="14"/>
  <c r="AA242" i="14"/>
  <c r="AA231" i="14"/>
  <c r="AA71" i="14"/>
  <c r="AA84" i="14"/>
  <c r="AA496" i="14"/>
  <c r="AA409" i="14"/>
  <c r="AA284" i="14"/>
  <c r="AA254" i="14"/>
  <c r="AA74" i="14"/>
  <c r="AA395" i="14"/>
  <c r="AA484" i="14"/>
  <c r="AA68" i="14"/>
  <c r="AA78" i="14"/>
  <c r="AA294" i="14"/>
  <c r="AA164" i="14"/>
  <c r="AA188" i="14"/>
  <c r="AA137" i="14"/>
  <c r="AA326" i="14"/>
  <c r="AA133" i="14"/>
  <c r="AA323" i="14"/>
  <c r="AA225" i="14"/>
  <c r="AA407" i="14"/>
  <c r="AA248" i="14"/>
  <c r="AA380" i="14"/>
  <c r="AA338" i="14"/>
  <c r="AA110" i="14"/>
  <c r="AA252" i="14"/>
  <c r="AA438" i="14"/>
  <c r="AA415" i="14"/>
  <c r="AA321" i="14"/>
  <c r="AA125" i="14"/>
  <c r="AA405" i="14"/>
  <c r="AA457" i="14"/>
  <c r="AA449" i="14"/>
  <c r="AA204" i="14"/>
  <c r="AA89" i="14"/>
  <c r="AA460" i="14"/>
  <c r="AA117" i="14"/>
  <c r="AA200" i="14"/>
  <c r="AA287" i="14"/>
  <c r="AA175" i="14"/>
  <c r="AA69" i="14"/>
  <c r="AA487" i="14"/>
  <c r="AA197" i="14"/>
  <c r="AA157" i="14"/>
  <c r="AA343" i="14"/>
  <c r="AA240" i="14"/>
  <c r="AA383" i="14"/>
  <c r="AA418" i="14"/>
  <c r="AA315" i="14"/>
  <c r="AA401" i="14"/>
  <c r="AA91" i="14"/>
  <c r="AA186" i="14"/>
  <c r="AA106" i="14"/>
  <c r="AA235" i="14"/>
  <c r="AA201" i="14"/>
  <c r="AA400" i="14"/>
  <c r="AA305" i="14"/>
  <c r="AA141" i="14"/>
  <c r="AA344" i="14"/>
  <c r="AA346" i="14"/>
  <c r="AA429" i="14"/>
  <c r="AA276" i="14"/>
  <c r="AA485" i="14"/>
  <c r="AA300" i="14"/>
  <c r="AA391" i="14"/>
  <c r="AA317" i="14"/>
  <c r="AA320" i="14"/>
  <c r="AA116" i="14"/>
  <c r="AA307" i="14"/>
  <c r="AA483" i="14"/>
  <c r="AA492" i="14"/>
  <c r="AA261" i="14"/>
  <c r="AA210" i="14"/>
  <c r="AA379" i="14"/>
  <c r="AA296" i="14"/>
  <c r="AA112" i="14"/>
  <c r="AA367" i="14"/>
  <c r="AA283" i="14"/>
  <c r="AA444" i="14"/>
  <c r="AA290" i="14"/>
  <c r="AA107" i="14"/>
  <c r="AA359" i="14"/>
  <c r="AA304" i="14"/>
  <c r="AA439" i="14"/>
  <c r="AA365" i="14"/>
  <c r="AA167" i="14"/>
  <c r="AA171" i="14"/>
  <c r="AA308" i="14"/>
  <c r="AA387" i="14"/>
  <c r="AA295" i="14"/>
  <c r="AA281" i="14"/>
  <c r="AA75" i="14"/>
  <c r="AA80" i="14"/>
  <c r="AA461" i="14"/>
  <c r="AA237" i="14"/>
  <c r="AA482" i="14"/>
  <c r="AA245" i="14"/>
  <c r="AA410" i="14"/>
  <c r="AA299" i="14"/>
  <c r="AA432" i="14"/>
  <c r="AA419" i="14"/>
  <c r="AA191" i="14"/>
  <c r="AA332" i="14"/>
  <c r="AA393" i="14"/>
  <c r="AA193" i="14"/>
  <c r="AA70" i="14"/>
  <c r="AA57" i="14"/>
  <c r="AA205" i="14"/>
  <c r="AA291" i="14"/>
  <c r="AA98" i="14"/>
  <c r="AA185" i="14"/>
  <c r="AA375" i="14"/>
  <c r="AA226" i="14"/>
  <c r="AA477" i="14"/>
  <c r="AA473" i="14"/>
  <c r="AA196" i="14"/>
  <c r="AA134" i="14"/>
  <c r="AA469" i="14"/>
  <c r="AA382" i="14"/>
  <c r="AA168" i="14"/>
  <c r="AA425" i="14"/>
  <c r="AA348" i="14"/>
  <c r="AA244" i="14"/>
  <c r="AA184" i="14"/>
  <c r="AA136" i="14"/>
  <c r="AA434" i="14"/>
  <c r="AA217" i="14"/>
  <c r="AA318" i="14"/>
  <c r="AA113" i="14"/>
  <c r="AA138" i="14"/>
  <c r="AA105" i="14"/>
  <c r="AA198" i="14"/>
  <c r="AA373" i="14"/>
  <c r="AA88" i="14"/>
  <c r="AA471" i="14"/>
  <c r="AA339" i="14"/>
  <c r="AA412" i="14"/>
  <c r="AA146" i="14"/>
  <c r="AA447" i="14"/>
  <c r="AA504" i="14"/>
  <c r="AA152" i="14"/>
  <c r="AA495" i="14"/>
  <c r="AA132" i="14"/>
  <c r="AA360" i="14"/>
  <c r="AA64" i="14"/>
  <c r="AA347" i="14"/>
  <c r="AA181" i="14"/>
  <c r="AA212" i="14"/>
  <c r="AA214" i="14"/>
  <c r="AA478" i="14"/>
  <c r="AA275" i="14"/>
  <c r="AA464" i="14"/>
  <c r="AA234" i="14"/>
  <c r="AA337" i="14"/>
  <c r="AA454" i="14"/>
  <c r="AA12" i="14"/>
  <c r="AA10" i="14"/>
  <c r="AA35" i="14"/>
  <c r="AA29" i="14"/>
  <c r="AA30" i="14"/>
  <c r="AA5" i="14"/>
  <c r="AA6" i="14"/>
  <c r="AA24" i="14"/>
  <c r="AA36" i="14"/>
  <c r="AA2" i="14"/>
  <c r="AA13" i="14"/>
  <c r="AA4" i="14"/>
  <c r="AA11" i="14"/>
  <c r="AA34" i="14"/>
  <c r="AA3" i="14"/>
  <c r="AA23" i="14"/>
  <c r="AA26" i="14"/>
  <c r="AA27" i="14"/>
  <c r="AA44" i="14"/>
  <c r="AA39" i="14"/>
  <c r="AA31" i="14"/>
  <c r="AA37" i="14"/>
  <c r="AA46" i="14"/>
  <c r="AA25" i="14"/>
  <c r="AA19" i="14"/>
  <c r="Z254" i="14"/>
  <c r="AA18" i="14"/>
  <c r="AA15" i="14"/>
  <c r="AA42" i="14"/>
  <c r="AA38" i="14"/>
  <c r="AA32" i="14"/>
  <c r="AA28" i="14"/>
  <c r="AA21" i="14"/>
  <c r="Z399" i="14"/>
  <c r="Z314" i="14"/>
  <c r="Z421" i="14"/>
  <c r="Z331" i="14"/>
  <c r="Z333" i="14"/>
  <c r="Z105" i="14"/>
  <c r="Z392" i="14"/>
  <c r="Z252" i="14"/>
  <c r="Z400" i="14"/>
  <c r="Z305" i="14"/>
  <c r="Z259" i="14"/>
  <c r="Z235" i="14"/>
  <c r="Z96" i="14"/>
  <c r="Z220" i="14"/>
  <c r="Z280" i="14"/>
  <c r="Z509" i="14"/>
  <c r="Z404" i="14"/>
  <c r="Z249" i="14"/>
  <c r="Z253" i="14"/>
  <c r="Z346" i="14"/>
  <c r="Z160" i="14"/>
  <c r="Z415" i="14"/>
  <c r="Z137" i="14"/>
  <c r="Z19" i="14"/>
  <c r="Z170" i="14"/>
  <c r="Z84" i="14"/>
  <c r="Z23" i="14"/>
  <c r="Z239" i="14"/>
  <c r="Z454" i="14"/>
  <c r="Z198" i="14"/>
  <c r="Z221" i="14"/>
  <c r="Z177" i="14"/>
  <c r="Z477" i="14"/>
  <c r="Z284" i="14"/>
  <c r="Z154" i="14"/>
  <c r="Z226" i="14"/>
  <c r="Z322" i="14"/>
  <c r="Z203" i="14"/>
  <c r="Z12" i="14"/>
  <c r="Z18" i="14"/>
  <c r="Z462" i="14"/>
  <c r="Z412" i="14"/>
  <c r="Z258" i="14"/>
  <c r="Z42" i="14"/>
  <c r="Z351" i="14"/>
  <c r="Z122" i="14"/>
  <c r="Z104" i="14"/>
  <c r="Z334" i="14"/>
  <c r="Z499" i="14"/>
  <c r="Z233" i="14"/>
  <c r="Z439" i="14"/>
  <c r="Z147" i="14"/>
  <c r="Z179" i="14"/>
  <c r="Z484" i="14"/>
  <c r="Z10" i="14"/>
  <c r="Z377" i="14"/>
  <c r="Z32" i="14"/>
  <c r="Z146" i="14"/>
  <c r="Z433" i="14"/>
  <c r="Z338" i="14"/>
  <c r="Z200" i="14"/>
  <c r="Z207" i="14"/>
  <c r="Z461" i="14"/>
  <c r="Z149" i="14"/>
  <c r="Z194" i="14"/>
  <c r="Z237" i="14"/>
  <c r="Z464" i="14"/>
  <c r="Z234" i="14"/>
  <c r="Z356" i="14"/>
  <c r="Z483" i="14"/>
  <c r="Z143" i="14"/>
  <c r="Z504" i="14"/>
  <c r="Z287" i="14"/>
  <c r="Z265" i="14"/>
  <c r="Z142" i="14"/>
  <c r="Z440" i="14"/>
  <c r="Z26" i="14"/>
  <c r="Z62" i="14"/>
  <c r="Z31" i="14"/>
  <c r="Z309" i="14"/>
  <c r="Z307" i="14"/>
  <c r="Z296" i="14"/>
  <c r="Z408" i="14"/>
  <c r="Z384" i="14"/>
  <c r="Z240" i="14"/>
  <c r="Z185" i="14"/>
  <c r="Z371" i="14"/>
  <c r="Z214" i="14"/>
  <c r="Z264" i="14"/>
  <c r="Z153" i="14"/>
  <c r="Z276" i="14"/>
  <c r="Z479" i="14"/>
  <c r="Z161" i="14"/>
  <c r="Z492" i="14"/>
  <c r="Z452" i="14"/>
  <c r="Z175" i="14"/>
  <c r="Z368" i="14"/>
  <c r="Z438" i="14"/>
  <c r="Z294" i="14"/>
  <c r="Z188" i="14"/>
  <c r="Z505" i="14"/>
  <c r="Z435" i="14"/>
  <c r="Z165" i="14"/>
  <c r="Z429" i="14"/>
  <c r="Z327" i="14"/>
  <c r="Z128" i="14"/>
  <c r="Z444" i="14"/>
  <c r="Z139" i="14"/>
  <c r="Z298" i="14"/>
  <c r="Z58" i="14"/>
  <c r="Z164" i="14"/>
  <c r="Z341" i="14"/>
  <c r="Z211" i="14"/>
  <c r="Z224" i="14"/>
  <c r="Z487" i="14"/>
  <c r="Z355" i="14"/>
  <c r="Z80" i="14"/>
  <c r="Z151" i="14"/>
  <c r="Z275" i="14"/>
  <c r="Z113" i="14"/>
  <c r="Z349" i="14"/>
  <c r="Z222" i="14"/>
  <c r="Z166" i="14"/>
  <c r="Z173" i="14"/>
  <c r="Z432" i="14"/>
  <c r="Z152" i="14"/>
  <c r="Z183" i="14"/>
  <c r="Z312" i="14"/>
  <c r="Z11" i="14"/>
  <c r="Z507" i="14"/>
  <c r="Z178" i="14"/>
  <c r="Z181" i="14"/>
  <c r="Z508" i="14"/>
  <c r="Z340" i="14"/>
  <c r="Z436" i="14"/>
  <c r="Z204" i="14"/>
  <c r="Z44" i="14"/>
  <c r="Z473" i="14"/>
  <c r="Z396" i="14"/>
  <c r="Z381" i="14"/>
  <c r="Z77" i="14"/>
  <c r="Z216" i="14"/>
  <c r="Z337" i="14"/>
  <c r="Z339" i="14"/>
  <c r="Z475" i="14"/>
  <c r="Z409" i="14"/>
  <c r="Z57" i="14"/>
  <c r="Z107" i="14"/>
  <c r="Z219" i="14"/>
  <c r="Z382" i="14"/>
  <c r="Z236" i="14"/>
  <c r="Z268" i="14"/>
  <c r="Z373" i="14"/>
  <c r="Z116" i="14"/>
  <c r="Z230" i="14"/>
  <c r="Z324" i="14"/>
  <c r="Z498" i="14"/>
  <c r="Z95" i="14"/>
  <c r="Z169" i="14"/>
  <c r="Z397" i="14"/>
  <c r="Z299" i="14"/>
  <c r="Z310" i="14"/>
  <c r="Z69" i="14"/>
  <c r="Z317" i="14"/>
  <c r="Z500" i="14"/>
  <c r="Z64" i="14"/>
  <c r="Z71" i="14"/>
  <c r="Z413" i="14"/>
  <c r="Z342" i="14"/>
  <c r="Z29" i="14"/>
  <c r="Z52" i="14"/>
  <c r="Z316" i="14"/>
  <c r="Z13" i="14"/>
  <c r="Z283" i="14"/>
  <c r="Z202" i="14"/>
  <c r="Z443" i="14"/>
  <c r="Z201" i="14"/>
  <c r="Z503" i="14"/>
  <c r="Z197" i="14"/>
  <c r="Z206" i="14"/>
  <c r="Z335" i="14"/>
  <c r="Z278" i="14"/>
  <c r="Z380" i="14"/>
  <c r="Z455" i="14"/>
  <c r="Z354" i="14"/>
  <c r="Z168" i="14"/>
  <c r="Z491" i="14"/>
  <c r="Z410" i="14"/>
  <c r="Z478" i="14"/>
  <c r="Z319" i="14"/>
  <c r="Z48" i="14"/>
  <c r="Z448" i="14"/>
  <c r="Z465" i="14"/>
  <c r="Z243" i="14"/>
  <c r="Z28" i="14"/>
  <c r="Z468" i="14"/>
  <c r="Z102" i="14"/>
  <c r="Z330" i="14"/>
  <c r="Z320" i="14"/>
  <c r="Z162" i="14"/>
  <c r="Z510" i="14"/>
  <c r="Z91" i="14"/>
  <c r="Z282" i="14"/>
  <c r="Z255" i="14"/>
  <c r="Z332" i="14"/>
  <c r="Z441" i="14"/>
  <c r="Z407" i="14"/>
  <c r="Z115" i="14"/>
  <c r="Z344" i="14"/>
  <c r="Z419" i="14"/>
  <c r="Z75" i="14"/>
  <c r="Z180" i="14"/>
  <c r="Z108" i="14"/>
  <c r="Z257" i="14"/>
  <c r="Z76" i="14"/>
  <c r="Z60" i="14"/>
  <c r="Z427" i="14"/>
  <c r="Z126" i="14"/>
  <c r="Z306" i="14"/>
  <c r="Z106" i="14"/>
  <c r="Z457" i="14"/>
  <c r="Z463" i="14"/>
  <c r="Z24" i="14"/>
  <c r="Z279" i="14"/>
  <c r="Z21" i="14"/>
  <c r="Z155" i="14"/>
  <c r="Z167" i="14"/>
  <c r="Z212" i="14"/>
  <c r="Z302" i="14"/>
  <c r="Z46" i="14"/>
  <c r="Z328" i="14"/>
  <c r="Z125" i="14"/>
  <c r="Z260" i="14"/>
  <c r="Z357" i="14"/>
  <c r="Z244" i="14"/>
  <c r="Z49" i="14"/>
  <c r="Z434" i="14"/>
  <c r="Z300" i="14"/>
  <c r="Z389" i="14"/>
  <c r="Z480" i="14"/>
  <c r="Z132" i="14"/>
  <c r="Z190" i="14"/>
  <c r="Z459" i="14"/>
  <c r="Z383" i="14"/>
  <c r="Z266" i="14"/>
  <c r="Z449" i="14"/>
  <c r="Z89" i="14"/>
  <c r="Z37" i="14"/>
  <c r="Z208" i="14"/>
  <c r="Z273" i="14"/>
  <c r="Z289" i="14"/>
  <c r="Z393" i="14"/>
  <c r="Z472" i="14"/>
  <c r="Z227" i="14"/>
  <c r="Z30" i="14"/>
  <c r="Z360" i="14"/>
  <c r="Z134" i="14"/>
  <c r="Z119" i="14"/>
  <c r="Z50" i="14"/>
  <c r="Z281" i="14"/>
  <c r="Z345" i="14"/>
  <c r="Z496" i="14"/>
  <c r="Z431" i="14"/>
  <c r="Z15" i="14"/>
  <c r="Z311" i="14"/>
  <c r="Z285" i="14"/>
  <c r="Z157" i="14"/>
  <c r="Z466" i="14"/>
  <c r="Z150" i="14"/>
  <c r="Z292" i="14"/>
  <c r="Z291" i="14"/>
  <c r="Z501" i="14"/>
  <c r="Z401" i="14"/>
  <c r="Z241" i="14"/>
  <c r="Z103" i="14"/>
  <c r="Z174" i="14"/>
  <c r="Z471" i="14"/>
  <c r="Z121" i="14"/>
  <c r="Z138" i="14"/>
  <c r="Z159" i="14"/>
  <c r="Z403" i="14"/>
  <c r="Z353" i="14"/>
  <c r="Z109" i="14"/>
  <c r="Z34" i="14"/>
  <c r="Z286" i="14"/>
  <c r="Z451" i="14"/>
  <c r="Z231" i="14"/>
  <c r="Z114" i="14"/>
  <c r="Z502" i="14"/>
  <c r="Z348" i="14"/>
  <c r="Z395" i="14"/>
  <c r="Z191" i="14"/>
  <c r="Z196" i="14"/>
  <c r="Z361" i="14"/>
  <c r="Z363" i="14"/>
  <c r="Z133" i="14"/>
  <c r="Z5" i="14"/>
  <c r="Z476" i="14"/>
  <c r="Z61" i="14"/>
  <c r="Z93" i="14"/>
  <c r="Z124" i="14"/>
  <c r="Z405" i="14"/>
  <c r="Z112" i="14"/>
  <c r="Z506" i="14"/>
  <c r="Z186" i="14"/>
  <c r="Z51" i="14"/>
  <c r="Z100" i="14"/>
  <c r="Z27" i="14"/>
  <c r="Z385" i="14"/>
  <c r="Z489" i="14"/>
  <c r="Z493" i="14"/>
  <c r="Z141" i="14"/>
  <c r="Z248" i="14"/>
  <c r="Z321" i="14"/>
  <c r="Z176" i="14"/>
  <c r="Z90" i="14"/>
  <c r="Z145" i="14"/>
  <c r="Z136" i="14"/>
  <c r="Z365" i="14"/>
  <c r="Z318" i="14"/>
  <c r="Z271" i="14"/>
  <c r="Z225" i="14"/>
  <c r="Z375" i="14"/>
  <c r="Z386" i="14"/>
  <c r="Z364" i="14"/>
  <c r="Z66" i="14"/>
  <c r="Z458" i="14"/>
  <c r="Z267" i="14"/>
  <c r="Z269" i="14"/>
  <c r="Z54" i="14"/>
  <c r="Z369" i="14"/>
  <c r="Z391" i="14"/>
  <c r="Z94" i="14"/>
  <c r="Z288" i="14"/>
  <c r="Z192" i="14"/>
  <c r="Z6" i="14"/>
  <c r="Z36" i="14"/>
  <c r="Z308" i="14"/>
  <c r="Z511" i="14"/>
  <c r="Z418" i="14"/>
  <c r="Z325" i="14"/>
  <c r="Z497" i="14"/>
  <c r="Z156" i="14"/>
  <c r="Z182" i="14"/>
  <c r="Z277" i="14"/>
  <c r="Z456" i="14"/>
  <c r="Z70" i="14"/>
  <c r="Z445" i="14"/>
  <c r="Z228" i="14"/>
  <c r="Z367" i="14"/>
  <c r="Z326" i="14"/>
  <c r="Z250" i="14"/>
  <c r="Z485" i="14"/>
  <c r="Z323" i="14"/>
  <c r="Z336" i="14"/>
  <c r="Z144" i="14"/>
  <c r="Z379" i="14"/>
  <c r="Z97" i="14"/>
  <c r="Z92" i="14"/>
  <c r="Z205" i="14"/>
  <c r="Z218" i="14"/>
  <c r="Z72" i="14"/>
  <c r="Z481" i="14"/>
  <c r="Z123" i="14"/>
  <c r="Z297" i="14"/>
  <c r="Z195" i="14"/>
  <c r="Z189" i="14"/>
  <c r="Z482" i="14"/>
  <c r="Z274" i="14"/>
  <c r="Z74" i="14"/>
  <c r="Z120" i="14"/>
  <c r="Z303" i="14"/>
  <c r="Z215" i="14"/>
  <c r="Z88" i="14"/>
  <c r="Z245" i="14"/>
  <c r="Z301" i="14"/>
  <c r="Z256" i="14"/>
  <c r="Z247" i="14"/>
  <c r="Z460" i="14"/>
  <c r="Z158" i="14"/>
  <c r="Z111" i="14"/>
  <c r="Z38" i="14"/>
  <c r="Z372" i="14"/>
  <c r="Z359" i="14"/>
  <c r="Z127" i="14"/>
  <c r="Z469" i="14"/>
  <c r="Z263" i="14"/>
  <c r="Z229" i="14"/>
  <c r="Z467" i="14"/>
  <c r="Z172" i="14"/>
  <c r="Z130" i="14"/>
  <c r="Z140" i="14"/>
  <c r="Z217" i="14"/>
  <c r="Z417" i="14"/>
  <c r="Z78" i="14"/>
  <c r="Z209" i="14"/>
  <c r="Z293" i="14"/>
  <c r="Z315" i="14"/>
  <c r="Z99" i="14"/>
  <c r="Z313" i="14"/>
  <c r="Z474" i="14"/>
  <c r="Z148" i="14"/>
  <c r="Z295" i="14"/>
  <c r="Z329" i="14"/>
  <c r="Z343" i="14"/>
  <c r="Z411" i="14"/>
  <c r="Z242" i="14"/>
  <c r="Z246" i="14"/>
  <c r="Z210" i="14"/>
  <c r="Z184" i="14"/>
  <c r="Z453" i="14"/>
  <c r="Z83" i="14"/>
  <c r="Z272" i="14"/>
  <c r="Z437" i="14"/>
  <c r="Z3" i="14"/>
  <c r="Z425" i="14"/>
  <c r="Z262" i="14"/>
  <c r="Z423" i="14"/>
  <c r="Z251" i="14"/>
  <c r="Z35" i="14"/>
  <c r="Z56" i="14"/>
  <c r="Z290" i="14"/>
  <c r="Z39" i="14"/>
  <c r="Z387" i="14"/>
  <c r="Z118" i="14"/>
  <c r="Z98" i="14"/>
  <c r="Z4" i="14"/>
  <c r="Z261" i="14"/>
  <c r="Z304" i="14"/>
  <c r="Z171" i="14"/>
  <c r="Z488" i="14"/>
  <c r="Z232" i="14"/>
  <c r="Z82" i="14"/>
  <c r="Z193" i="14"/>
  <c r="Z388" i="14"/>
  <c r="Z447" i="14"/>
  <c r="Z213" i="14"/>
  <c r="Z117" i="14"/>
  <c r="Z347" i="14"/>
  <c r="Z495" i="14"/>
  <c r="Z129" i="14"/>
  <c r="Z68" i="14"/>
  <c r="Z25" i="14"/>
  <c r="Z110" i="14"/>
  <c r="Z199" i="14"/>
  <c r="Z163" i="14"/>
  <c r="Z2" i="14"/>
  <c r="AE2" i="19"/>
  <c r="O2" i="19"/>
  <c r="AF2" i="19"/>
  <c r="N2" i="19"/>
  <c r="AD2" i="19"/>
  <c r="M2" i="19"/>
  <c r="AC2" i="19"/>
  <c r="L2" i="19"/>
  <c r="AB2" i="19"/>
  <c r="K2" i="19"/>
  <c r="AA2" i="19"/>
  <c r="J2" i="19"/>
  <c r="Z2" i="19"/>
  <c r="I2" i="19"/>
  <c r="Y2" i="19"/>
  <c r="H2" i="19"/>
  <c r="X2" i="19"/>
  <c r="G2" i="19"/>
  <c r="W2" i="19"/>
  <c r="F2" i="19"/>
  <c r="V2" i="19"/>
  <c r="E2" i="19"/>
  <c r="AL2" i="19"/>
  <c r="U2" i="19"/>
  <c r="D2" i="19"/>
  <c r="AK2" i="19"/>
  <c r="T2" i="19"/>
  <c r="C2" i="19"/>
  <c r="AJ2" i="19"/>
  <c r="S2" i="19"/>
  <c r="AI2" i="19"/>
  <c r="R2" i="19"/>
  <c r="AH2" i="19"/>
  <c r="Q2" i="19"/>
  <c r="AG2" i="19"/>
  <c r="P2" i="19"/>
  <c r="C2" i="16" a="1"/>
  <c r="N2" i="16" s="1"/>
  <c r="C2" i="17" a="1"/>
  <c r="B1" i="11"/>
  <c r="C2" i="15" a="1"/>
  <c r="Q4" i="19" l="1" a="1"/>
  <c r="Q4" i="19" s="1"/>
  <c r="Q13" i="19" a="1"/>
  <c r="Q13" i="19" s="1"/>
  <c r="Q9" i="19" a="1"/>
  <c r="Q9" i="19" s="1"/>
  <c r="Q15" i="19" a="1"/>
  <c r="Q15" i="19" s="1"/>
  <c r="Q23" i="19" a="1"/>
  <c r="Q23" i="19" s="1"/>
  <c r="Q22" i="19" a="1"/>
  <c r="Q22" i="19" s="1"/>
  <c r="Q18" i="19" a="1"/>
  <c r="Q18" i="19" s="1"/>
  <c r="Q5" i="19" a="1"/>
  <c r="Q5" i="19" s="1"/>
  <c r="Q12" i="19" a="1"/>
  <c r="Q12" i="19" s="1"/>
  <c r="Q14" i="19" a="1"/>
  <c r="Q14" i="19" s="1"/>
  <c r="Q19" i="19" a="1"/>
  <c r="Q19" i="19" s="1"/>
  <c r="Q21" i="19" a="1"/>
  <c r="Q21" i="19" s="1"/>
  <c r="Q8" i="19" a="1"/>
  <c r="Q8" i="19" s="1"/>
  <c r="Q16" i="19" a="1"/>
  <c r="Q16" i="19" s="1"/>
  <c r="Q10" i="19" a="1"/>
  <c r="Q10" i="19" s="1"/>
  <c r="Q3" i="19" a="1"/>
  <c r="Q3" i="19" s="1"/>
  <c r="Q25" i="19" a="1"/>
  <c r="Q25" i="19" s="1"/>
  <c r="Q11" i="19" a="1"/>
  <c r="Q11" i="19" s="1"/>
  <c r="Q7" i="19" a="1"/>
  <c r="Q7" i="19" s="1"/>
  <c r="Q20" i="19" a="1"/>
  <c r="Q20" i="19" s="1"/>
  <c r="Q6" i="19" a="1"/>
  <c r="Q6" i="19" s="1"/>
  <c r="Q17" i="19" a="1"/>
  <c r="Q17" i="19" s="1"/>
  <c r="Q24" i="19" a="1"/>
  <c r="Q24" i="19" s="1"/>
  <c r="O4" i="19" a="1"/>
  <c r="O4" i="19" s="1"/>
  <c r="O20" i="19" a="1"/>
  <c r="O20" i="19" s="1"/>
  <c r="O3" i="19" a="1"/>
  <c r="O3" i="19" s="1"/>
  <c r="O6" i="19" a="1"/>
  <c r="O6" i="19" s="1"/>
  <c r="O5" i="19" a="1"/>
  <c r="O5" i="19" s="1"/>
  <c r="O8" i="19" a="1"/>
  <c r="O8" i="19" s="1"/>
  <c r="O17" i="19" a="1"/>
  <c r="O17" i="19" s="1"/>
  <c r="O14" i="19" a="1"/>
  <c r="O14" i="19" s="1"/>
  <c r="O21" i="19" a="1"/>
  <c r="O21" i="19" s="1"/>
  <c r="O11" i="19" a="1"/>
  <c r="O11" i="19" s="1"/>
  <c r="O18" i="19" a="1"/>
  <c r="O18" i="19" s="1"/>
  <c r="O15" i="19" a="1"/>
  <c r="O15" i="19" s="1"/>
  <c r="O19" i="19" a="1"/>
  <c r="O19" i="19" s="1"/>
  <c r="O7" i="19" a="1"/>
  <c r="O7" i="19" s="1"/>
  <c r="O16" i="19" a="1"/>
  <c r="O16" i="19" s="1"/>
  <c r="O22" i="19" a="1"/>
  <c r="O22" i="19" s="1"/>
  <c r="O24" i="19" a="1"/>
  <c r="O24" i="19" s="1"/>
  <c r="O23" i="19" a="1"/>
  <c r="O23" i="19" s="1"/>
  <c r="O25" i="19" a="1"/>
  <c r="O25" i="19" s="1"/>
  <c r="O9" i="19" a="1"/>
  <c r="O9" i="19" s="1"/>
  <c r="O10" i="19" a="1"/>
  <c r="O10" i="19" s="1"/>
  <c r="O12" i="19" a="1"/>
  <c r="O12" i="19" s="1"/>
  <c r="O13" i="19" a="1"/>
  <c r="O13" i="19" s="1"/>
  <c r="AH5" i="19" a="1"/>
  <c r="AH5" i="19" s="1"/>
  <c r="AH22" i="19" a="1"/>
  <c r="AH22" i="19" s="1"/>
  <c r="AH15" i="19" a="1"/>
  <c r="AH15" i="19" s="1"/>
  <c r="AH20" i="19" a="1"/>
  <c r="AH20" i="19" s="1"/>
  <c r="AH3" i="19" a="1"/>
  <c r="AH3" i="19" s="1"/>
  <c r="AH6" i="19" a="1"/>
  <c r="AH6" i="19" s="1"/>
  <c r="AH18" i="19" a="1"/>
  <c r="AH18" i="19" s="1"/>
  <c r="AH21" i="19" a="1"/>
  <c r="AH21" i="19" s="1"/>
  <c r="AH7" i="19" a="1"/>
  <c r="AH7" i="19" s="1"/>
  <c r="AH16" i="19" a="1"/>
  <c r="AH16" i="19" s="1"/>
  <c r="AH17" i="19" a="1"/>
  <c r="AH17" i="19" s="1"/>
  <c r="AH13" i="19" a="1"/>
  <c r="AH13" i="19" s="1"/>
  <c r="AH19" i="19" a="1"/>
  <c r="AH19" i="19" s="1"/>
  <c r="AH14" i="19" a="1"/>
  <c r="AH14" i="19" s="1"/>
  <c r="AH8" i="19" a="1"/>
  <c r="AH8" i="19" s="1"/>
  <c r="AH9" i="19" a="1"/>
  <c r="AH9" i="19" s="1"/>
  <c r="AH25" i="19" a="1"/>
  <c r="AH25" i="19" s="1"/>
  <c r="AH24" i="19" a="1"/>
  <c r="AH24" i="19" s="1"/>
  <c r="AH12" i="19" a="1"/>
  <c r="AH12" i="19" s="1"/>
  <c r="AH23" i="19" a="1"/>
  <c r="AH23" i="19" s="1"/>
  <c r="AH10" i="19" a="1"/>
  <c r="AH10" i="19" s="1"/>
  <c r="AH4" i="19" a="1"/>
  <c r="AH4" i="19" s="1"/>
  <c r="AH11" i="19" a="1"/>
  <c r="AH11" i="19" s="1"/>
  <c r="X8" i="19" a="1"/>
  <c r="X8" i="19" s="1"/>
  <c r="X4" i="19" a="1"/>
  <c r="X4" i="19" s="1"/>
  <c r="X3" i="19" a="1"/>
  <c r="X3" i="19" s="1"/>
  <c r="X5" i="19" a="1"/>
  <c r="X5" i="19" s="1"/>
  <c r="X25" i="19" a="1"/>
  <c r="X25" i="19" s="1"/>
  <c r="X6" i="19" a="1"/>
  <c r="X6" i="19" s="1"/>
  <c r="X11" i="19" a="1"/>
  <c r="X11" i="19" s="1"/>
  <c r="X22" i="19" a="1"/>
  <c r="X22" i="19" s="1"/>
  <c r="X14" i="19" a="1"/>
  <c r="X14" i="19" s="1"/>
  <c r="X18" i="19" a="1"/>
  <c r="X18" i="19" s="1"/>
  <c r="X7" i="19" a="1"/>
  <c r="X7" i="19" s="1"/>
  <c r="X23" i="19" a="1"/>
  <c r="X23" i="19" s="1"/>
  <c r="X10" i="19" a="1"/>
  <c r="X10" i="19" s="1"/>
  <c r="X21" i="19" a="1"/>
  <c r="X21" i="19" s="1"/>
  <c r="X20" i="19" a="1"/>
  <c r="X20" i="19" s="1"/>
  <c r="X13" i="19" a="1"/>
  <c r="X13" i="19" s="1"/>
  <c r="X15" i="19" a="1"/>
  <c r="X15" i="19" s="1"/>
  <c r="X17" i="19" a="1"/>
  <c r="X17" i="19" s="1"/>
  <c r="X9" i="19" a="1"/>
  <c r="X9" i="19" s="1"/>
  <c r="X19" i="19" a="1"/>
  <c r="X19" i="19" s="1"/>
  <c r="X12" i="19" a="1"/>
  <c r="X12" i="19" s="1"/>
  <c r="X24" i="19" a="1"/>
  <c r="X24" i="19" s="1"/>
  <c r="X16" i="19" a="1"/>
  <c r="X16" i="19" s="1"/>
  <c r="R7" i="19" a="1"/>
  <c r="R7" i="19" s="1"/>
  <c r="R5" i="19" a="1"/>
  <c r="R5" i="19" s="1"/>
  <c r="R10" i="19" a="1"/>
  <c r="R10" i="19" s="1"/>
  <c r="R19" i="19" a="1"/>
  <c r="R19" i="19" s="1"/>
  <c r="R11" i="19" a="1"/>
  <c r="R11" i="19" s="1"/>
  <c r="R14" i="19" a="1"/>
  <c r="R14" i="19" s="1"/>
  <c r="R15" i="19" a="1"/>
  <c r="R15" i="19" s="1"/>
  <c r="R25" i="19" a="1"/>
  <c r="R25" i="19" s="1"/>
  <c r="R17" i="19" a="1"/>
  <c r="R17" i="19" s="1"/>
  <c r="R20" i="19" a="1"/>
  <c r="R20" i="19" s="1"/>
  <c r="R16" i="19" a="1"/>
  <c r="R16" i="19" s="1"/>
  <c r="R9" i="19" a="1"/>
  <c r="R9" i="19" s="1"/>
  <c r="R8" i="19" a="1"/>
  <c r="R8" i="19" s="1"/>
  <c r="R21" i="19" a="1"/>
  <c r="R21" i="19" s="1"/>
  <c r="R3" i="19" a="1"/>
  <c r="R3" i="19" s="1"/>
  <c r="R23" i="19" a="1"/>
  <c r="R23" i="19" s="1"/>
  <c r="R18" i="19" a="1"/>
  <c r="R18" i="19" s="1"/>
  <c r="R12" i="19" a="1"/>
  <c r="R12" i="19" s="1"/>
  <c r="R22" i="19" a="1"/>
  <c r="R22" i="19" s="1"/>
  <c r="R24" i="19" a="1"/>
  <c r="R24" i="19" s="1"/>
  <c r="R6" i="19" a="1"/>
  <c r="R6" i="19" s="1"/>
  <c r="R4" i="19" a="1"/>
  <c r="R4" i="19" s="1"/>
  <c r="R13" i="19" a="1"/>
  <c r="R13" i="19" s="1"/>
  <c r="H24" i="19" a="1"/>
  <c r="H24" i="19" s="1"/>
  <c r="H7" i="19" a="1"/>
  <c r="H7" i="19" s="1"/>
  <c r="H4" i="19" a="1"/>
  <c r="H4" i="19" s="1"/>
  <c r="H22" i="19" a="1"/>
  <c r="H22" i="19" s="1"/>
  <c r="H25" i="19" a="1"/>
  <c r="H25" i="19" s="1"/>
  <c r="H12" i="19" a="1"/>
  <c r="H12" i="19" s="1"/>
  <c r="H18" i="19" a="1"/>
  <c r="H18" i="19" s="1"/>
  <c r="H5" i="19" a="1"/>
  <c r="H5" i="19" s="1"/>
  <c r="H8" i="19" a="1"/>
  <c r="H8" i="19" s="1"/>
  <c r="H9" i="19" a="1"/>
  <c r="H9" i="19" s="1"/>
  <c r="H19" i="19" a="1"/>
  <c r="H19" i="19" s="1"/>
  <c r="H15" i="19" a="1"/>
  <c r="H15" i="19" s="1"/>
  <c r="H13" i="19" a="1"/>
  <c r="H13" i="19" s="1"/>
  <c r="H17" i="19" a="1"/>
  <c r="H17" i="19" s="1"/>
  <c r="H10" i="19" a="1"/>
  <c r="H10" i="19" s="1"/>
  <c r="H21" i="19" a="1"/>
  <c r="H21" i="19" s="1"/>
  <c r="H23" i="19" a="1"/>
  <c r="H23" i="19" s="1"/>
  <c r="H20" i="19" a="1"/>
  <c r="H20" i="19" s="1"/>
  <c r="H3" i="19" a="1"/>
  <c r="H3" i="19" s="1"/>
  <c r="H11" i="19" a="1"/>
  <c r="H11" i="19" s="1"/>
  <c r="H6" i="19" a="1"/>
  <c r="H6" i="19" s="1"/>
  <c r="H14" i="19" a="1"/>
  <c r="H14" i="19" s="1"/>
  <c r="H16" i="19" a="1"/>
  <c r="H16" i="19" s="1"/>
  <c r="M15" i="19" a="1"/>
  <c r="M15" i="19" s="1"/>
  <c r="M13" i="19" a="1"/>
  <c r="M13" i="19" s="1"/>
  <c r="M8" i="19" a="1"/>
  <c r="M8" i="19" s="1"/>
  <c r="M5" i="19" a="1"/>
  <c r="M5" i="19" s="1"/>
  <c r="M4" i="19" a="1"/>
  <c r="M4" i="19" s="1"/>
  <c r="M3" i="19" a="1"/>
  <c r="M3" i="19" s="1"/>
  <c r="M19" i="19" a="1"/>
  <c r="M19" i="19" s="1"/>
  <c r="M11" i="19" a="1"/>
  <c r="M11" i="19" s="1"/>
  <c r="M23" i="19" a="1"/>
  <c r="M23" i="19" s="1"/>
  <c r="M6" i="19" a="1"/>
  <c r="M6" i="19" s="1"/>
  <c r="M20" i="19" a="1"/>
  <c r="M20" i="19" s="1"/>
  <c r="M9" i="19" a="1"/>
  <c r="M9" i="19" s="1"/>
  <c r="M25" i="19" a="1"/>
  <c r="M25" i="19" s="1"/>
  <c r="M24" i="19" a="1"/>
  <c r="M24" i="19" s="1"/>
  <c r="M18" i="19" a="1"/>
  <c r="M18" i="19" s="1"/>
  <c r="M7" i="19" a="1"/>
  <c r="M7" i="19" s="1"/>
  <c r="M10" i="19" a="1"/>
  <c r="M10" i="19" s="1"/>
  <c r="M22" i="19" a="1"/>
  <c r="M22" i="19" s="1"/>
  <c r="M14" i="19" a="1"/>
  <c r="M14" i="19" s="1"/>
  <c r="M16" i="19" a="1"/>
  <c r="M16" i="19" s="1"/>
  <c r="M21" i="19" a="1"/>
  <c r="M21" i="19" s="1"/>
  <c r="M12" i="19" a="1"/>
  <c r="M12" i="19" s="1"/>
  <c r="M17" i="19" a="1"/>
  <c r="M17" i="19" s="1"/>
  <c r="V4" i="19" a="1"/>
  <c r="V4" i="19" s="1"/>
  <c r="V22" i="19" a="1"/>
  <c r="V22" i="19" s="1"/>
  <c r="V7" i="19" a="1"/>
  <c r="V7" i="19" s="1"/>
  <c r="V24" i="19" a="1"/>
  <c r="V24" i="19" s="1"/>
  <c r="V11" i="19" a="1"/>
  <c r="V11" i="19" s="1"/>
  <c r="V14" i="19" a="1"/>
  <c r="V14" i="19" s="1"/>
  <c r="V5" i="19" a="1"/>
  <c r="V5" i="19" s="1"/>
  <c r="V19" i="19" a="1"/>
  <c r="V19" i="19" s="1"/>
  <c r="V17" i="19" a="1"/>
  <c r="V17" i="19" s="1"/>
  <c r="V10" i="19" a="1"/>
  <c r="V10" i="19" s="1"/>
  <c r="V9" i="19" a="1"/>
  <c r="V9" i="19" s="1"/>
  <c r="V6" i="19" a="1"/>
  <c r="V6" i="19" s="1"/>
  <c r="V20" i="19" a="1"/>
  <c r="V20" i="19" s="1"/>
  <c r="V3" i="19" a="1"/>
  <c r="V3" i="19" s="1"/>
  <c r="V25" i="19" a="1"/>
  <c r="V25" i="19" s="1"/>
  <c r="V21" i="19" a="1"/>
  <c r="V21" i="19" s="1"/>
  <c r="V18" i="19" a="1"/>
  <c r="V18" i="19" s="1"/>
  <c r="V23" i="19" a="1"/>
  <c r="V23" i="19" s="1"/>
  <c r="V16" i="19" a="1"/>
  <c r="V16" i="19" s="1"/>
  <c r="V13" i="19" a="1"/>
  <c r="V13" i="19" s="1"/>
  <c r="V15" i="19" a="1"/>
  <c r="V15" i="19" s="1"/>
  <c r="V8" i="19" a="1"/>
  <c r="V8" i="19" s="1"/>
  <c r="V12" i="19" a="1"/>
  <c r="V12" i="19" s="1"/>
  <c r="AD9" i="19" a="1"/>
  <c r="AD9" i="19" s="1"/>
  <c r="AD17" i="19" a="1"/>
  <c r="AD17" i="19" s="1"/>
  <c r="AD22" i="19" a="1"/>
  <c r="AD22" i="19" s="1"/>
  <c r="AD14" i="19" a="1"/>
  <c r="AD14" i="19" s="1"/>
  <c r="AD6" i="19" a="1"/>
  <c r="AD6" i="19" s="1"/>
  <c r="AD25" i="19" a="1"/>
  <c r="AD25" i="19" s="1"/>
  <c r="AD5" i="19" a="1"/>
  <c r="AD5" i="19" s="1"/>
  <c r="AD10" i="19" a="1"/>
  <c r="AD10" i="19" s="1"/>
  <c r="AD19" i="19" a="1"/>
  <c r="AD19" i="19" s="1"/>
  <c r="AD24" i="19" a="1"/>
  <c r="AD24" i="19" s="1"/>
  <c r="AD12" i="19" a="1"/>
  <c r="AD12" i="19" s="1"/>
  <c r="AD3" i="19" a="1"/>
  <c r="AD3" i="19" s="1"/>
  <c r="AD20" i="19" a="1"/>
  <c r="AD20" i="19" s="1"/>
  <c r="AD18" i="19" a="1"/>
  <c r="AD18" i="19" s="1"/>
  <c r="AD23" i="19" a="1"/>
  <c r="AD23" i="19" s="1"/>
  <c r="AD13" i="19" a="1"/>
  <c r="AD13" i="19" s="1"/>
  <c r="AD16" i="19" a="1"/>
  <c r="AD16" i="19" s="1"/>
  <c r="AD21" i="19" a="1"/>
  <c r="AD21" i="19" s="1"/>
  <c r="AD8" i="19" a="1"/>
  <c r="AD8" i="19" s="1"/>
  <c r="AD4" i="19" a="1"/>
  <c r="AD4" i="19" s="1"/>
  <c r="AD11" i="19" a="1"/>
  <c r="AD11" i="19" s="1"/>
  <c r="AD7" i="19" a="1"/>
  <c r="AD7" i="19" s="1"/>
  <c r="AD15" i="19" a="1"/>
  <c r="AD15" i="19" s="1"/>
  <c r="P6" i="19" a="1"/>
  <c r="P6" i="19" s="1"/>
  <c r="P5" i="19" a="1"/>
  <c r="P5" i="19" s="1"/>
  <c r="P17" i="19" a="1"/>
  <c r="P17" i="19" s="1"/>
  <c r="P16" i="19" a="1"/>
  <c r="P16" i="19" s="1"/>
  <c r="P25" i="19" a="1"/>
  <c r="P25" i="19" s="1"/>
  <c r="P3" i="19" a="1"/>
  <c r="P3" i="19" s="1"/>
  <c r="P4" i="19" a="1"/>
  <c r="P4" i="19" s="1"/>
  <c r="P10" i="19" a="1"/>
  <c r="P10" i="19" s="1"/>
  <c r="P13" i="19" a="1"/>
  <c r="P13" i="19" s="1"/>
  <c r="P19" i="19" a="1"/>
  <c r="P19" i="19" s="1"/>
  <c r="P18" i="19" a="1"/>
  <c r="P18" i="19" s="1"/>
  <c r="P9" i="19" a="1"/>
  <c r="P9" i="19" s="1"/>
  <c r="P20" i="19" a="1"/>
  <c r="P20" i="19" s="1"/>
  <c r="P12" i="19" a="1"/>
  <c r="P12" i="19" s="1"/>
  <c r="P8" i="19" a="1"/>
  <c r="P8" i="19" s="1"/>
  <c r="P24" i="19" a="1"/>
  <c r="P24" i="19" s="1"/>
  <c r="P14" i="19" a="1"/>
  <c r="P14" i="19" s="1"/>
  <c r="P21" i="19" a="1"/>
  <c r="P21" i="19" s="1"/>
  <c r="P7" i="19" a="1"/>
  <c r="P7" i="19" s="1"/>
  <c r="P23" i="19" a="1"/>
  <c r="P23" i="19" s="1"/>
  <c r="P22" i="19" a="1"/>
  <c r="P22" i="19" s="1"/>
  <c r="P15" i="19" a="1"/>
  <c r="P15" i="19" s="1"/>
  <c r="P11" i="19" a="1"/>
  <c r="P11" i="19" s="1"/>
  <c r="F4" i="19" a="1"/>
  <c r="F4" i="19" s="1"/>
  <c r="F6" i="19" a="1"/>
  <c r="F6" i="19" s="1"/>
  <c r="F7" i="19" a="1"/>
  <c r="F7" i="19" s="1"/>
  <c r="F23" i="19" a="1"/>
  <c r="F23" i="19" s="1"/>
  <c r="F3" i="19" a="1"/>
  <c r="F3" i="19" s="1"/>
  <c r="F10" i="19" a="1"/>
  <c r="F10" i="19" s="1"/>
  <c r="F18" i="19" a="1"/>
  <c r="F18" i="19" s="1"/>
  <c r="F19" i="19" a="1"/>
  <c r="F19" i="19" s="1"/>
  <c r="F14" i="19" a="1"/>
  <c r="F14" i="19" s="1"/>
  <c r="F25" i="19" a="1"/>
  <c r="F25" i="19" s="1"/>
  <c r="F13" i="19" a="1"/>
  <c r="F13" i="19" s="1"/>
  <c r="F12" i="19" a="1"/>
  <c r="F12" i="19" s="1"/>
  <c r="F15" i="19" a="1"/>
  <c r="F15" i="19" s="1"/>
  <c r="F20" i="19" a="1"/>
  <c r="F20" i="19" s="1"/>
  <c r="F9" i="19" a="1"/>
  <c r="F9" i="19" s="1"/>
  <c r="F11" i="19" a="1"/>
  <c r="F11" i="19" s="1"/>
  <c r="F21" i="19" a="1"/>
  <c r="F21" i="19" s="1"/>
  <c r="F8" i="19" a="1"/>
  <c r="F8" i="19" s="1"/>
  <c r="F24" i="19" a="1"/>
  <c r="F24" i="19" s="1"/>
  <c r="F17" i="19" a="1"/>
  <c r="F17" i="19" s="1"/>
  <c r="F16" i="19" a="1"/>
  <c r="F16" i="19" s="1"/>
  <c r="F5" i="19" a="1"/>
  <c r="F5" i="19" s="1"/>
  <c r="F22" i="19" a="1"/>
  <c r="F22" i="19" s="1"/>
  <c r="N10" i="19" a="1"/>
  <c r="N10" i="19" s="1"/>
  <c r="N4" i="19" a="1"/>
  <c r="N4" i="19" s="1"/>
  <c r="N6" i="19" a="1"/>
  <c r="N6" i="19" s="1"/>
  <c r="N3" i="19" a="1"/>
  <c r="N3" i="19" s="1"/>
  <c r="N15" i="19" a="1"/>
  <c r="N15" i="19" s="1"/>
  <c r="N8" i="19" a="1"/>
  <c r="N8" i="19" s="1"/>
  <c r="N18" i="19" a="1"/>
  <c r="N18" i="19" s="1"/>
  <c r="N7" i="19" a="1"/>
  <c r="N7" i="19" s="1"/>
  <c r="N14" i="19" a="1"/>
  <c r="N14" i="19" s="1"/>
  <c r="N5" i="19" a="1"/>
  <c r="N5" i="19" s="1"/>
  <c r="N13" i="19" a="1"/>
  <c r="N13" i="19" s="1"/>
  <c r="N16" i="19" a="1"/>
  <c r="N16" i="19" s="1"/>
  <c r="N20" i="19" a="1"/>
  <c r="N20" i="19" s="1"/>
  <c r="N21" i="19" a="1"/>
  <c r="N21" i="19" s="1"/>
  <c r="N25" i="19" a="1"/>
  <c r="N25" i="19" s="1"/>
  <c r="N19" i="19" a="1"/>
  <c r="N19" i="19" s="1"/>
  <c r="N9" i="19" a="1"/>
  <c r="N9" i="19" s="1"/>
  <c r="N24" i="19" a="1"/>
  <c r="N24" i="19" s="1"/>
  <c r="N12" i="19" a="1"/>
  <c r="N12" i="19" s="1"/>
  <c r="N23" i="19" a="1"/>
  <c r="N23" i="19" s="1"/>
  <c r="N22" i="19" a="1"/>
  <c r="N22" i="19" s="1"/>
  <c r="N11" i="19" a="1"/>
  <c r="N11" i="19" s="1"/>
  <c r="N17" i="19" a="1"/>
  <c r="N17" i="19" s="1"/>
  <c r="AG4" i="19" a="1"/>
  <c r="AG4" i="19" s="1"/>
  <c r="AG3" i="19" a="1"/>
  <c r="AG3" i="19" s="1"/>
  <c r="AG5" i="19" a="1"/>
  <c r="AG5" i="19" s="1"/>
  <c r="AG7" i="19" a="1"/>
  <c r="AG7" i="19" s="1"/>
  <c r="AG25" i="19" a="1"/>
  <c r="AG25" i="19" s="1"/>
  <c r="AG13" i="19" a="1"/>
  <c r="AG13" i="19" s="1"/>
  <c r="AG6" i="19" a="1"/>
  <c r="AG6" i="19" s="1"/>
  <c r="AG8" i="19" a="1"/>
  <c r="AG8" i="19" s="1"/>
  <c r="AG11" i="19" a="1"/>
  <c r="AG11" i="19" s="1"/>
  <c r="AG23" i="19" a="1"/>
  <c r="AG23" i="19" s="1"/>
  <c r="AG10" i="19" a="1"/>
  <c r="AG10" i="19" s="1"/>
  <c r="AG21" i="19" a="1"/>
  <c r="AG21" i="19" s="1"/>
  <c r="AG22" i="19" a="1"/>
  <c r="AG22" i="19" s="1"/>
  <c r="AG18" i="19" a="1"/>
  <c r="AG18" i="19" s="1"/>
  <c r="AG17" i="19" a="1"/>
  <c r="AG17" i="19" s="1"/>
  <c r="AG20" i="19" a="1"/>
  <c r="AG20" i="19" s="1"/>
  <c r="AG16" i="19" a="1"/>
  <c r="AG16" i="19" s="1"/>
  <c r="AG14" i="19" a="1"/>
  <c r="AG14" i="19" s="1"/>
  <c r="AG15" i="19" a="1"/>
  <c r="AG15" i="19" s="1"/>
  <c r="AG9" i="19" a="1"/>
  <c r="AG9" i="19" s="1"/>
  <c r="AG24" i="19" a="1"/>
  <c r="AG24" i="19" s="1"/>
  <c r="AG19" i="19" a="1"/>
  <c r="AG19" i="19" s="1"/>
  <c r="AG12" i="19" a="1"/>
  <c r="AG12" i="19" s="1"/>
  <c r="W21" i="19" a="1"/>
  <c r="W21" i="19" s="1"/>
  <c r="W4" i="19" a="1"/>
  <c r="W4" i="19" s="1"/>
  <c r="W6" i="19" a="1"/>
  <c r="W6" i="19" s="1"/>
  <c r="W5" i="19" a="1"/>
  <c r="W5" i="19" s="1"/>
  <c r="W12" i="19" a="1"/>
  <c r="W12" i="19" s="1"/>
  <c r="W15" i="19" a="1"/>
  <c r="W15" i="19" s="1"/>
  <c r="W25" i="19" a="1"/>
  <c r="W25" i="19" s="1"/>
  <c r="W23" i="19" a="1"/>
  <c r="W23" i="19" s="1"/>
  <c r="W11" i="19" a="1"/>
  <c r="W11" i="19" s="1"/>
  <c r="W22" i="19" a="1"/>
  <c r="W22" i="19" s="1"/>
  <c r="W16" i="19" a="1"/>
  <c r="W16" i="19" s="1"/>
  <c r="W10" i="19" a="1"/>
  <c r="W10" i="19" s="1"/>
  <c r="W20" i="19" a="1"/>
  <c r="W20" i="19" s="1"/>
  <c r="W19" i="19" a="1"/>
  <c r="W19" i="19" s="1"/>
  <c r="W9" i="19" a="1"/>
  <c r="W9" i="19" s="1"/>
  <c r="W3" i="19" a="1"/>
  <c r="W3" i="19" s="1"/>
  <c r="W7" i="19" a="1"/>
  <c r="W7" i="19" s="1"/>
  <c r="W24" i="19" a="1"/>
  <c r="W24" i="19" s="1"/>
  <c r="W13" i="19" a="1"/>
  <c r="W13" i="19" s="1"/>
  <c r="W8" i="19" a="1"/>
  <c r="W8" i="19" s="1"/>
  <c r="W17" i="19" a="1"/>
  <c r="W17" i="19" s="1"/>
  <c r="W14" i="19" a="1"/>
  <c r="W14" i="19" s="1"/>
  <c r="W18" i="19" a="1"/>
  <c r="W18" i="19" s="1"/>
  <c r="AF4" i="19" a="1"/>
  <c r="AF4" i="19" s="1"/>
  <c r="AF6" i="19" a="1"/>
  <c r="AF6" i="19" s="1"/>
  <c r="AF5" i="19" a="1"/>
  <c r="AF5" i="19" s="1"/>
  <c r="AF9" i="19" a="1"/>
  <c r="AF9" i="19" s="1"/>
  <c r="AF21" i="19" a="1"/>
  <c r="AF21" i="19" s="1"/>
  <c r="AF22" i="19" a="1"/>
  <c r="AF22" i="19" s="1"/>
  <c r="AF13" i="19" a="1"/>
  <c r="AF13" i="19" s="1"/>
  <c r="AF17" i="19" a="1"/>
  <c r="AF17" i="19" s="1"/>
  <c r="AF20" i="19" a="1"/>
  <c r="AF20" i="19" s="1"/>
  <c r="AF23" i="19" a="1"/>
  <c r="AF23" i="19" s="1"/>
  <c r="AF14" i="19" a="1"/>
  <c r="AF14" i="19" s="1"/>
  <c r="AF19" i="19" a="1"/>
  <c r="AF19" i="19" s="1"/>
  <c r="AF24" i="19" a="1"/>
  <c r="AF24" i="19" s="1"/>
  <c r="AF11" i="19" a="1"/>
  <c r="AF11" i="19" s="1"/>
  <c r="AF25" i="19" a="1"/>
  <c r="AF25" i="19" s="1"/>
  <c r="AF8" i="19" a="1"/>
  <c r="AF8" i="19" s="1"/>
  <c r="AF12" i="19" a="1"/>
  <c r="AF12" i="19" s="1"/>
  <c r="AF3" i="19" a="1"/>
  <c r="AF3" i="19" s="1"/>
  <c r="AF18" i="19" a="1"/>
  <c r="AF18" i="19" s="1"/>
  <c r="AF16" i="19" a="1"/>
  <c r="AF16" i="19" s="1"/>
  <c r="AF15" i="19" a="1"/>
  <c r="AF15" i="19" s="1"/>
  <c r="AF10" i="19" a="1"/>
  <c r="AF10" i="19" s="1"/>
  <c r="AF7" i="19" a="1"/>
  <c r="AF7" i="19" s="1"/>
  <c r="AI6" i="19" a="1"/>
  <c r="AI6" i="19" s="1"/>
  <c r="AI10" i="19" a="1"/>
  <c r="AI10" i="19" s="1"/>
  <c r="AI3" i="19" a="1"/>
  <c r="AI3" i="19" s="1"/>
  <c r="AI15" i="19" a="1"/>
  <c r="AI15" i="19" s="1"/>
  <c r="AI25" i="19" a="1"/>
  <c r="AI25" i="19" s="1"/>
  <c r="AI20" i="19" a="1"/>
  <c r="AI20" i="19" s="1"/>
  <c r="AI4" i="19" a="1"/>
  <c r="AI4" i="19" s="1"/>
  <c r="AI7" i="19" a="1"/>
  <c r="AI7" i="19" s="1"/>
  <c r="AI19" i="19" a="1"/>
  <c r="AI19" i="19" s="1"/>
  <c r="AI5" i="19" a="1"/>
  <c r="AI5" i="19" s="1"/>
  <c r="AI8" i="19" a="1"/>
  <c r="AI8" i="19" s="1"/>
  <c r="AI17" i="19" a="1"/>
  <c r="AI17" i="19" s="1"/>
  <c r="AI23" i="19" a="1"/>
  <c r="AI23" i="19" s="1"/>
  <c r="AI11" i="19" a="1"/>
  <c r="AI11" i="19" s="1"/>
  <c r="AI16" i="19" a="1"/>
  <c r="AI16" i="19" s="1"/>
  <c r="AI24" i="19" a="1"/>
  <c r="AI24" i="19" s="1"/>
  <c r="AI21" i="19" a="1"/>
  <c r="AI21" i="19" s="1"/>
  <c r="AI9" i="19" a="1"/>
  <c r="AI9" i="19" s="1"/>
  <c r="AI22" i="19" a="1"/>
  <c r="AI22" i="19" s="1"/>
  <c r="AI12" i="19" a="1"/>
  <c r="AI12" i="19" s="1"/>
  <c r="AI18" i="19" a="1"/>
  <c r="AI18" i="19" s="1"/>
  <c r="AI13" i="19" a="1"/>
  <c r="AI13" i="19" s="1"/>
  <c r="AI14" i="19" a="1"/>
  <c r="AI14" i="19" s="1"/>
  <c r="Y6" i="19" a="1"/>
  <c r="Y6" i="19" s="1"/>
  <c r="Y5" i="19" a="1"/>
  <c r="Y5" i="19" s="1"/>
  <c r="Y3" i="19" a="1"/>
  <c r="Y3" i="19" s="1"/>
  <c r="Y21" i="19" a="1"/>
  <c r="Y21" i="19" s="1"/>
  <c r="Y4" i="19" a="1"/>
  <c r="Y4" i="19" s="1"/>
  <c r="Y19" i="19" a="1"/>
  <c r="Y19" i="19" s="1"/>
  <c r="Y22" i="19" a="1"/>
  <c r="Y22" i="19" s="1"/>
  <c r="Y15" i="19" a="1"/>
  <c r="Y15" i="19" s="1"/>
  <c r="Y11" i="19" a="1"/>
  <c r="Y11" i="19" s="1"/>
  <c r="Y20" i="19" a="1"/>
  <c r="Y20" i="19" s="1"/>
  <c r="Y25" i="19" a="1"/>
  <c r="Y25" i="19" s="1"/>
  <c r="Y17" i="19" a="1"/>
  <c r="Y17" i="19" s="1"/>
  <c r="Y18" i="19" a="1"/>
  <c r="Y18" i="19" s="1"/>
  <c r="Y23" i="19" a="1"/>
  <c r="Y23" i="19" s="1"/>
  <c r="Y7" i="19" a="1"/>
  <c r="Y7" i="19" s="1"/>
  <c r="Y16" i="19" a="1"/>
  <c r="Y16" i="19" s="1"/>
  <c r="Y8" i="19" a="1"/>
  <c r="Y8" i="19" s="1"/>
  <c r="Y9" i="19" a="1"/>
  <c r="Y9" i="19" s="1"/>
  <c r="Y10" i="19" a="1"/>
  <c r="Y10" i="19" s="1"/>
  <c r="Y24" i="19" a="1"/>
  <c r="Y24" i="19" s="1"/>
  <c r="Y14" i="19" a="1"/>
  <c r="Y14" i="19" s="1"/>
  <c r="Y13" i="19" a="1"/>
  <c r="Y13" i="19" s="1"/>
  <c r="Y12" i="19" a="1"/>
  <c r="Y12" i="19" s="1"/>
  <c r="S7" i="19" a="1"/>
  <c r="S7" i="19" s="1"/>
  <c r="S10" i="19" a="1"/>
  <c r="S10" i="19" s="1"/>
  <c r="S20" i="19" a="1"/>
  <c r="S20" i="19" s="1"/>
  <c r="S25" i="19" a="1"/>
  <c r="S25" i="19" s="1"/>
  <c r="S3" i="19" a="1"/>
  <c r="S3" i="19" s="1"/>
  <c r="S8" i="19" a="1"/>
  <c r="S8" i="19" s="1"/>
  <c r="S23" i="19" a="1"/>
  <c r="S23" i="19" s="1"/>
  <c r="S17" i="19" a="1"/>
  <c r="S17" i="19" s="1"/>
  <c r="S13" i="19" a="1"/>
  <c r="S13" i="19" s="1"/>
  <c r="S9" i="19" a="1"/>
  <c r="S9" i="19" s="1"/>
  <c r="S18" i="19" a="1"/>
  <c r="S18" i="19" s="1"/>
  <c r="S6" i="19" a="1"/>
  <c r="S6" i="19" s="1"/>
  <c r="S11" i="19" a="1"/>
  <c r="S11" i="19" s="1"/>
  <c r="S4" i="19" a="1"/>
  <c r="S4" i="19" s="1"/>
  <c r="S14" i="19" a="1"/>
  <c r="S14" i="19" s="1"/>
  <c r="S24" i="19" a="1"/>
  <c r="S24" i="19" s="1"/>
  <c r="S12" i="19" a="1"/>
  <c r="S12" i="19" s="1"/>
  <c r="S16" i="19" a="1"/>
  <c r="S16" i="19" s="1"/>
  <c r="S22" i="19" a="1"/>
  <c r="S22" i="19" s="1"/>
  <c r="S5" i="19" a="1"/>
  <c r="S5" i="19" s="1"/>
  <c r="S15" i="19" a="1"/>
  <c r="S15" i="19" s="1"/>
  <c r="S19" i="19" a="1"/>
  <c r="S19" i="19" s="1"/>
  <c r="S21" i="19" a="1"/>
  <c r="S21" i="19" s="1"/>
  <c r="I9" i="19" a="1"/>
  <c r="I9" i="19" s="1"/>
  <c r="I6" i="19" a="1"/>
  <c r="I6" i="19" s="1"/>
  <c r="I5" i="19" a="1"/>
  <c r="I5" i="19" s="1"/>
  <c r="I3" i="19" a="1"/>
  <c r="I3" i="19" s="1"/>
  <c r="I20" i="19" a="1"/>
  <c r="I20" i="19" s="1"/>
  <c r="I23" i="19" a="1"/>
  <c r="I23" i="19" s="1"/>
  <c r="I11" i="19" a="1"/>
  <c r="I11" i="19" s="1"/>
  <c r="I7" i="19" a="1"/>
  <c r="I7" i="19" s="1"/>
  <c r="I12" i="19" a="1"/>
  <c r="I12" i="19" s="1"/>
  <c r="I17" i="19" a="1"/>
  <c r="I17" i="19" s="1"/>
  <c r="I22" i="19" a="1"/>
  <c r="I22" i="19" s="1"/>
  <c r="I15" i="19" a="1"/>
  <c r="I15" i="19" s="1"/>
  <c r="I21" i="19" a="1"/>
  <c r="I21" i="19" s="1"/>
  <c r="I4" i="19" a="1"/>
  <c r="I4" i="19" s="1"/>
  <c r="I18" i="19" a="1"/>
  <c r="I18" i="19" s="1"/>
  <c r="I24" i="19" a="1"/>
  <c r="I24" i="19" s="1"/>
  <c r="I13" i="19" a="1"/>
  <c r="I13" i="19" s="1"/>
  <c r="I8" i="19" a="1"/>
  <c r="I8" i="19" s="1"/>
  <c r="I16" i="19" a="1"/>
  <c r="I16" i="19" s="1"/>
  <c r="I25" i="19" a="1"/>
  <c r="I25" i="19" s="1"/>
  <c r="I19" i="19" a="1"/>
  <c r="I19" i="19" s="1"/>
  <c r="I14" i="19" a="1"/>
  <c r="I14" i="19" s="1"/>
  <c r="I10" i="19" a="1"/>
  <c r="I10" i="19" s="1"/>
  <c r="AJ5" i="19" a="1"/>
  <c r="AJ5" i="19" s="1"/>
  <c r="AJ4" i="19" a="1"/>
  <c r="AJ4" i="19" s="1"/>
  <c r="AJ15" i="19" a="1"/>
  <c r="AJ15" i="19" s="1"/>
  <c r="AJ13" i="19" a="1"/>
  <c r="AJ13" i="19" s="1"/>
  <c r="AJ10" i="19" a="1"/>
  <c r="AJ10" i="19" s="1"/>
  <c r="AJ23" i="19" a="1"/>
  <c r="AJ23" i="19" s="1"/>
  <c r="AJ18" i="19" a="1"/>
  <c r="AJ18" i="19" s="1"/>
  <c r="AJ19" i="19" a="1"/>
  <c r="AJ19" i="19" s="1"/>
  <c r="AJ8" i="19" a="1"/>
  <c r="AJ8" i="19" s="1"/>
  <c r="AJ11" i="19" a="1"/>
  <c r="AJ11" i="19" s="1"/>
  <c r="AJ7" i="19" a="1"/>
  <c r="AJ7" i="19" s="1"/>
  <c r="AJ3" i="19" a="1"/>
  <c r="AJ3" i="19" s="1"/>
  <c r="AJ20" i="19" a="1"/>
  <c r="AJ20" i="19" s="1"/>
  <c r="AJ17" i="19" a="1"/>
  <c r="AJ17" i="19" s="1"/>
  <c r="AJ14" i="19" a="1"/>
  <c r="AJ14" i="19" s="1"/>
  <c r="AJ12" i="19" a="1"/>
  <c r="AJ12" i="19" s="1"/>
  <c r="AJ24" i="19" a="1"/>
  <c r="AJ24" i="19" s="1"/>
  <c r="AJ21" i="19" a="1"/>
  <c r="AJ21" i="19" s="1"/>
  <c r="AJ22" i="19" a="1"/>
  <c r="AJ22" i="19" s="1"/>
  <c r="AJ9" i="19" a="1"/>
  <c r="AJ9" i="19" s="1"/>
  <c r="AJ25" i="19" a="1"/>
  <c r="AJ25" i="19" s="1"/>
  <c r="AJ6" i="19" a="1"/>
  <c r="AJ6" i="19" s="1"/>
  <c r="AJ16" i="19" a="1"/>
  <c r="AJ16" i="19" s="1"/>
  <c r="Z16" i="19" a="1"/>
  <c r="Z16" i="19" s="1"/>
  <c r="Z3" i="19" a="1"/>
  <c r="Z3" i="19" s="1"/>
  <c r="Z11" i="19" a="1"/>
  <c r="Z11" i="19" s="1"/>
  <c r="Z6" i="19" a="1"/>
  <c r="Z6" i="19" s="1"/>
  <c r="Z8" i="19" a="1"/>
  <c r="Z8" i="19" s="1"/>
  <c r="Z15" i="19" a="1"/>
  <c r="Z15" i="19" s="1"/>
  <c r="Z10" i="19" a="1"/>
  <c r="Z10" i="19" s="1"/>
  <c r="Z21" i="19" a="1"/>
  <c r="Z21" i="19" s="1"/>
  <c r="Z5" i="19" a="1"/>
  <c r="Z5" i="19" s="1"/>
  <c r="Z17" i="19" a="1"/>
  <c r="Z17" i="19" s="1"/>
  <c r="Z12" i="19" a="1"/>
  <c r="Z12" i="19" s="1"/>
  <c r="Z14" i="19" a="1"/>
  <c r="Z14" i="19" s="1"/>
  <c r="Z9" i="19" a="1"/>
  <c r="Z9" i="19" s="1"/>
  <c r="Z25" i="19" a="1"/>
  <c r="Z25" i="19" s="1"/>
  <c r="Z7" i="19" a="1"/>
  <c r="Z7" i="19" s="1"/>
  <c r="Z19" i="19" a="1"/>
  <c r="Z19" i="19" s="1"/>
  <c r="Z22" i="19" a="1"/>
  <c r="Z22" i="19" s="1"/>
  <c r="Z18" i="19" a="1"/>
  <c r="Z18" i="19" s="1"/>
  <c r="Z24" i="19" a="1"/>
  <c r="Z24" i="19" s="1"/>
  <c r="Z23" i="19" a="1"/>
  <c r="Z23" i="19" s="1"/>
  <c r="Z4" i="19" a="1"/>
  <c r="Z4" i="19" s="1"/>
  <c r="Z20" i="19" a="1"/>
  <c r="Z20" i="19" s="1"/>
  <c r="Z13" i="19" a="1"/>
  <c r="Z13" i="19" s="1"/>
  <c r="C17" i="19" a="1"/>
  <c r="C17" i="19" s="1"/>
  <c r="C8" i="19" a="1"/>
  <c r="C8" i="19" s="1"/>
  <c r="C6" i="19" a="1"/>
  <c r="C6" i="19" s="1"/>
  <c r="C15" i="19" a="1"/>
  <c r="C15" i="19" s="1"/>
  <c r="C11" i="19" a="1"/>
  <c r="C11" i="19" s="1"/>
  <c r="C23" i="19" a="1"/>
  <c r="C23" i="19" s="1"/>
  <c r="C24" i="19" a="1"/>
  <c r="C24" i="19" s="1"/>
  <c r="C4" i="19" a="1"/>
  <c r="C4" i="19" s="1"/>
  <c r="C21" i="19" a="1"/>
  <c r="C21" i="19" s="1"/>
  <c r="C7" i="19" a="1"/>
  <c r="C7" i="19" s="1"/>
  <c r="C3" i="19" a="1"/>
  <c r="C3" i="19" s="1"/>
  <c r="C20" i="19" a="1"/>
  <c r="C20" i="19" s="1"/>
  <c r="C18" i="19" a="1"/>
  <c r="C18" i="19" s="1"/>
  <c r="C10" i="19" a="1"/>
  <c r="C10" i="19" s="1"/>
  <c r="C9" i="19" a="1"/>
  <c r="C9" i="19" s="1"/>
  <c r="C16" i="19" a="1"/>
  <c r="C16" i="19" s="1"/>
  <c r="C14" i="19" a="1"/>
  <c r="C14" i="19" s="1"/>
  <c r="C19" i="19" a="1"/>
  <c r="C19" i="19" s="1"/>
  <c r="C25" i="19" a="1"/>
  <c r="C25" i="19" s="1"/>
  <c r="C12" i="19" a="1"/>
  <c r="C12" i="19" s="1"/>
  <c r="C22" i="19" a="1"/>
  <c r="C22" i="19" s="1"/>
  <c r="C5" i="19" a="1"/>
  <c r="C5" i="19" s="1"/>
  <c r="C13" i="19" a="1"/>
  <c r="C13" i="19" s="1"/>
  <c r="J11" i="19" a="1"/>
  <c r="J11" i="19" s="1"/>
  <c r="J19" i="19" a="1"/>
  <c r="J19" i="19" s="1"/>
  <c r="J3" i="19" a="1"/>
  <c r="J3" i="19" s="1"/>
  <c r="J21" i="19" a="1"/>
  <c r="J21" i="19" s="1"/>
  <c r="J25" i="19" a="1"/>
  <c r="J25" i="19" s="1"/>
  <c r="J9" i="19" a="1"/>
  <c r="J9" i="19" s="1"/>
  <c r="J8" i="19" a="1"/>
  <c r="J8" i="19" s="1"/>
  <c r="J12" i="19" a="1"/>
  <c r="J12" i="19" s="1"/>
  <c r="J14" i="19" a="1"/>
  <c r="J14" i="19" s="1"/>
  <c r="J13" i="19" a="1"/>
  <c r="J13" i="19" s="1"/>
  <c r="J20" i="19" a="1"/>
  <c r="J20" i="19" s="1"/>
  <c r="J7" i="19" a="1"/>
  <c r="J7" i="19" s="1"/>
  <c r="J18" i="19" a="1"/>
  <c r="J18" i="19" s="1"/>
  <c r="J24" i="19" a="1"/>
  <c r="J24" i="19" s="1"/>
  <c r="J17" i="19" a="1"/>
  <c r="J17" i="19" s="1"/>
  <c r="J6" i="19" a="1"/>
  <c r="J6" i="19" s="1"/>
  <c r="J10" i="19" a="1"/>
  <c r="J10" i="19" s="1"/>
  <c r="J15" i="19" a="1"/>
  <c r="J15" i="19" s="1"/>
  <c r="J16" i="19" a="1"/>
  <c r="J16" i="19" s="1"/>
  <c r="J23" i="19" a="1"/>
  <c r="J23" i="19" s="1"/>
  <c r="J22" i="19" a="1"/>
  <c r="J22" i="19" s="1"/>
  <c r="J5" i="19" a="1"/>
  <c r="J5" i="19" s="1"/>
  <c r="J4" i="19" a="1"/>
  <c r="J4" i="19" s="1"/>
  <c r="T9" i="19" a="1"/>
  <c r="T9" i="19" s="1"/>
  <c r="T5" i="19" a="1"/>
  <c r="T5" i="19" s="1"/>
  <c r="T4" i="19" a="1"/>
  <c r="T4" i="19" s="1"/>
  <c r="T20" i="19" a="1"/>
  <c r="T20" i="19" s="1"/>
  <c r="T6" i="19" a="1"/>
  <c r="T6" i="19" s="1"/>
  <c r="T15" i="19" a="1"/>
  <c r="T15" i="19" s="1"/>
  <c r="T19" i="19" a="1"/>
  <c r="T19" i="19" s="1"/>
  <c r="T24" i="19" a="1"/>
  <c r="T24" i="19" s="1"/>
  <c r="T10" i="19" a="1"/>
  <c r="T10" i="19" s="1"/>
  <c r="T16" i="19" a="1"/>
  <c r="T16" i="19" s="1"/>
  <c r="T13" i="19" a="1"/>
  <c r="T13" i="19" s="1"/>
  <c r="T14" i="19" a="1"/>
  <c r="T14" i="19" s="1"/>
  <c r="T3" i="19" a="1"/>
  <c r="T3" i="19" s="1"/>
  <c r="T7" i="19" a="1"/>
  <c r="T7" i="19" s="1"/>
  <c r="T22" i="19" a="1"/>
  <c r="T22" i="19" s="1"/>
  <c r="T21" i="19" a="1"/>
  <c r="T21" i="19" s="1"/>
  <c r="T18" i="19" a="1"/>
  <c r="T18" i="19" s="1"/>
  <c r="T8" i="19" a="1"/>
  <c r="T8" i="19" s="1"/>
  <c r="T25" i="19" a="1"/>
  <c r="T25" i="19" s="1"/>
  <c r="T17" i="19" a="1"/>
  <c r="T17" i="19" s="1"/>
  <c r="T11" i="19" a="1"/>
  <c r="T11" i="19" s="1"/>
  <c r="T12" i="19" a="1"/>
  <c r="T12" i="19" s="1"/>
  <c r="T23" i="19" a="1"/>
  <c r="T23" i="19" s="1"/>
  <c r="AA5" i="19" a="1"/>
  <c r="AA5" i="19" s="1"/>
  <c r="AA4" i="19" a="1"/>
  <c r="AA4" i="19" s="1"/>
  <c r="AA19" i="19" a="1"/>
  <c r="AA19" i="19" s="1"/>
  <c r="AA7" i="19" a="1"/>
  <c r="AA7" i="19" s="1"/>
  <c r="AA16" i="19" a="1"/>
  <c r="AA16" i="19" s="1"/>
  <c r="AA15" i="19" a="1"/>
  <c r="AA15" i="19" s="1"/>
  <c r="AA21" i="19" a="1"/>
  <c r="AA21" i="19" s="1"/>
  <c r="AA17" i="19" a="1"/>
  <c r="AA17" i="19" s="1"/>
  <c r="AA3" i="19" a="1"/>
  <c r="AA3" i="19" s="1"/>
  <c r="AA11" i="19" a="1"/>
  <c r="AA11" i="19" s="1"/>
  <c r="AA13" i="19" a="1"/>
  <c r="AA13" i="19" s="1"/>
  <c r="AA20" i="19" a="1"/>
  <c r="AA20" i="19" s="1"/>
  <c r="AA10" i="19" a="1"/>
  <c r="AA10" i="19" s="1"/>
  <c r="AA12" i="19" a="1"/>
  <c r="AA12" i="19" s="1"/>
  <c r="AA25" i="19" a="1"/>
  <c r="AA25" i="19" s="1"/>
  <c r="AA14" i="19" a="1"/>
  <c r="AA14" i="19" s="1"/>
  <c r="AA9" i="19" a="1"/>
  <c r="AA9" i="19" s="1"/>
  <c r="AA23" i="19" a="1"/>
  <c r="AA23" i="19" s="1"/>
  <c r="AA24" i="19" a="1"/>
  <c r="AA24" i="19" s="1"/>
  <c r="AA6" i="19" a="1"/>
  <c r="AA6" i="19" s="1"/>
  <c r="AA18" i="19" a="1"/>
  <c r="AA18" i="19" s="1"/>
  <c r="AA8" i="19" a="1"/>
  <c r="AA8" i="19" s="1"/>
  <c r="AA22" i="19" a="1"/>
  <c r="AA22" i="19" s="1"/>
  <c r="AK15" i="19" a="1"/>
  <c r="AK15" i="19" s="1"/>
  <c r="AK14" i="19" a="1"/>
  <c r="AK14" i="19" s="1"/>
  <c r="AK8" i="19" a="1"/>
  <c r="AK8" i="19" s="1"/>
  <c r="AK11" i="19" a="1"/>
  <c r="AK11" i="19" s="1"/>
  <c r="AK19" i="19" a="1"/>
  <c r="AK19" i="19" s="1"/>
  <c r="AK7" i="19" a="1"/>
  <c r="AK7" i="19" s="1"/>
  <c r="AK16" i="19" a="1"/>
  <c r="AK16" i="19" s="1"/>
  <c r="AK22" i="19" a="1"/>
  <c r="AK22" i="19" s="1"/>
  <c r="AK25" i="19" a="1"/>
  <c r="AK25" i="19" s="1"/>
  <c r="AK21" i="19" a="1"/>
  <c r="AK21" i="19" s="1"/>
  <c r="AK6" i="19" a="1"/>
  <c r="AK6" i="19" s="1"/>
  <c r="AK18" i="19" a="1"/>
  <c r="AK18" i="19" s="1"/>
  <c r="AK10" i="19" a="1"/>
  <c r="AK10" i="19" s="1"/>
  <c r="AK12" i="19" a="1"/>
  <c r="AK12" i="19" s="1"/>
  <c r="AK20" i="19" a="1"/>
  <c r="AK20" i="19" s="1"/>
  <c r="AK17" i="19" a="1"/>
  <c r="AK17" i="19" s="1"/>
  <c r="AK24" i="19" a="1"/>
  <c r="AK24" i="19" s="1"/>
  <c r="AK3" i="19" a="1"/>
  <c r="AK3" i="19" s="1"/>
  <c r="AK9" i="19" a="1"/>
  <c r="AK9" i="19" s="1"/>
  <c r="AK4" i="19" a="1"/>
  <c r="AK4" i="19" s="1"/>
  <c r="AK5" i="19" a="1"/>
  <c r="AK5" i="19" s="1"/>
  <c r="AK23" i="19" a="1"/>
  <c r="AK23" i="19" s="1"/>
  <c r="AK13" i="19" a="1"/>
  <c r="AK13" i="19" s="1"/>
  <c r="K19" i="19" a="1"/>
  <c r="K19" i="19" s="1"/>
  <c r="K5" i="19" a="1"/>
  <c r="K5" i="19" s="1"/>
  <c r="K4" i="19" a="1"/>
  <c r="K4" i="19" s="1"/>
  <c r="K6" i="19" a="1"/>
  <c r="K6" i="19" s="1"/>
  <c r="K15" i="19" a="1"/>
  <c r="K15" i="19" s="1"/>
  <c r="K9" i="19" a="1"/>
  <c r="K9" i="19" s="1"/>
  <c r="K11" i="19" a="1"/>
  <c r="K11" i="19" s="1"/>
  <c r="K21" i="19" a="1"/>
  <c r="K21" i="19" s="1"/>
  <c r="K17" i="19" a="1"/>
  <c r="K17" i="19" s="1"/>
  <c r="K22" i="19" a="1"/>
  <c r="K22" i="19" s="1"/>
  <c r="K3" i="19" a="1"/>
  <c r="K3" i="19" s="1"/>
  <c r="K23" i="19" a="1"/>
  <c r="K23" i="19" s="1"/>
  <c r="K12" i="19" a="1"/>
  <c r="K12" i="19" s="1"/>
  <c r="K8" i="19" a="1"/>
  <c r="K8" i="19" s="1"/>
  <c r="K20" i="19" a="1"/>
  <c r="K20" i="19" s="1"/>
  <c r="K25" i="19" a="1"/>
  <c r="K25" i="19" s="1"/>
  <c r="K10" i="19" a="1"/>
  <c r="K10" i="19" s="1"/>
  <c r="K13" i="19" a="1"/>
  <c r="K13" i="19" s="1"/>
  <c r="K16" i="19" a="1"/>
  <c r="K16" i="19" s="1"/>
  <c r="K14" i="19" a="1"/>
  <c r="K14" i="19" s="1"/>
  <c r="K24" i="19" a="1"/>
  <c r="K24" i="19" s="1"/>
  <c r="K7" i="19" a="1"/>
  <c r="K7" i="19" s="1"/>
  <c r="K18" i="19" a="1"/>
  <c r="K18" i="19" s="1"/>
  <c r="D25" i="19" a="1"/>
  <c r="D25" i="19" s="1"/>
  <c r="D10" i="19" a="1"/>
  <c r="D10" i="19" s="1"/>
  <c r="D5" i="19" a="1"/>
  <c r="D5" i="19" s="1"/>
  <c r="D4" i="19" a="1"/>
  <c r="D4" i="19" s="1"/>
  <c r="D22" i="19" a="1"/>
  <c r="D22" i="19" s="1"/>
  <c r="D6" i="19" a="1"/>
  <c r="D6" i="19" s="1"/>
  <c r="D3" i="19" a="1"/>
  <c r="D3" i="19" s="1"/>
  <c r="D17" i="19" a="1"/>
  <c r="D17" i="19" s="1"/>
  <c r="D8" i="19" a="1"/>
  <c r="D8" i="19" s="1"/>
  <c r="D18" i="19" a="1"/>
  <c r="D18" i="19" s="1"/>
  <c r="D13" i="19" a="1"/>
  <c r="D13" i="19" s="1"/>
  <c r="D15" i="19" a="1"/>
  <c r="D15" i="19" s="1"/>
  <c r="D14" i="19" a="1"/>
  <c r="D14" i="19" s="1"/>
  <c r="D24" i="19" a="1"/>
  <c r="D24" i="19" s="1"/>
  <c r="D20" i="19" a="1"/>
  <c r="D20" i="19" s="1"/>
  <c r="D7" i="19" a="1"/>
  <c r="D7" i="19" s="1"/>
  <c r="D16" i="19" a="1"/>
  <c r="D16" i="19" s="1"/>
  <c r="D9" i="19" a="1"/>
  <c r="D9" i="19" s="1"/>
  <c r="D12" i="19" a="1"/>
  <c r="D12" i="19" s="1"/>
  <c r="D11" i="19" a="1"/>
  <c r="D11" i="19" s="1"/>
  <c r="D23" i="19" a="1"/>
  <c r="D23" i="19" s="1"/>
  <c r="D19" i="19" a="1"/>
  <c r="D19" i="19" s="1"/>
  <c r="D21" i="19" a="1"/>
  <c r="D21" i="19" s="1"/>
  <c r="L6" i="19" a="1"/>
  <c r="L6" i="19" s="1"/>
  <c r="L12" i="19" a="1"/>
  <c r="L12" i="19" s="1"/>
  <c r="L21" i="19" a="1"/>
  <c r="L21" i="19" s="1"/>
  <c r="L11" i="19" a="1"/>
  <c r="L11" i="19" s="1"/>
  <c r="L20" i="19" a="1"/>
  <c r="L20" i="19" s="1"/>
  <c r="L19" i="19" a="1"/>
  <c r="L19" i="19" s="1"/>
  <c r="L24" i="19" a="1"/>
  <c r="L24" i="19" s="1"/>
  <c r="L3" i="19" a="1"/>
  <c r="L3" i="19" s="1"/>
  <c r="L17" i="19" a="1"/>
  <c r="L17" i="19" s="1"/>
  <c r="L14" i="19" a="1"/>
  <c r="L14" i="19" s="1"/>
  <c r="L16" i="19" a="1"/>
  <c r="L16" i="19" s="1"/>
  <c r="L10" i="19" a="1"/>
  <c r="L10" i="19" s="1"/>
  <c r="L9" i="19" a="1"/>
  <c r="L9" i="19" s="1"/>
  <c r="L18" i="19" a="1"/>
  <c r="L18" i="19" s="1"/>
  <c r="L25" i="19" a="1"/>
  <c r="L25" i="19" s="1"/>
  <c r="L8" i="19" a="1"/>
  <c r="L8" i="19" s="1"/>
  <c r="L23" i="19" a="1"/>
  <c r="L23" i="19" s="1"/>
  <c r="L22" i="19" a="1"/>
  <c r="L22" i="19" s="1"/>
  <c r="L4" i="19" a="1"/>
  <c r="L4" i="19" s="1"/>
  <c r="L7" i="19" a="1"/>
  <c r="L7" i="19" s="1"/>
  <c r="L5" i="19" a="1"/>
  <c r="L5" i="19" s="1"/>
  <c r="L15" i="19" a="1"/>
  <c r="L15" i="19" s="1"/>
  <c r="L13" i="19" a="1"/>
  <c r="L13" i="19" s="1"/>
  <c r="AL4" i="19" a="1"/>
  <c r="AL4" i="19" s="1"/>
  <c r="AL22" i="19" a="1"/>
  <c r="AL22" i="19" s="1"/>
  <c r="AL18" i="19" a="1"/>
  <c r="AL18" i="19" s="1"/>
  <c r="AL10" i="19" a="1"/>
  <c r="AL10" i="19" s="1"/>
  <c r="AL25" i="19" a="1"/>
  <c r="AL25" i="19" s="1"/>
  <c r="AL5" i="19" a="1"/>
  <c r="AL5" i="19" s="1"/>
  <c r="AL9" i="19" a="1"/>
  <c r="AL9" i="19" s="1"/>
  <c r="AL19" i="19" a="1"/>
  <c r="AL19" i="19" s="1"/>
  <c r="AL13" i="19" a="1"/>
  <c r="AL13" i="19" s="1"/>
  <c r="AL21" i="19" a="1"/>
  <c r="AL21" i="19" s="1"/>
  <c r="AL24" i="19" a="1"/>
  <c r="AL24" i="19" s="1"/>
  <c r="AL17" i="19" a="1"/>
  <c r="AL17" i="19" s="1"/>
  <c r="AL15" i="19" a="1"/>
  <c r="AL15" i="19" s="1"/>
  <c r="AL20" i="19" a="1"/>
  <c r="AL20" i="19" s="1"/>
  <c r="AL16" i="19" a="1"/>
  <c r="AL16" i="19" s="1"/>
  <c r="AL12" i="19" a="1"/>
  <c r="AL12" i="19" s="1"/>
  <c r="AL3" i="19" a="1"/>
  <c r="AL3" i="19" s="1"/>
  <c r="AL23" i="19" a="1"/>
  <c r="AL23" i="19" s="1"/>
  <c r="AL11" i="19" a="1"/>
  <c r="AL11" i="19" s="1"/>
  <c r="AL7" i="19" a="1"/>
  <c r="AL7" i="19" s="1"/>
  <c r="AL8" i="19" a="1"/>
  <c r="AL8" i="19" s="1"/>
  <c r="AL6" i="19" a="1"/>
  <c r="AL6" i="19" s="1"/>
  <c r="AL14" i="19" a="1"/>
  <c r="AL14" i="19" s="1"/>
  <c r="G6" i="19" a="1"/>
  <c r="G6" i="19" s="1"/>
  <c r="G5" i="19" a="1"/>
  <c r="G5" i="19" s="1"/>
  <c r="G3" i="19" a="1"/>
  <c r="G3" i="19" s="1"/>
  <c r="G18" i="19" a="1"/>
  <c r="G18" i="19" s="1"/>
  <c r="G15" i="19" a="1"/>
  <c r="G15" i="19" s="1"/>
  <c r="G23" i="19" a="1"/>
  <c r="G23" i="19" s="1"/>
  <c r="G14" i="19" a="1"/>
  <c r="G14" i="19" s="1"/>
  <c r="G20" i="19" a="1"/>
  <c r="G20" i="19" s="1"/>
  <c r="G4" i="19" a="1"/>
  <c r="G4" i="19" s="1"/>
  <c r="G16" i="19" a="1"/>
  <c r="G16" i="19" s="1"/>
  <c r="G9" i="19" a="1"/>
  <c r="G9" i="19" s="1"/>
  <c r="G12" i="19" a="1"/>
  <c r="G12" i="19" s="1"/>
  <c r="G25" i="19" a="1"/>
  <c r="G25" i="19" s="1"/>
  <c r="G24" i="19" a="1"/>
  <c r="G24" i="19" s="1"/>
  <c r="G10" i="19" a="1"/>
  <c r="G10" i="19" s="1"/>
  <c r="G22" i="19" a="1"/>
  <c r="G22" i="19" s="1"/>
  <c r="G7" i="19" a="1"/>
  <c r="G7" i="19" s="1"/>
  <c r="G11" i="19" a="1"/>
  <c r="G11" i="19" s="1"/>
  <c r="G13" i="19" a="1"/>
  <c r="G13" i="19" s="1"/>
  <c r="G8" i="19" a="1"/>
  <c r="G8" i="19" s="1"/>
  <c r="G21" i="19" a="1"/>
  <c r="G21" i="19" s="1"/>
  <c r="G19" i="19" a="1"/>
  <c r="G19" i="19" s="1"/>
  <c r="G17" i="19" a="1"/>
  <c r="G17" i="19" s="1"/>
  <c r="AB23" i="19" a="1"/>
  <c r="AB23" i="19" s="1"/>
  <c r="AB25" i="19" a="1"/>
  <c r="AB25" i="19" s="1"/>
  <c r="AB21" i="19" a="1"/>
  <c r="AB21" i="19" s="1"/>
  <c r="AB16" i="19" a="1"/>
  <c r="AB16" i="19" s="1"/>
  <c r="AB10" i="19" a="1"/>
  <c r="AB10" i="19" s="1"/>
  <c r="AB13" i="19" a="1"/>
  <c r="AB13" i="19" s="1"/>
  <c r="AB14" i="19" a="1"/>
  <c r="AB14" i="19" s="1"/>
  <c r="AB6" i="19" a="1"/>
  <c r="AB6" i="19" s="1"/>
  <c r="AB19" i="19" a="1"/>
  <c r="AB19" i="19" s="1"/>
  <c r="AB17" i="19" a="1"/>
  <c r="AB17" i="19" s="1"/>
  <c r="AB5" i="19" a="1"/>
  <c r="AB5" i="19" s="1"/>
  <c r="AB12" i="19" a="1"/>
  <c r="AB12" i="19" s="1"/>
  <c r="AB11" i="19" a="1"/>
  <c r="AB11" i="19" s="1"/>
  <c r="AB20" i="19" a="1"/>
  <c r="AB20" i="19" s="1"/>
  <c r="AB9" i="19" a="1"/>
  <c r="AB9" i="19" s="1"/>
  <c r="AB24" i="19" a="1"/>
  <c r="AB24" i="19" s="1"/>
  <c r="AB3" i="19" a="1"/>
  <c r="AB3" i="19" s="1"/>
  <c r="AB18" i="19" a="1"/>
  <c r="AB18" i="19" s="1"/>
  <c r="AB4" i="19" a="1"/>
  <c r="AB4" i="19" s="1"/>
  <c r="AB22" i="19" a="1"/>
  <c r="AB22" i="19" s="1"/>
  <c r="AB7" i="19" a="1"/>
  <c r="AB7" i="19" s="1"/>
  <c r="AB8" i="19" a="1"/>
  <c r="AB8" i="19" s="1"/>
  <c r="AB15" i="19" a="1"/>
  <c r="AB15" i="19" s="1"/>
  <c r="U6" i="19" a="1"/>
  <c r="U6" i="19" s="1"/>
  <c r="U14" i="19" a="1"/>
  <c r="U14" i="19" s="1"/>
  <c r="U13" i="19" a="1"/>
  <c r="U13" i="19" s="1"/>
  <c r="U23" i="19" a="1"/>
  <c r="U23" i="19" s="1"/>
  <c r="U3" i="19" a="1"/>
  <c r="U3" i="19" s="1"/>
  <c r="U9" i="19" a="1"/>
  <c r="U9" i="19" s="1"/>
  <c r="U8" i="19" a="1"/>
  <c r="U8" i="19" s="1"/>
  <c r="U11" i="19" a="1"/>
  <c r="U11" i="19" s="1"/>
  <c r="U19" i="19" a="1"/>
  <c r="U19" i="19" s="1"/>
  <c r="U22" i="19" a="1"/>
  <c r="U22" i="19" s="1"/>
  <c r="U25" i="19" a="1"/>
  <c r="U25" i="19" s="1"/>
  <c r="U15" i="19" a="1"/>
  <c r="U15" i="19" s="1"/>
  <c r="U10" i="19" a="1"/>
  <c r="U10" i="19" s="1"/>
  <c r="U5" i="19" a="1"/>
  <c r="U5" i="19" s="1"/>
  <c r="U24" i="19" a="1"/>
  <c r="U24" i="19" s="1"/>
  <c r="U17" i="19" a="1"/>
  <c r="U17" i="19" s="1"/>
  <c r="U21" i="19" a="1"/>
  <c r="U21" i="19" s="1"/>
  <c r="U20" i="19" a="1"/>
  <c r="U20" i="19" s="1"/>
  <c r="U12" i="19" a="1"/>
  <c r="U12" i="19" s="1"/>
  <c r="U4" i="19" a="1"/>
  <c r="U4" i="19" s="1"/>
  <c r="U18" i="19" a="1"/>
  <c r="U18" i="19" s="1"/>
  <c r="U16" i="19" a="1"/>
  <c r="U16" i="19" s="1"/>
  <c r="U7" i="19" a="1"/>
  <c r="U7" i="19" s="1"/>
  <c r="AC7" i="19" a="1"/>
  <c r="AC7" i="19" s="1"/>
  <c r="AC20" i="19" a="1"/>
  <c r="AC20" i="19" s="1"/>
  <c r="AC5" i="19" a="1"/>
  <c r="AC5" i="19" s="1"/>
  <c r="AC4" i="19" a="1"/>
  <c r="AC4" i="19" s="1"/>
  <c r="AC23" i="19" a="1"/>
  <c r="AC23" i="19" s="1"/>
  <c r="AC10" i="19" a="1"/>
  <c r="AC10" i="19" s="1"/>
  <c r="AC6" i="19" a="1"/>
  <c r="AC6" i="19" s="1"/>
  <c r="AC19" i="19" a="1"/>
  <c r="AC19" i="19" s="1"/>
  <c r="AC16" i="19" a="1"/>
  <c r="AC16" i="19" s="1"/>
  <c r="AC17" i="19" a="1"/>
  <c r="AC17" i="19" s="1"/>
  <c r="AC13" i="19" a="1"/>
  <c r="AC13" i="19" s="1"/>
  <c r="AC18" i="19" a="1"/>
  <c r="AC18" i="19" s="1"/>
  <c r="AC12" i="19" a="1"/>
  <c r="AC12" i="19" s="1"/>
  <c r="AC14" i="19" a="1"/>
  <c r="AC14" i="19" s="1"/>
  <c r="AC25" i="19" a="1"/>
  <c r="AC25" i="19" s="1"/>
  <c r="AC3" i="19" a="1"/>
  <c r="AC3" i="19" s="1"/>
  <c r="AC9" i="19" a="1"/>
  <c r="AC9" i="19" s="1"/>
  <c r="AC24" i="19" a="1"/>
  <c r="AC24" i="19" s="1"/>
  <c r="AC21" i="19" a="1"/>
  <c r="AC21" i="19" s="1"/>
  <c r="AC8" i="19" a="1"/>
  <c r="AC8" i="19" s="1"/>
  <c r="AC22" i="19" a="1"/>
  <c r="AC22" i="19" s="1"/>
  <c r="AC11" i="19" a="1"/>
  <c r="AC11" i="19" s="1"/>
  <c r="AC15" i="19" a="1"/>
  <c r="AC15" i="19" s="1"/>
  <c r="E12" i="19" a="1"/>
  <c r="E12" i="19" s="1"/>
  <c r="E5" i="19" a="1"/>
  <c r="E5" i="19" s="1"/>
  <c r="E4" i="19" a="1"/>
  <c r="E4" i="19" s="1"/>
  <c r="E6" i="19" a="1"/>
  <c r="E6" i="19" s="1"/>
  <c r="E17" i="19" a="1"/>
  <c r="E17" i="19" s="1"/>
  <c r="E20" i="19" a="1"/>
  <c r="E20" i="19" s="1"/>
  <c r="E3" i="19" a="1"/>
  <c r="E3" i="19" s="1"/>
  <c r="E22" i="19" a="1"/>
  <c r="E22" i="19" s="1"/>
  <c r="E13" i="19" a="1"/>
  <c r="E13" i="19" s="1"/>
  <c r="E10" i="19" a="1"/>
  <c r="E10" i="19" s="1"/>
  <c r="E16" i="19" a="1"/>
  <c r="E16" i="19" s="1"/>
  <c r="E15" i="19" a="1"/>
  <c r="E15" i="19" s="1"/>
  <c r="E8" i="19" a="1"/>
  <c r="E8" i="19" s="1"/>
  <c r="E23" i="19" a="1"/>
  <c r="E23" i="19" s="1"/>
  <c r="E18" i="19" a="1"/>
  <c r="E18" i="19" s="1"/>
  <c r="E9" i="19" a="1"/>
  <c r="E9" i="19" s="1"/>
  <c r="E7" i="19" a="1"/>
  <c r="E7" i="19" s="1"/>
  <c r="E21" i="19" a="1"/>
  <c r="E21" i="19" s="1"/>
  <c r="E24" i="19" a="1"/>
  <c r="E24" i="19" s="1"/>
  <c r="E25" i="19" a="1"/>
  <c r="E25" i="19" s="1"/>
  <c r="E11" i="19" a="1"/>
  <c r="E11" i="19" s="1"/>
  <c r="E19" i="19" a="1"/>
  <c r="E19" i="19" s="1"/>
  <c r="E14" i="19" a="1"/>
  <c r="E14" i="19" s="1"/>
  <c r="AE11" i="19" a="1"/>
  <c r="AE11" i="19" s="1"/>
  <c r="AE4" i="19" a="1"/>
  <c r="AE4" i="19" s="1"/>
  <c r="AE13" i="19" a="1"/>
  <c r="AE13" i="19" s="1"/>
  <c r="AE17" i="19" a="1"/>
  <c r="AE17" i="19" s="1"/>
  <c r="AE12" i="19" a="1"/>
  <c r="AE12" i="19" s="1"/>
  <c r="AE20" i="19" a="1"/>
  <c r="AE20" i="19" s="1"/>
  <c r="AE25" i="19" a="1"/>
  <c r="AE25" i="19" s="1"/>
  <c r="AE18" i="19" a="1"/>
  <c r="AE18" i="19" s="1"/>
  <c r="AE9" i="19" a="1"/>
  <c r="AE9" i="19" s="1"/>
  <c r="AE21" i="19" a="1"/>
  <c r="AE21" i="19" s="1"/>
  <c r="AE8" i="19" a="1"/>
  <c r="AE8" i="19" s="1"/>
  <c r="AE10" i="19" a="1"/>
  <c r="AE10" i="19" s="1"/>
  <c r="AE3" i="19" a="1"/>
  <c r="AE3" i="19" s="1"/>
  <c r="AE16" i="19" a="1"/>
  <c r="AE16" i="19" s="1"/>
  <c r="AE19" i="19" a="1"/>
  <c r="AE19" i="19" s="1"/>
  <c r="AE6" i="19" a="1"/>
  <c r="AE6" i="19" s="1"/>
  <c r="AE15" i="19" a="1"/>
  <c r="AE15" i="19" s="1"/>
  <c r="AE22" i="19" a="1"/>
  <c r="AE22" i="19" s="1"/>
  <c r="AE7" i="19" a="1"/>
  <c r="AE7" i="19" s="1"/>
  <c r="AE24" i="19" a="1"/>
  <c r="AE24" i="19" s="1"/>
  <c r="AE14" i="19" a="1"/>
  <c r="AE14" i="19" s="1"/>
  <c r="AE23" i="19" a="1"/>
  <c r="AE23" i="19" s="1"/>
  <c r="AE5" i="19" a="1"/>
  <c r="AE5" i="19" s="1"/>
  <c r="R2" i="16"/>
  <c r="R23" i="16" s="1" a="1"/>
  <c r="R23" i="16" s="1"/>
  <c r="AI2" i="16"/>
  <c r="AI6" i="16" s="1" a="1"/>
  <c r="AI6" i="16" s="1"/>
  <c r="E2" i="16"/>
  <c r="E24" i="16" s="1" a="1"/>
  <c r="E24" i="16" s="1"/>
  <c r="L2" i="16"/>
  <c r="L19" i="16" s="1" a="1"/>
  <c r="L19" i="16" s="1"/>
  <c r="D2" i="16"/>
  <c r="D6" i="16" s="1" a="1"/>
  <c r="D6" i="16" s="1"/>
  <c r="AD2" i="16"/>
  <c r="AD8" i="16" s="1" a="1"/>
  <c r="AD8" i="16" s="1"/>
  <c r="W2" i="16"/>
  <c r="W18" i="16" s="1" a="1"/>
  <c r="W18" i="16" s="1"/>
  <c r="X2" i="16"/>
  <c r="X21" i="16" s="1" a="1"/>
  <c r="X21" i="16" s="1"/>
  <c r="S2" i="16"/>
  <c r="AA2" i="16"/>
  <c r="AA5" i="16" s="1" a="1"/>
  <c r="AA5" i="16" s="1"/>
  <c r="U2" i="16"/>
  <c r="U4" i="16" s="1" a="1"/>
  <c r="U4" i="16" s="1"/>
  <c r="AB2" i="16"/>
  <c r="AB18" i="16" s="1" a="1"/>
  <c r="AB18" i="16" s="1"/>
  <c r="T2" i="16"/>
  <c r="T9" i="16" s="1" a="1"/>
  <c r="T9" i="16" s="1"/>
  <c r="G2" i="16"/>
  <c r="H2" i="16"/>
  <c r="H12" i="16" s="1" a="1"/>
  <c r="H12" i="16" s="1"/>
  <c r="AF2" i="16"/>
  <c r="AF19" i="16" s="1" a="1"/>
  <c r="AF19" i="16" s="1"/>
  <c r="Y2" i="16"/>
  <c r="Y13" i="16" s="1" a="1"/>
  <c r="Y13" i="16" s="1"/>
  <c r="J2" i="16"/>
  <c r="J16" i="16" s="1" a="1"/>
  <c r="J16" i="16" s="1"/>
  <c r="Z2" i="16"/>
  <c r="Z15" i="16" s="1" a="1"/>
  <c r="Z15" i="16" s="1"/>
  <c r="Q2" i="16"/>
  <c r="Q6" i="16" s="1" a="1"/>
  <c r="Q6" i="16" s="1"/>
  <c r="AK2" i="16"/>
  <c r="AK11" i="16" s="1" a="1"/>
  <c r="AK11" i="16" s="1"/>
  <c r="M2" i="16"/>
  <c r="M4" i="16" s="1" a="1"/>
  <c r="M4" i="16" s="1"/>
  <c r="AJ2" i="16"/>
  <c r="AJ15" i="16" s="1" a="1"/>
  <c r="AJ15" i="16" s="1"/>
  <c r="AE2" i="16"/>
  <c r="AE20" i="16" s="1" a="1"/>
  <c r="AE20" i="16" s="1"/>
  <c r="P2" i="16"/>
  <c r="P11" i="16" s="1" a="1"/>
  <c r="P11" i="16" s="1"/>
  <c r="AH2" i="16"/>
  <c r="AH23" i="16" s="1" a="1"/>
  <c r="AH23" i="16" s="1"/>
  <c r="AG2" i="16"/>
  <c r="AG20" i="16" s="1" a="1"/>
  <c r="AG20" i="16" s="1"/>
  <c r="F2" i="16"/>
  <c r="F20" i="16" s="1" a="1"/>
  <c r="F20" i="16" s="1"/>
  <c r="AC2" i="16"/>
  <c r="AC20" i="16" s="1" a="1"/>
  <c r="AC20" i="16" s="1"/>
  <c r="AL2" i="16"/>
  <c r="O2" i="16"/>
  <c r="O18" i="16" s="1" a="1"/>
  <c r="O18" i="16" s="1"/>
  <c r="I2" i="16"/>
  <c r="I19" i="16" s="1" a="1"/>
  <c r="I19" i="16" s="1"/>
  <c r="C2" i="16"/>
  <c r="C20" i="16" s="1" a="1"/>
  <c r="C20" i="16" s="1"/>
  <c r="K2" i="16"/>
  <c r="K10" i="16" s="1" a="1"/>
  <c r="K10" i="16" s="1"/>
  <c r="V2" i="16"/>
  <c r="V20" i="16" s="1" a="1"/>
  <c r="V20" i="16" s="1"/>
  <c r="AL2" i="17"/>
  <c r="V2" i="17"/>
  <c r="F2" i="17"/>
  <c r="AC2" i="17"/>
  <c r="AK2" i="17"/>
  <c r="U2" i="17"/>
  <c r="E2" i="17"/>
  <c r="AJ2" i="17"/>
  <c r="T2" i="17"/>
  <c r="D2" i="17"/>
  <c r="AI2" i="17"/>
  <c r="S2" i="17"/>
  <c r="C2" i="17"/>
  <c r="AH2" i="17"/>
  <c r="R2" i="17"/>
  <c r="AG2" i="17"/>
  <c r="Q2" i="17"/>
  <c r="N2" i="17"/>
  <c r="AF2" i="17"/>
  <c r="P2" i="17"/>
  <c r="M2" i="17"/>
  <c r="AE2" i="17"/>
  <c r="O2" i="17"/>
  <c r="AD2" i="17"/>
  <c r="X2" i="17"/>
  <c r="K2" i="17"/>
  <c r="J2" i="17"/>
  <c r="I2" i="17"/>
  <c r="H2" i="17"/>
  <c r="G2" i="17"/>
  <c r="AB2" i="17"/>
  <c r="AA2" i="17"/>
  <c r="Z2" i="17"/>
  <c r="L2" i="17"/>
  <c r="Y2" i="17"/>
  <c r="W2" i="17"/>
  <c r="T17" i="16" a="1"/>
  <c r="T17" i="16" s="1"/>
  <c r="F8" i="16" a="1"/>
  <c r="F8" i="16" s="1"/>
  <c r="F15" i="16" a="1"/>
  <c r="F15" i="16" s="1"/>
  <c r="F10" i="16" a="1"/>
  <c r="F10" i="16" s="1"/>
  <c r="AC16" i="16" a="1"/>
  <c r="AC16" i="16" s="1"/>
  <c r="AC6" i="16" a="1"/>
  <c r="AC6" i="16" s="1"/>
  <c r="AC22" i="16" a="1"/>
  <c r="AC22" i="16" s="1"/>
  <c r="AC25" i="16" a="1"/>
  <c r="AC25" i="16" s="1"/>
  <c r="N5" i="16" a="1"/>
  <c r="N5" i="16" s="1"/>
  <c r="N24" i="16" a="1"/>
  <c r="N24" i="16" s="1"/>
  <c r="N12" i="16" a="1"/>
  <c r="N12" i="16" s="1"/>
  <c r="N25" i="16" a="1"/>
  <c r="N25" i="16" s="1"/>
  <c r="N21" i="16" a="1"/>
  <c r="N21" i="16" s="1"/>
  <c r="N16" i="16" a="1"/>
  <c r="N16" i="16" s="1"/>
  <c r="N7" i="16" a="1"/>
  <c r="N7" i="16" s="1"/>
  <c r="N11" i="16" a="1"/>
  <c r="N11" i="16" s="1"/>
  <c r="N6" i="16" a="1"/>
  <c r="N6" i="16" s="1"/>
  <c r="N17" i="16" a="1"/>
  <c r="N17" i="16" s="1"/>
  <c r="N15" i="16" a="1"/>
  <c r="N15" i="16" s="1"/>
  <c r="N19" i="16" a="1"/>
  <c r="N19" i="16" s="1"/>
  <c r="N13" i="16" a="1"/>
  <c r="N13" i="16" s="1"/>
  <c r="N9" i="16" a="1"/>
  <c r="N9" i="16" s="1"/>
  <c r="N14" i="16" a="1"/>
  <c r="N14" i="16" s="1"/>
  <c r="N18" i="16" a="1"/>
  <c r="N18" i="16" s="1"/>
  <c r="N4" i="16" a="1"/>
  <c r="N4" i="16" s="1"/>
  <c r="N10" i="16" a="1"/>
  <c r="N10" i="16" s="1"/>
  <c r="N23" i="16" a="1"/>
  <c r="N23" i="16" s="1"/>
  <c r="N22" i="16" a="1"/>
  <c r="N22" i="16" s="1"/>
  <c r="N8" i="16" a="1"/>
  <c r="N8" i="16" s="1"/>
  <c r="N20" i="16" a="1"/>
  <c r="N20" i="16" s="1"/>
  <c r="N3" i="16" a="1"/>
  <c r="N3" i="16" s="1"/>
  <c r="P12" i="16" a="1"/>
  <c r="P12" i="16" s="1"/>
  <c r="P6" i="16" a="1"/>
  <c r="P6" i="16" s="1"/>
  <c r="P20" i="16" a="1"/>
  <c r="P20" i="16" s="1"/>
  <c r="P15" i="16" a="1"/>
  <c r="P15" i="16" s="1"/>
  <c r="P5" i="16" a="1"/>
  <c r="P5" i="16" s="1"/>
  <c r="P14" i="16" a="1"/>
  <c r="P14" i="16" s="1"/>
  <c r="P10" i="16" a="1"/>
  <c r="P10" i="16" s="1"/>
  <c r="P21" i="16" a="1"/>
  <c r="P21" i="16" s="1"/>
  <c r="P24" i="16" a="1"/>
  <c r="P24" i="16" s="1"/>
  <c r="AH15" i="16" a="1"/>
  <c r="AH15" i="16" s="1"/>
  <c r="AH20" i="16" a="1"/>
  <c r="AH20" i="16" s="1"/>
  <c r="AH25" i="16" a="1"/>
  <c r="AH25" i="16" s="1"/>
  <c r="AH11" i="16" a="1"/>
  <c r="AH11" i="16" s="1"/>
  <c r="AH8" i="16" a="1"/>
  <c r="AH8" i="16" s="1"/>
  <c r="U21" i="16" a="1"/>
  <c r="U21" i="16" s="1"/>
  <c r="U22" i="16" a="1"/>
  <c r="U22" i="16" s="1"/>
  <c r="U7" i="16" a="1"/>
  <c r="U7" i="16" s="1"/>
  <c r="U19" i="16" a="1"/>
  <c r="U19" i="16" s="1"/>
  <c r="U20" i="16" a="1"/>
  <c r="U20" i="16" s="1"/>
  <c r="U17" i="16" a="1"/>
  <c r="U17" i="16" s="1"/>
  <c r="U13" i="16" a="1"/>
  <c r="U13" i="16" s="1"/>
  <c r="AB24" i="16" a="1"/>
  <c r="AB24" i="16" s="1"/>
  <c r="AB13" i="16" a="1"/>
  <c r="AB13" i="16" s="1"/>
  <c r="AB5" i="16" a="1"/>
  <c r="AB5" i="16" s="1"/>
  <c r="AB10" i="16" a="1"/>
  <c r="AB10" i="16" s="1"/>
  <c r="AB20" i="16" a="1"/>
  <c r="AB20" i="16" s="1"/>
  <c r="AB8" i="16" a="1"/>
  <c r="AB8" i="16" s="1"/>
  <c r="AB11" i="16" a="1"/>
  <c r="AB11" i="16" s="1"/>
  <c r="AB21" i="16" a="1"/>
  <c r="AB21" i="16" s="1"/>
  <c r="AB12" i="16" a="1"/>
  <c r="AB12" i="16" s="1"/>
  <c r="AB4" i="16" a="1"/>
  <c r="AB4" i="16" s="1"/>
  <c r="AB25" i="16" a="1"/>
  <c r="AB25" i="16" s="1"/>
  <c r="AB17" i="16" a="1"/>
  <c r="AB17" i="16" s="1"/>
  <c r="AB19" i="16" a="1"/>
  <c r="AB19" i="16" s="1"/>
  <c r="AB6" i="16" a="1"/>
  <c r="AB6" i="16" s="1"/>
  <c r="AB16" i="16" a="1"/>
  <c r="AB16" i="16" s="1"/>
  <c r="AB14" i="16" a="1"/>
  <c r="AB14" i="16" s="1"/>
  <c r="AB23" i="16" a="1"/>
  <c r="AB23" i="16" s="1"/>
  <c r="AB15" i="16" a="1"/>
  <c r="AB15" i="16" s="1"/>
  <c r="AB9" i="16" a="1"/>
  <c r="AB9" i="16" s="1"/>
  <c r="AB22" i="16" a="1"/>
  <c r="AB22" i="16" s="1"/>
  <c r="AB7" i="16" a="1"/>
  <c r="AB7" i="16" s="1"/>
  <c r="AL20" i="16" a="1"/>
  <c r="AL20" i="16" s="1"/>
  <c r="AL15" i="16" a="1"/>
  <c r="AL15" i="16" s="1"/>
  <c r="AL21" i="16" a="1"/>
  <c r="AL21" i="16" s="1"/>
  <c r="AL16" i="16" a="1"/>
  <c r="AL16" i="16" s="1"/>
  <c r="AL4" i="16" a="1"/>
  <c r="AL4" i="16" s="1"/>
  <c r="AL5" i="16" a="1"/>
  <c r="AL5" i="16" s="1"/>
  <c r="AL8" i="16" a="1"/>
  <c r="AL8" i="16" s="1"/>
  <c r="AL12" i="16" a="1"/>
  <c r="AL12" i="16" s="1"/>
  <c r="AL9" i="16" a="1"/>
  <c r="AL9" i="16" s="1"/>
  <c r="AL11" i="16" a="1"/>
  <c r="AL11" i="16" s="1"/>
  <c r="AL25" i="16" a="1"/>
  <c r="AL25" i="16" s="1"/>
  <c r="AL19" i="16" a="1"/>
  <c r="AL19" i="16" s="1"/>
  <c r="AL24" i="16" a="1"/>
  <c r="AL24" i="16" s="1"/>
  <c r="AL18" i="16" a="1"/>
  <c r="AL18" i="16" s="1"/>
  <c r="AL10" i="16" a="1"/>
  <c r="AL10" i="16" s="1"/>
  <c r="AL13" i="16" a="1"/>
  <c r="AL13" i="16" s="1"/>
  <c r="AL7" i="16" a="1"/>
  <c r="AL7" i="16" s="1"/>
  <c r="AL14" i="16" a="1"/>
  <c r="AL14" i="16" s="1"/>
  <c r="AL6" i="16" a="1"/>
  <c r="AL6" i="16" s="1"/>
  <c r="AL17" i="16" a="1"/>
  <c r="AL17" i="16" s="1"/>
  <c r="AL23" i="16" a="1"/>
  <c r="AL23" i="16" s="1"/>
  <c r="AL22" i="16" a="1"/>
  <c r="AL22" i="16" s="1"/>
  <c r="AL3" i="16" a="1"/>
  <c r="AL3" i="16" s="1"/>
  <c r="G4" i="16" a="1"/>
  <c r="G4" i="16" s="1"/>
  <c r="G24" i="16" a="1"/>
  <c r="G24" i="16" s="1"/>
  <c r="G13" i="16" a="1"/>
  <c r="G13" i="16" s="1"/>
  <c r="G21" i="16" a="1"/>
  <c r="G21" i="16" s="1"/>
  <c r="G8" i="16" a="1"/>
  <c r="G8" i="16" s="1"/>
  <c r="G19" i="16" a="1"/>
  <c r="G19" i="16" s="1"/>
  <c r="G9" i="16" a="1"/>
  <c r="G9" i="16" s="1"/>
  <c r="G15" i="16" a="1"/>
  <c r="G15" i="16" s="1"/>
  <c r="G16" i="16" a="1"/>
  <c r="G16" i="16" s="1"/>
  <c r="G7" i="16" a="1"/>
  <c r="G7" i="16" s="1"/>
  <c r="G10" i="16" a="1"/>
  <c r="G10" i="16" s="1"/>
  <c r="G20" i="16" a="1"/>
  <c r="G20" i="16" s="1"/>
  <c r="G12" i="16" a="1"/>
  <c r="G12" i="16" s="1"/>
  <c r="G14" i="16" a="1"/>
  <c r="G14" i="16" s="1"/>
  <c r="G17" i="16" a="1"/>
  <c r="G17" i="16" s="1"/>
  <c r="G23" i="16" a="1"/>
  <c r="G23" i="16" s="1"/>
  <c r="G22" i="16" a="1"/>
  <c r="G22" i="16" s="1"/>
  <c r="G6" i="16" a="1"/>
  <c r="G6" i="16" s="1"/>
  <c r="G11" i="16" a="1"/>
  <c r="G11" i="16" s="1"/>
  <c r="G25" i="16" a="1"/>
  <c r="G25" i="16" s="1"/>
  <c r="G18" i="16" a="1"/>
  <c r="G18" i="16" s="1"/>
  <c r="G5" i="16" a="1"/>
  <c r="G5" i="16" s="1"/>
  <c r="G3" i="16" a="1"/>
  <c r="G3" i="16" s="1"/>
  <c r="AI23" i="16" a="1"/>
  <c r="AI23" i="16" s="1"/>
  <c r="AG12" i="16" a="1"/>
  <c r="AG12" i="16" s="1"/>
  <c r="AG5" i="16" a="1"/>
  <c r="AG5" i="16" s="1"/>
  <c r="AG17" i="16" a="1"/>
  <c r="AG17" i="16" s="1"/>
  <c r="AG4" i="16" a="1"/>
  <c r="AG4" i="16" s="1"/>
  <c r="AG11" i="16" a="1"/>
  <c r="AG11" i="16" s="1"/>
  <c r="AG23" i="16" a="1"/>
  <c r="AG23" i="16" s="1"/>
  <c r="AG14" i="16" a="1"/>
  <c r="AG14" i="16" s="1"/>
  <c r="AG10" i="16" a="1"/>
  <c r="AG10" i="16" s="1"/>
  <c r="AG13" i="16" a="1"/>
  <c r="AG13" i="16" s="1"/>
  <c r="AG19" i="16" a="1"/>
  <c r="AG19" i="16" s="1"/>
  <c r="AG16" i="16" a="1"/>
  <c r="AG16" i="16" s="1"/>
  <c r="AG25" i="16" a="1"/>
  <c r="AG25" i="16" s="1"/>
  <c r="AG22" i="16" a="1"/>
  <c r="AG22" i="16" s="1"/>
  <c r="AG18" i="16" a="1"/>
  <c r="AG18" i="16" s="1"/>
  <c r="AG8" i="16" a="1"/>
  <c r="AG8" i="16" s="1"/>
  <c r="AG15" i="16" a="1"/>
  <c r="AG15" i="16" s="1"/>
  <c r="AG3" i="16" a="1"/>
  <c r="AG3" i="16" s="1"/>
  <c r="AA20" i="16" a="1"/>
  <c r="AA20" i="16" s="1"/>
  <c r="AA19" i="16" a="1"/>
  <c r="AA19" i="16" s="1"/>
  <c r="AA24" i="16" a="1"/>
  <c r="AA24" i="16" s="1"/>
  <c r="AA8" i="16" a="1"/>
  <c r="AA8" i="16" s="1"/>
  <c r="AA23" i="16" a="1"/>
  <c r="AA23" i="16" s="1"/>
  <c r="AA13" i="16" a="1"/>
  <c r="AA13" i="16" s="1"/>
  <c r="AA6" i="16" a="1"/>
  <c r="AA6" i="16" s="1"/>
  <c r="AA10" i="16" a="1"/>
  <c r="AA10" i="16" s="1"/>
  <c r="AA17" i="16" a="1"/>
  <c r="AA17" i="16" s="1"/>
  <c r="AA14" i="16" a="1"/>
  <c r="AA14" i="16" s="1"/>
  <c r="AA15" i="16" a="1"/>
  <c r="AA15" i="16" s="1"/>
  <c r="AA4" i="16" a="1"/>
  <c r="AA4" i="16" s="1"/>
  <c r="AA21" i="16" a="1"/>
  <c r="AA21" i="16" s="1"/>
  <c r="AA12" i="16" a="1"/>
  <c r="AA12" i="16" s="1"/>
  <c r="AA3" i="16" a="1"/>
  <c r="AA3" i="16" s="1"/>
  <c r="S5" i="16" a="1"/>
  <c r="S5" i="16" s="1"/>
  <c r="S16" i="16" a="1"/>
  <c r="S16" i="16" s="1"/>
  <c r="S6" i="16" a="1"/>
  <c r="S6" i="16" s="1"/>
  <c r="S23" i="16" a="1"/>
  <c r="S23" i="16" s="1"/>
  <c r="S20" i="16" a="1"/>
  <c r="S20" i="16" s="1"/>
  <c r="S15" i="16" a="1"/>
  <c r="S15" i="16" s="1"/>
  <c r="S11" i="16" a="1"/>
  <c r="S11" i="16" s="1"/>
  <c r="S22" i="16" a="1"/>
  <c r="S22" i="16" s="1"/>
  <c r="S25" i="16" a="1"/>
  <c r="S25" i="16" s="1"/>
  <c r="S12" i="16" a="1"/>
  <c r="S12" i="16" s="1"/>
  <c r="S10" i="16" a="1"/>
  <c r="S10" i="16" s="1"/>
  <c r="S14" i="16" a="1"/>
  <c r="S14" i="16" s="1"/>
  <c r="S8" i="16" a="1"/>
  <c r="S8" i="16" s="1"/>
  <c r="S7" i="16" a="1"/>
  <c r="S7" i="16" s="1"/>
  <c r="S4" i="16" a="1"/>
  <c r="S4" i="16" s="1"/>
  <c r="S17" i="16" a="1"/>
  <c r="S17" i="16" s="1"/>
  <c r="S18" i="16" a="1"/>
  <c r="S18" i="16" s="1"/>
  <c r="S9" i="16" a="1"/>
  <c r="S9" i="16" s="1"/>
  <c r="S24" i="16" a="1"/>
  <c r="S24" i="16" s="1"/>
  <c r="S21" i="16" a="1"/>
  <c r="S21" i="16" s="1"/>
  <c r="S13" i="16" a="1"/>
  <c r="S13" i="16" s="1"/>
  <c r="S19" i="16" a="1"/>
  <c r="S19" i="16" s="1"/>
  <c r="S3" i="16" a="1"/>
  <c r="S3" i="16" s="1"/>
  <c r="AD2" i="15"/>
  <c r="N2" i="15"/>
  <c r="AC2" i="15"/>
  <c r="M2" i="15"/>
  <c r="AB2" i="15"/>
  <c r="L2" i="15"/>
  <c r="AA2" i="15"/>
  <c r="K2" i="15"/>
  <c r="Z2" i="15"/>
  <c r="J2" i="15"/>
  <c r="Y2" i="15"/>
  <c r="I2" i="15"/>
  <c r="X2" i="15"/>
  <c r="H2" i="15"/>
  <c r="AL2" i="15"/>
  <c r="V2" i="15"/>
  <c r="F2" i="15"/>
  <c r="AK2" i="15"/>
  <c r="U2" i="15"/>
  <c r="E2" i="15"/>
  <c r="AJ2" i="15"/>
  <c r="T2" i="15"/>
  <c r="D2" i="15"/>
  <c r="AI2" i="15"/>
  <c r="S2" i="15"/>
  <c r="C2" i="15"/>
  <c r="AH2" i="15"/>
  <c r="R2" i="15"/>
  <c r="AG2" i="15"/>
  <c r="Q2" i="15"/>
  <c r="AF2" i="15"/>
  <c r="P2" i="15"/>
  <c r="AE2" i="15"/>
  <c r="W2" i="15"/>
  <c r="O2" i="15"/>
  <c r="G2" i="15"/>
  <c r="AC19" i="16" l="1" a="1"/>
  <c r="AC19" i="16" s="1"/>
  <c r="F24" i="16" a="1"/>
  <c r="F24" i="16" s="1"/>
  <c r="F3" i="16" a="1"/>
  <c r="F3" i="16" s="1"/>
  <c r="T25" i="16" a="1"/>
  <c r="T25" i="16" s="1"/>
  <c r="P8" i="16" a="1"/>
  <c r="P8" i="16" s="1"/>
  <c r="AH5" i="16" a="1"/>
  <c r="AH5" i="16" s="1"/>
  <c r="P13" i="16" a="1"/>
  <c r="P13" i="16" s="1"/>
  <c r="AH12" i="16" a="1"/>
  <c r="AH12" i="16" s="1"/>
  <c r="P22" i="16" a="1"/>
  <c r="P22" i="16" s="1"/>
  <c r="F23" i="16" a="1"/>
  <c r="F23" i="16" s="1"/>
  <c r="AH4" i="16" a="1"/>
  <c r="AH4" i="16" s="1"/>
  <c r="P17" i="16" a="1"/>
  <c r="P17" i="16" s="1"/>
  <c r="P3" i="16" a="1"/>
  <c r="P3" i="16" s="1"/>
  <c r="P16" i="16" a="1"/>
  <c r="P16" i="16" s="1"/>
  <c r="P4" i="16" a="1"/>
  <c r="P4" i="16" s="1"/>
  <c r="P23" i="16" a="1"/>
  <c r="P23" i="16" s="1"/>
  <c r="F18" i="16" a="1"/>
  <c r="F18" i="16" s="1"/>
  <c r="F19" i="16" a="1"/>
  <c r="F19" i="16" s="1"/>
  <c r="D19" i="16" a="1"/>
  <c r="D19" i="16" s="1"/>
  <c r="U14" i="16" a="1"/>
  <c r="U14" i="16" s="1"/>
  <c r="F16" i="16" a="1"/>
  <c r="F16" i="16" s="1"/>
  <c r="D14" i="16" a="1"/>
  <c r="D14" i="16" s="1"/>
  <c r="U25" i="16" a="1"/>
  <c r="U25" i="16" s="1"/>
  <c r="T12" i="16" a="1"/>
  <c r="T12" i="16" s="1"/>
  <c r="O12" i="16" a="1"/>
  <c r="O12" i="16" s="1"/>
  <c r="AB3" i="16" a="1"/>
  <c r="AB3" i="16" s="1"/>
  <c r="AH16" i="16" a="1"/>
  <c r="AH16" i="16" s="1"/>
  <c r="F14" i="16" a="1"/>
  <c r="F14" i="16" s="1"/>
  <c r="O20" i="16" a="1"/>
  <c r="O20" i="16" s="1"/>
  <c r="AH13" i="16" a="1"/>
  <c r="AH13" i="16" s="1"/>
  <c r="F6" i="16" a="1"/>
  <c r="F6" i="16" s="1"/>
  <c r="F12" i="16" a="1"/>
  <c r="F12" i="16" s="1"/>
  <c r="AH10" i="16" a="1"/>
  <c r="AH10" i="16" s="1"/>
  <c r="AI11" i="16" a="1"/>
  <c r="AI11" i="16" s="1"/>
  <c r="AG21" i="16" a="1"/>
  <c r="AG21" i="16" s="1"/>
  <c r="O3" i="16" a="1"/>
  <c r="O3" i="16" s="1"/>
  <c r="U9" i="16" a="1"/>
  <c r="U9" i="16" s="1"/>
  <c r="P7" i="16" a="1"/>
  <c r="P7" i="16" s="1"/>
  <c r="AG7" i="16" a="1"/>
  <c r="AG7" i="16" s="1"/>
  <c r="O11" i="16" a="1"/>
  <c r="O11" i="16" s="1"/>
  <c r="U10" i="16" a="1"/>
  <c r="U10" i="16" s="1"/>
  <c r="P18" i="16" a="1"/>
  <c r="P18" i="16" s="1"/>
  <c r="AG9" i="16" a="1"/>
  <c r="AG9" i="16" s="1"/>
  <c r="O14" i="16" a="1"/>
  <c r="O14" i="16" s="1"/>
  <c r="U6" i="16" a="1"/>
  <c r="U6" i="16" s="1"/>
  <c r="P19" i="16" a="1"/>
  <c r="P19" i="16" s="1"/>
  <c r="O16" i="16" a="1"/>
  <c r="O16" i="16" s="1"/>
  <c r="U12" i="16" a="1"/>
  <c r="U12" i="16" s="1"/>
  <c r="P25" i="16" a="1"/>
  <c r="P25" i="16" s="1"/>
  <c r="AG24" i="16" a="1"/>
  <c r="AG24" i="16" s="1"/>
  <c r="O10" i="16" a="1"/>
  <c r="O10" i="16" s="1"/>
  <c r="U23" i="16" a="1"/>
  <c r="U23" i="16" s="1"/>
  <c r="P9" i="16" a="1"/>
  <c r="P9" i="16" s="1"/>
  <c r="O24" i="16" a="1"/>
  <c r="O24" i="16" s="1"/>
  <c r="R8" i="16" a="1"/>
  <c r="R8" i="16" s="1"/>
  <c r="AC5" i="16" a="1"/>
  <c r="AC5" i="16" s="1"/>
  <c r="F13" i="16" a="1"/>
  <c r="F13" i="16" s="1"/>
  <c r="O4" i="16" a="1"/>
  <c r="O4" i="16" s="1"/>
  <c r="AC8" i="16" a="1"/>
  <c r="AC8" i="16" s="1"/>
  <c r="T16" i="16" a="1"/>
  <c r="T16" i="16" s="1"/>
  <c r="AH3" i="16" a="1"/>
  <c r="AH3" i="16" s="1"/>
  <c r="AC17" i="16" a="1"/>
  <c r="AC17" i="16" s="1"/>
  <c r="F5" i="16" a="1"/>
  <c r="F5" i="16" s="1"/>
  <c r="AJ3" i="16" a="1"/>
  <c r="AJ3" i="16" s="1"/>
  <c r="T4" i="16" a="1"/>
  <c r="T4" i="16" s="1"/>
  <c r="AI4" i="16" a="1"/>
  <c r="AI4" i="16" s="1"/>
  <c r="AE17" i="16" a="1"/>
  <c r="AE17" i="16" s="1"/>
  <c r="U11" i="16" a="1"/>
  <c r="U11" i="16" s="1"/>
  <c r="AH21" i="16" a="1"/>
  <c r="AH21" i="16" s="1"/>
  <c r="AH19" i="16" a="1"/>
  <c r="AH19" i="16" s="1"/>
  <c r="AA11" i="16" a="1"/>
  <c r="AA11" i="16" s="1"/>
  <c r="AA9" i="16" a="1"/>
  <c r="AA9" i="16" s="1"/>
  <c r="AG6" i="16" a="1"/>
  <c r="AG6" i="16" s="1"/>
  <c r="AI14" i="16" a="1"/>
  <c r="AI14" i="16" s="1"/>
  <c r="AE14" i="16" a="1"/>
  <c r="AE14" i="16" s="1"/>
  <c r="U5" i="16" a="1"/>
  <c r="U5" i="16" s="1"/>
  <c r="AH22" i="16" a="1"/>
  <c r="AH22" i="16" s="1"/>
  <c r="AH24" i="16" a="1"/>
  <c r="AH24" i="16" s="1"/>
  <c r="T22" i="16" a="1"/>
  <c r="T22" i="16" s="1"/>
  <c r="AI19" i="16" a="1"/>
  <c r="AI19" i="16" s="1"/>
  <c r="AE4" i="16" a="1"/>
  <c r="AE4" i="16" s="1"/>
  <c r="U15" i="16" a="1"/>
  <c r="U15" i="16" s="1"/>
  <c r="AH6" i="16" a="1"/>
  <c r="AH6" i="16" s="1"/>
  <c r="AH14" i="16" a="1"/>
  <c r="AH14" i="16" s="1"/>
  <c r="AA7" i="16" a="1"/>
  <c r="AA7" i="16" s="1"/>
  <c r="AA25" i="16" a="1"/>
  <c r="AA25" i="16" s="1"/>
  <c r="AI10" i="16" a="1"/>
  <c r="AI10" i="16" s="1"/>
  <c r="U16" i="16" a="1"/>
  <c r="U16" i="16" s="1"/>
  <c r="AH7" i="16" a="1"/>
  <c r="AH7" i="16" s="1"/>
  <c r="AH9" i="16" a="1"/>
  <c r="AH9" i="16" s="1"/>
  <c r="T19" i="16" a="1"/>
  <c r="T19" i="16" s="1"/>
  <c r="AA22" i="16" a="1"/>
  <c r="AA22" i="16" s="1"/>
  <c r="AA18" i="16" a="1"/>
  <c r="AA18" i="16" s="1"/>
  <c r="K16" i="16" a="1"/>
  <c r="K16" i="16" s="1"/>
  <c r="U24" i="16" a="1"/>
  <c r="U24" i="16" s="1"/>
  <c r="AH17" i="16" a="1"/>
  <c r="AH17" i="16" s="1"/>
  <c r="R3" i="16" a="1"/>
  <c r="R3" i="16" s="1"/>
  <c r="AC12" i="16" a="1"/>
  <c r="AC12" i="16" s="1"/>
  <c r="T18" i="16" a="1"/>
  <c r="T18" i="16" s="1"/>
  <c r="D5" i="16" a="1"/>
  <c r="D5" i="16" s="1"/>
  <c r="AA16" i="16" a="1"/>
  <c r="AA16" i="16" s="1"/>
  <c r="U3" i="16" a="1"/>
  <c r="U3" i="16" s="1"/>
  <c r="U18" i="16" a="1"/>
  <c r="U18" i="16" s="1"/>
  <c r="AH18" i="16" a="1"/>
  <c r="AH18" i="16" s="1"/>
  <c r="AC15" i="16" a="1"/>
  <c r="AC15" i="16" s="1"/>
  <c r="U8" i="16" a="1"/>
  <c r="U8" i="16" s="1"/>
  <c r="AC14" i="16" a="1"/>
  <c r="AC14" i="16" s="1"/>
  <c r="V15" i="16" a="1"/>
  <c r="V15" i="16" s="1"/>
  <c r="AF22" i="16" a="1"/>
  <c r="AF22" i="16" s="1"/>
  <c r="D4" i="16" a="1"/>
  <c r="D4" i="16" s="1"/>
  <c r="AF9" i="16" a="1"/>
  <c r="AF9" i="16" s="1"/>
  <c r="V8" i="16" a="1"/>
  <c r="V8" i="16" s="1"/>
  <c r="V18" i="16" a="1"/>
  <c r="V18" i="16" s="1"/>
  <c r="D12" i="16" a="1"/>
  <c r="D12" i="16" s="1"/>
  <c r="O13" i="16" a="1"/>
  <c r="O13" i="16" s="1"/>
  <c r="AC24" i="16" a="1"/>
  <c r="AC24" i="16" s="1"/>
  <c r="F17" i="16" a="1"/>
  <c r="F17" i="16" s="1"/>
  <c r="T11" i="16" a="1"/>
  <c r="T11" i="16" s="1"/>
  <c r="AC23" i="16" a="1"/>
  <c r="AC23" i="16" s="1"/>
  <c r="T7" i="16" a="1"/>
  <c r="T7" i="16" s="1"/>
  <c r="AC18" i="16" a="1"/>
  <c r="AC18" i="16" s="1"/>
  <c r="T21" i="16" a="1"/>
  <c r="T21" i="16" s="1"/>
  <c r="AC10" i="16" a="1"/>
  <c r="AC10" i="16" s="1"/>
  <c r="F25" i="16" a="1"/>
  <c r="F25" i="16" s="1"/>
  <c r="T13" i="16" a="1"/>
  <c r="T13" i="16" s="1"/>
  <c r="AF15" i="16" a="1"/>
  <c r="AF15" i="16" s="1"/>
  <c r="AF18" i="16" a="1"/>
  <c r="AF18" i="16" s="1"/>
  <c r="L20" i="16" a="1"/>
  <c r="L20" i="16" s="1"/>
  <c r="Z3" i="16" a="1"/>
  <c r="Z3" i="16" s="1"/>
  <c r="AJ24" i="16" a="1"/>
  <c r="AJ24" i="16" s="1"/>
  <c r="O23" i="16" a="1"/>
  <c r="O23" i="16" s="1"/>
  <c r="W23" i="16" a="1"/>
  <c r="W23" i="16" s="1"/>
  <c r="R14" i="16" a="1"/>
  <c r="R14" i="16" s="1"/>
  <c r="AJ18" i="16" a="1"/>
  <c r="AJ18" i="16" s="1"/>
  <c r="C16" i="16" a="1"/>
  <c r="C16" i="16" s="1"/>
  <c r="E3" i="16" a="1"/>
  <c r="E3" i="16" s="1"/>
  <c r="Z7" i="16" a="1"/>
  <c r="Z7" i="16" s="1"/>
  <c r="O7" i="16" a="1"/>
  <c r="O7" i="16" s="1"/>
  <c r="W24" i="16" a="1"/>
  <c r="W24" i="16" s="1"/>
  <c r="R18" i="16" a="1"/>
  <c r="R18" i="16" s="1"/>
  <c r="AJ25" i="16" a="1"/>
  <c r="AJ25" i="16" s="1"/>
  <c r="C24" i="16" a="1"/>
  <c r="C24" i="16" s="1"/>
  <c r="K14" i="16" a="1"/>
  <c r="K14" i="16" s="1"/>
  <c r="Z11" i="16" a="1"/>
  <c r="Z11" i="16" s="1"/>
  <c r="Z12" i="16" a="1"/>
  <c r="Z12" i="16" s="1"/>
  <c r="E14" i="16" a="1"/>
  <c r="E14" i="16" s="1"/>
  <c r="E21" i="16" a="1"/>
  <c r="E21" i="16" s="1"/>
  <c r="Z21" i="16" a="1"/>
  <c r="Z21" i="16" s="1"/>
  <c r="O6" i="16" a="1"/>
  <c r="O6" i="16" s="1"/>
  <c r="W15" i="16" a="1"/>
  <c r="W15" i="16" s="1"/>
  <c r="J3" i="16" a="1"/>
  <c r="J3" i="16" s="1"/>
  <c r="R17" i="16" a="1"/>
  <c r="R17" i="16" s="1"/>
  <c r="M25" i="16" a="1"/>
  <c r="M25" i="16" s="1"/>
  <c r="C19" i="16" a="1"/>
  <c r="C19" i="16" s="1"/>
  <c r="O8" i="16" a="1"/>
  <c r="O8" i="16" s="1"/>
  <c r="J12" i="16" a="1"/>
  <c r="J12" i="16" s="1"/>
  <c r="R7" i="16" a="1"/>
  <c r="R7" i="16" s="1"/>
  <c r="M19" i="16" a="1"/>
  <c r="M19" i="16" s="1"/>
  <c r="C8" i="16" a="1"/>
  <c r="C8" i="16" s="1"/>
  <c r="V25" i="16" a="1"/>
  <c r="V25" i="16" s="1"/>
  <c r="R9" i="16" a="1"/>
  <c r="R9" i="16" s="1"/>
  <c r="AJ14" i="16" a="1"/>
  <c r="AJ14" i="16" s="1"/>
  <c r="E13" i="16" a="1"/>
  <c r="E13" i="16" s="1"/>
  <c r="E6" i="16" a="1"/>
  <c r="E6" i="16" s="1"/>
  <c r="Z16" i="16" a="1"/>
  <c r="Z16" i="16" s="1"/>
  <c r="AI8" i="16" a="1"/>
  <c r="AI8" i="16" s="1"/>
  <c r="O19" i="16" a="1"/>
  <c r="O19" i="16" s="1"/>
  <c r="J13" i="16" a="1"/>
  <c r="J13" i="16" s="1"/>
  <c r="AF3" i="16" a="1"/>
  <c r="AF3" i="16" s="1"/>
  <c r="C10" i="16" a="1"/>
  <c r="C10" i="16" s="1"/>
  <c r="Z6" i="16" a="1"/>
  <c r="Z6" i="16" s="1"/>
  <c r="E19" i="16" a="1"/>
  <c r="E19" i="16" s="1"/>
  <c r="Z10" i="16" a="1"/>
  <c r="Z10" i="16" s="1"/>
  <c r="AI22" i="16" a="1"/>
  <c r="AI22" i="16" s="1"/>
  <c r="O15" i="16" a="1"/>
  <c r="O15" i="16" s="1"/>
  <c r="J19" i="16" a="1"/>
  <c r="J19" i="16" s="1"/>
  <c r="AF7" i="16" a="1"/>
  <c r="AF7" i="16" s="1"/>
  <c r="Y22" i="16" a="1"/>
  <c r="Y22" i="16" s="1"/>
  <c r="E23" i="16" a="1"/>
  <c r="E23" i="16" s="1"/>
  <c r="AI20" i="16" a="1"/>
  <c r="AI20" i="16" s="1"/>
  <c r="O5" i="16" a="1"/>
  <c r="O5" i="16" s="1"/>
  <c r="AF4" i="16" a="1"/>
  <c r="AF4" i="16" s="1"/>
  <c r="Y19" i="16" a="1"/>
  <c r="Y19" i="16" s="1"/>
  <c r="V22" i="16" a="1"/>
  <c r="V22" i="16" s="1"/>
  <c r="L10" i="16" a="1"/>
  <c r="L10" i="16" s="1"/>
  <c r="E7" i="16" a="1"/>
  <c r="E7" i="16" s="1"/>
  <c r="V4" i="16" a="1"/>
  <c r="V4" i="16" s="1"/>
  <c r="J25" i="16" a="1"/>
  <c r="J25" i="16" s="1"/>
  <c r="M20" i="16" a="1"/>
  <c r="M20" i="16" s="1"/>
  <c r="L25" i="16" a="1"/>
  <c r="L25" i="16" s="1"/>
  <c r="Z24" i="16" a="1"/>
  <c r="Z24" i="16" s="1"/>
  <c r="K3" i="16" a="1"/>
  <c r="K3" i="16" s="1"/>
  <c r="O9" i="16" a="1"/>
  <c r="O9" i="16" s="1"/>
  <c r="W3" i="16" a="1"/>
  <c r="W3" i="16" s="1"/>
  <c r="J20" i="16" a="1"/>
  <c r="J20" i="16" s="1"/>
  <c r="R16" i="16" a="1"/>
  <c r="R16" i="16" s="1"/>
  <c r="AF12" i="16" a="1"/>
  <c r="AF12" i="16" s="1"/>
  <c r="V9" i="16" a="1"/>
  <c r="V9" i="16" s="1"/>
  <c r="AC11" i="16" a="1"/>
  <c r="AC11" i="16" s="1"/>
  <c r="M9" i="16" a="1"/>
  <c r="M9" i="16" s="1"/>
  <c r="T15" i="16" a="1"/>
  <c r="T15" i="16" s="1"/>
  <c r="Y14" i="16" a="1"/>
  <c r="Y14" i="16" s="1"/>
  <c r="L14" i="16" a="1"/>
  <c r="L14" i="16" s="1"/>
  <c r="AD12" i="16" a="1"/>
  <c r="AD12" i="16" s="1"/>
  <c r="J11" i="16" a="1"/>
  <c r="J11" i="16" s="1"/>
  <c r="R10" i="16" a="1"/>
  <c r="R10" i="16" s="1"/>
  <c r="AF14" i="16" a="1"/>
  <c r="AF14" i="16" s="1"/>
  <c r="V5" i="16" a="1"/>
  <c r="V5" i="16" s="1"/>
  <c r="AK5" i="16" a="1"/>
  <c r="AK5" i="16" s="1"/>
  <c r="Y16" i="16" a="1"/>
  <c r="Y16" i="16" s="1"/>
  <c r="Q16" i="16" a="1"/>
  <c r="Q16" i="16" s="1"/>
  <c r="K7" i="16" a="1"/>
  <c r="K7" i="16" s="1"/>
  <c r="O21" i="16" a="1"/>
  <c r="O21" i="16" s="1"/>
  <c r="W10" i="16" a="1"/>
  <c r="W10" i="16" s="1"/>
  <c r="AD16" i="16" a="1"/>
  <c r="AD16" i="16" s="1"/>
  <c r="J5" i="16" a="1"/>
  <c r="J5" i="16" s="1"/>
  <c r="R11" i="16" a="1"/>
  <c r="R11" i="16" s="1"/>
  <c r="AF6" i="16" a="1"/>
  <c r="AF6" i="16" s="1"/>
  <c r="AC3" i="16" a="1"/>
  <c r="AC3" i="16" s="1"/>
  <c r="AC13" i="16" a="1"/>
  <c r="AC13" i="16" s="1"/>
  <c r="AK15" i="16" a="1"/>
  <c r="AK15" i="16" s="1"/>
  <c r="T14" i="16" a="1"/>
  <c r="T14" i="16" s="1"/>
  <c r="Y17" i="16" a="1"/>
  <c r="Y17" i="16" s="1"/>
  <c r="Z5" i="16" a="1"/>
  <c r="Z5" i="16" s="1"/>
  <c r="AF20" i="16" a="1"/>
  <c r="AF20" i="16" s="1"/>
  <c r="Q8" i="16" a="1"/>
  <c r="Q8" i="16" s="1"/>
  <c r="K4" i="16" a="1"/>
  <c r="K4" i="16" s="1"/>
  <c r="O22" i="16" a="1"/>
  <c r="O22" i="16" s="1"/>
  <c r="L18" i="16" a="1"/>
  <c r="L18" i="16" s="1"/>
  <c r="L9" i="16" a="1"/>
  <c r="L9" i="16" s="1"/>
  <c r="Q4" i="16" a="1"/>
  <c r="Q4" i="16" s="1"/>
  <c r="K19" i="16" a="1"/>
  <c r="K19" i="16" s="1"/>
  <c r="O17" i="16" a="1"/>
  <c r="O17" i="16" s="1"/>
  <c r="W13" i="16" a="1"/>
  <c r="W13" i="16" s="1"/>
  <c r="AD6" i="16" a="1"/>
  <c r="AD6" i="16" s="1"/>
  <c r="J21" i="16" a="1"/>
  <c r="J21" i="16" s="1"/>
  <c r="R12" i="16" a="1"/>
  <c r="R12" i="16" s="1"/>
  <c r="AF25" i="16" a="1"/>
  <c r="AF25" i="16" s="1"/>
  <c r="AC7" i="16" a="1"/>
  <c r="AC7" i="16" s="1"/>
  <c r="AC4" i="16" a="1"/>
  <c r="AC4" i="16" s="1"/>
  <c r="AK18" i="16" a="1"/>
  <c r="AK18" i="16" s="1"/>
  <c r="T24" i="16" a="1"/>
  <c r="T24" i="16" s="1"/>
  <c r="Y7" i="16" a="1"/>
  <c r="Y7" i="16" s="1"/>
  <c r="V24" i="16" a="1"/>
  <c r="V24" i="16" s="1"/>
  <c r="L17" i="16" a="1"/>
  <c r="L17" i="16" s="1"/>
  <c r="Q19" i="16" a="1"/>
  <c r="Q19" i="16" s="1"/>
  <c r="AI21" i="16" a="1"/>
  <c r="AI21" i="16" s="1"/>
  <c r="K15" i="16" a="1"/>
  <c r="K15" i="16" s="1"/>
  <c r="O25" i="16" a="1"/>
  <c r="O25" i="16" s="1"/>
  <c r="AD18" i="16" a="1"/>
  <c r="AD18" i="16" s="1"/>
  <c r="J8" i="16" a="1"/>
  <c r="J8" i="16" s="1"/>
  <c r="R6" i="16" a="1"/>
  <c r="R6" i="16" s="1"/>
  <c r="AF21" i="16" a="1"/>
  <c r="AF21" i="16" s="1"/>
  <c r="AK10" i="16" a="1"/>
  <c r="AK10" i="16" s="1"/>
  <c r="Y15" i="16" a="1"/>
  <c r="Y15" i="16" s="1"/>
  <c r="L24" i="16" a="1"/>
  <c r="L24" i="16" s="1"/>
  <c r="Q14" i="16" a="1"/>
  <c r="Q14" i="16" s="1"/>
  <c r="AI18" i="16" a="1"/>
  <c r="AI18" i="16" s="1"/>
  <c r="K21" i="16" a="1"/>
  <c r="K21" i="16" s="1"/>
  <c r="W5" i="16" a="1"/>
  <c r="W5" i="16" s="1"/>
  <c r="AD24" i="16" a="1"/>
  <c r="AD24" i="16" s="1"/>
  <c r="R13" i="16" a="1"/>
  <c r="R13" i="16" s="1"/>
  <c r="AF24" i="16" a="1"/>
  <c r="AF24" i="16" s="1"/>
  <c r="AC21" i="16" a="1"/>
  <c r="AC21" i="16" s="1"/>
  <c r="AC9" i="16" a="1"/>
  <c r="AC9" i="16" s="1"/>
  <c r="T3" i="16" a="1"/>
  <c r="T3" i="16" s="1"/>
  <c r="T5" i="16" a="1"/>
  <c r="T5" i="16" s="1"/>
  <c r="Y25" i="16" a="1"/>
  <c r="Y25" i="16" s="1"/>
  <c r="L4" i="16" a="1"/>
  <c r="L4" i="16" s="1"/>
  <c r="AI7" i="16" a="1"/>
  <c r="AI7" i="16" s="1"/>
  <c r="K23" i="16" a="1"/>
  <c r="K23" i="16" s="1"/>
  <c r="R5" i="16" a="1"/>
  <c r="R5" i="16" s="1"/>
  <c r="AF10" i="16" a="1"/>
  <c r="AF10" i="16" s="1"/>
  <c r="C18" i="16" a="1"/>
  <c r="C18" i="16" s="1"/>
  <c r="H10" i="16" a="1"/>
  <c r="H10" i="16" s="1"/>
  <c r="V11" i="16" a="1"/>
  <c r="V11" i="16" s="1"/>
  <c r="C12" i="16" a="1"/>
  <c r="C12" i="16" s="1"/>
  <c r="V23" i="16" a="1"/>
  <c r="V23" i="16" s="1"/>
  <c r="C6" i="16" a="1"/>
  <c r="C6" i="16" s="1"/>
  <c r="D9" i="16" a="1"/>
  <c r="D9" i="16" s="1"/>
  <c r="D23" i="16" a="1"/>
  <c r="D23" i="16" s="1"/>
  <c r="L11" i="16" a="1"/>
  <c r="L11" i="16" s="1"/>
  <c r="E16" i="16" a="1"/>
  <c r="E16" i="16" s="1"/>
  <c r="E12" i="16" a="1"/>
  <c r="E12" i="16" s="1"/>
  <c r="AJ11" i="16" a="1"/>
  <c r="AJ11" i="16" s="1"/>
  <c r="AJ4" i="16" a="1"/>
  <c r="AJ4" i="16" s="1"/>
  <c r="M7" i="16" a="1"/>
  <c r="M7" i="16" s="1"/>
  <c r="AK14" i="16" a="1"/>
  <c r="AK14" i="16" s="1"/>
  <c r="AI16" i="16" a="1"/>
  <c r="AI16" i="16" s="1"/>
  <c r="K24" i="16" a="1"/>
  <c r="K24" i="16" s="1"/>
  <c r="K6" i="16" a="1"/>
  <c r="K6" i="16" s="1"/>
  <c r="W22" i="16" a="1"/>
  <c r="W22" i="16" s="1"/>
  <c r="W14" i="16" a="1"/>
  <c r="W14" i="16" s="1"/>
  <c r="AE12" i="16" a="1"/>
  <c r="AE12" i="16" s="1"/>
  <c r="J23" i="16" a="1"/>
  <c r="J23" i="16" s="1"/>
  <c r="J17" i="16" a="1"/>
  <c r="J17" i="16" s="1"/>
  <c r="R24" i="16" a="1"/>
  <c r="R24" i="16" s="1"/>
  <c r="R4" i="16" a="1"/>
  <c r="R4" i="16" s="1"/>
  <c r="V19" i="16" a="1"/>
  <c r="V19" i="16" s="1"/>
  <c r="AJ20" i="16" a="1"/>
  <c r="AJ20" i="16" s="1"/>
  <c r="AJ5" i="16" a="1"/>
  <c r="AJ5" i="16" s="1"/>
  <c r="M6" i="16" a="1"/>
  <c r="M6" i="16" s="1"/>
  <c r="AK13" i="16" a="1"/>
  <c r="AK13" i="16" s="1"/>
  <c r="C14" i="16" a="1"/>
  <c r="C14" i="16" s="1"/>
  <c r="Y5" i="16" a="1"/>
  <c r="Y5" i="16" s="1"/>
  <c r="AE8" i="16" a="1"/>
  <c r="AE8" i="16" s="1"/>
  <c r="AE5" i="16" a="1"/>
  <c r="AE5" i="16" s="1"/>
  <c r="D7" i="16" a="1"/>
  <c r="D7" i="16" s="1"/>
  <c r="L6" i="16" a="1"/>
  <c r="L6" i="16" s="1"/>
  <c r="AD9" i="16" a="1"/>
  <c r="AD9" i="16" s="1"/>
  <c r="D20" i="16" a="1"/>
  <c r="D20" i="16" s="1"/>
  <c r="D25" i="16" a="1"/>
  <c r="D25" i="16" s="1"/>
  <c r="L21" i="16" a="1"/>
  <c r="L21" i="16" s="1"/>
  <c r="E20" i="16" a="1"/>
  <c r="E20" i="16" s="1"/>
  <c r="E10" i="16" a="1"/>
  <c r="E10" i="16" s="1"/>
  <c r="AD13" i="16" a="1"/>
  <c r="AD13" i="16" s="1"/>
  <c r="AD21" i="16" a="1"/>
  <c r="AD21" i="16" s="1"/>
  <c r="J15" i="16" a="1"/>
  <c r="J15" i="16" s="1"/>
  <c r="J22" i="16" a="1"/>
  <c r="J22" i="16" s="1"/>
  <c r="R19" i="16" a="1"/>
  <c r="R19" i="16" s="1"/>
  <c r="V7" i="16" a="1"/>
  <c r="V7" i="16" s="1"/>
  <c r="AJ23" i="16" a="1"/>
  <c r="AJ23" i="16" s="1"/>
  <c r="AJ13" i="16" a="1"/>
  <c r="AJ13" i="16" s="1"/>
  <c r="M14" i="16" a="1"/>
  <c r="M14" i="16" s="1"/>
  <c r="AK21" i="16" a="1"/>
  <c r="AK21" i="16" s="1"/>
  <c r="C7" i="16" a="1"/>
  <c r="C7" i="16" s="1"/>
  <c r="Y10" i="16" a="1"/>
  <c r="Y10" i="16" s="1"/>
  <c r="Q12" i="16" a="1"/>
  <c r="Q12" i="16" s="1"/>
  <c r="AD19" i="16" a="1"/>
  <c r="AD19" i="16" s="1"/>
  <c r="AI15" i="16" a="1"/>
  <c r="AI15" i="16" s="1"/>
  <c r="K25" i="16" a="1"/>
  <c r="K25" i="16" s="1"/>
  <c r="K20" i="16" a="1"/>
  <c r="K20" i="16" s="1"/>
  <c r="AI17" i="16" a="1"/>
  <c r="AI17" i="16" s="1"/>
  <c r="K11" i="16" a="1"/>
  <c r="K11" i="16" s="1"/>
  <c r="K17" i="16" a="1"/>
  <c r="K17" i="16" s="1"/>
  <c r="W19" i="16" a="1"/>
  <c r="W19" i="16" s="1"/>
  <c r="AE3" i="16" a="1"/>
  <c r="AE3" i="16" s="1"/>
  <c r="AE15" i="16" a="1"/>
  <c r="AE15" i="16" s="1"/>
  <c r="AD7" i="16" a="1"/>
  <c r="AD7" i="16" s="1"/>
  <c r="AD10" i="16" a="1"/>
  <c r="AD10" i="16" s="1"/>
  <c r="J7" i="16" a="1"/>
  <c r="J7" i="16" s="1"/>
  <c r="J4" i="16" a="1"/>
  <c r="J4" i="16" s="1"/>
  <c r="R25" i="16" a="1"/>
  <c r="R25" i="16" s="1"/>
  <c r="V14" i="16" a="1"/>
  <c r="V14" i="16" s="1"/>
  <c r="AJ10" i="16" a="1"/>
  <c r="AJ10" i="16" s="1"/>
  <c r="M3" i="16" a="1"/>
  <c r="M3" i="16" s="1"/>
  <c r="M17" i="16" a="1"/>
  <c r="M17" i="16" s="1"/>
  <c r="AK12" i="16" a="1"/>
  <c r="AK12" i="16" s="1"/>
  <c r="C17" i="16" a="1"/>
  <c r="C17" i="16" s="1"/>
  <c r="Y9" i="16" a="1"/>
  <c r="Y9" i="16" s="1"/>
  <c r="W21" i="16" a="1"/>
  <c r="W21" i="16" s="1"/>
  <c r="W8" i="16" a="1"/>
  <c r="W8" i="16" s="1"/>
  <c r="AE18" i="16" a="1"/>
  <c r="AE18" i="16" s="1"/>
  <c r="V13" i="16" a="1"/>
  <c r="V13" i="16" s="1"/>
  <c r="Z25" i="16" a="1"/>
  <c r="Z25" i="16" s="1"/>
  <c r="Z18" i="16" a="1"/>
  <c r="Z18" i="16" s="1"/>
  <c r="Q15" i="16" a="1"/>
  <c r="Q15" i="16" s="1"/>
  <c r="AI13" i="16" a="1"/>
  <c r="AI13" i="16" s="1"/>
  <c r="K13" i="16" a="1"/>
  <c r="K13" i="16" s="1"/>
  <c r="K22" i="16" a="1"/>
  <c r="K22" i="16" s="1"/>
  <c r="W17" i="16" a="1"/>
  <c r="W17" i="16" s="1"/>
  <c r="W4" i="16" a="1"/>
  <c r="W4" i="16" s="1"/>
  <c r="AE13" i="16" a="1"/>
  <c r="AE13" i="16" s="1"/>
  <c r="D21" i="16" a="1"/>
  <c r="D21" i="16" s="1"/>
  <c r="D13" i="16" a="1"/>
  <c r="D13" i="16" s="1"/>
  <c r="L16" i="16" a="1"/>
  <c r="L16" i="16" s="1"/>
  <c r="E11" i="16" a="1"/>
  <c r="E11" i="16" s="1"/>
  <c r="Z9" i="16" a="1"/>
  <c r="Z9" i="16" s="1"/>
  <c r="Q18" i="16" a="1"/>
  <c r="Q18" i="16" s="1"/>
  <c r="Q10" i="16" a="1"/>
  <c r="Q10" i="16" s="1"/>
  <c r="AI5" i="16" a="1"/>
  <c r="AI5" i="16" s="1"/>
  <c r="K18" i="16" a="1"/>
  <c r="K18" i="16" s="1"/>
  <c r="K5" i="16" a="1"/>
  <c r="K5" i="16" s="1"/>
  <c r="W9" i="16" a="1"/>
  <c r="W9" i="16" s="1"/>
  <c r="AE19" i="16" a="1"/>
  <c r="AE19" i="16" s="1"/>
  <c r="AE23" i="16" a="1"/>
  <c r="AE23" i="16" s="1"/>
  <c r="AD22" i="16" a="1"/>
  <c r="AD22" i="16" s="1"/>
  <c r="AD5" i="16" a="1"/>
  <c r="AD5" i="16" s="1"/>
  <c r="J9" i="16" a="1"/>
  <c r="J9" i="16" s="1"/>
  <c r="R20" i="16" a="1"/>
  <c r="R20" i="16" s="1"/>
  <c r="AF11" i="16" a="1"/>
  <c r="AF11" i="16" s="1"/>
  <c r="AF23" i="16" a="1"/>
  <c r="AF23" i="16" s="1"/>
  <c r="V12" i="16" a="1"/>
  <c r="V12" i="16" s="1"/>
  <c r="F9" i="16" a="1"/>
  <c r="F9" i="16" s="1"/>
  <c r="AJ6" i="16" a="1"/>
  <c r="AJ6" i="16" s="1"/>
  <c r="M24" i="16" a="1"/>
  <c r="M24" i="16" s="1"/>
  <c r="AK3" i="16" a="1"/>
  <c r="AK3" i="16" s="1"/>
  <c r="AK4" i="16" a="1"/>
  <c r="AK4" i="16" s="1"/>
  <c r="Y3" i="16" a="1"/>
  <c r="Y3" i="16" s="1"/>
  <c r="I22" i="16" a="1"/>
  <c r="I22" i="16" s="1"/>
  <c r="V6" i="16" a="1"/>
  <c r="V6" i="16" s="1"/>
  <c r="AD3" i="16" a="1"/>
  <c r="AD3" i="16" s="1"/>
  <c r="AD17" i="16" a="1"/>
  <c r="AD17" i="16" s="1"/>
  <c r="W16" i="16" a="1"/>
  <c r="W16" i="16" s="1"/>
  <c r="AE22" i="16" a="1"/>
  <c r="AE22" i="16" s="1"/>
  <c r="AE16" i="16" a="1"/>
  <c r="AE16" i="16" s="1"/>
  <c r="J10" i="16" a="1"/>
  <c r="J10" i="16" s="1"/>
  <c r="R15" i="16" a="1"/>
  <c r="R15" i="16" s="1"/>
  <c r="V21" i="16" a="1"/>
  <c r="V21" i="16" s="1"/>
  <c r="AJ19" i="16" a="1"/>
  <c r="AJ19" i="16" s="1"/>
  <c r="M15" i="16" a="1"/>
  <c r="M15" i="16" s="1"/>
  <c r="AK17" i="16" a="1"/>
  <c r="AK17" i="16" s="1"/>
  <c r="Y11" i="16" a="1"/>
  <c r="Y11" i="16" s="1"/>
  <c r="I16" i="16" a="1"/>
  <c r="I16" i="16" s="1"/>
  <c r="AJ7" i="16" a="1"/>
  <c r="AJ7" i="16" s="1"/>
  <c r="AJ8" i="16" a="1"/>
  <c r="AJ8" i="16" s="1"/>
  <c r="M11" i="16" a="1"/>
  <c r="M11" i="16" s="1"/>
  <c r="AK16" i="16" a="1"/>
  <c r="AK16" i="16" s="1"/>
  <c r="Z8" i="16" a="1"/>
  <c r="Z8" i="16" s="1"/>
  <c r="Z23" i="16" a="1"/>
  <c r="Z23" i="16" s="1"/>
  <c r="Q20" i="16" a="1"/>
  <c r="Q20" i="16" s="1"/>
  <c r="AD14" i="16" a="1"/>
  <c r="AD14" i="16" s="1"/>
  <c r="AJ22" i="16" a="1"/>
  <c r="AJ22" i="16" s="1"/>
  <c r="AJ9" i="16" a="1"/>
  <c r="AJ9" i="16" s="1"/>
  <c r="M18" i="16" a="1"/>
  <c r="M18" i="16" s="1"/>
  <c r="AK19" i="16" a="1"/>
  <c r="AK19" i="16" s="1"/>
  <c r="Z22" i="16" a="1"/>
  <c r="Z22" i="16" s="1"/>
  <c r="Z4" i="16" a="1"/>
  <c r="Z4" i="16" s="1"/>
  <c r="Q11" i="16" a="1"/>
  <c r="Q11" i="16" s="1"/>
  <c r="Z14" i="16" a="1"/>
  <c r="Z14" i="16" s="1"/>
  <c r="Q24" i="16" a="1"/>
  <c r="Q24" i="16" s="1"/>
  <c r="Q9" i="16" a="1"/>
  <c r="Q9" i="16" s="1"/>
  <c r="D15" i="16" a="1"/>
  <c r="D15" i="16" s="1"/>
  <c r="D17" i="16" a="1"/>
  <c r="D17" i="16" s="1"/>
  <c r="L12" i="16" a="1"/>
  <c r="L12" i="16" s="1"/>
  <c r="E5" i="16" a="1"/>
  <c r="E5" i="16" s="1"/>
  <c r="AD23" i="16" a="1"/>
  <c r="AD23" i="16" s="1"/>
  <c r="AD4" i="16" a="1"/>
  <c r="AD4" i="16" s="1"/>
  <c r="W11" i="16" a="1"/>
  <c r="W11" i="16" s="1"/>
  <c r="AE9" i="16" a="1"/>
  <c r="AE9" i="16" s="1"/>
  <c r="AE11" i="16" a="1"/>
  <c r="AE11" i="16" s="1"/>
  <c r="AD11" i="16" a="1"/>
  <c r="AD11" i="16" s="1"/>
  <c r="AD20" i="16" a="1"/>
  <c r="AD20" i="16" s="1"/>
  <c r="J14" i="16" a="1"/>
  <c r="J14" i="16" s="1"/>
  <c r="R21" i="16" a="1"/>
  <c r="R21" i="16" s="1"/>
  <c r="AF17" i="16" a="1"/>
  <c r="AF17" i="16" s="1"/>
  <c r="AF8" i="16" a="1"/>
  <c r="AF8" i="16" s="1"/>
  <c r="V17" i="16" a="1"/>
  <c r="V17" i="16" s="1"/>
  <c r="F11" i="16" a="1"/>
  <c r="F11" i="16" s="1"/>
  <c r="F4" i="16" a="1"/>
  <c r="F4" i="16" s="1"/>
  <c r="AJ16" i="16" a="1"/>
  <c r="AJ16" i="16" s="1"/>
  <c r="M21" i="16" a="1"/>
  <c r="M21" i="16" s="1"/>
  <c r="AK23" i="16" a="1"/>
  <c r="AK23" i="16" s="1"/>
  <c r="Y12" i="16" a="1"/>
  <c r="Y12" i="16" s="1"/>
  <c r="X20" i="16" a="1"/>
  <c r="X20" i="16" s="1"/>
  <c r="J6" i="16" a="1"/>
  <c r="J6" i="16" s="1"/>
  <c r="J18" i="16" a="1"/>
  <c r="J18" i="16" s="1"/>
  <c r="D16" i="16" a="1"/>
  <c r="D16" i="16" s="1"/>
  <c r="D22" i="16" a="1"/>
  <c r="D22" i="16" s="1"/>
  <c r="L15" i="16" a="1"/>
  <c r="L15" i="16" s="1"/>
  <c r="E17" i="16" a="1"/>
  <c r="E17" i="16" s="1"/>
  <c r="E22" i="16" a="1"/>
  <c r="E22" i="16" s="1"/>
  <c r="Z17" i="16" a="1"/>
  <c r="Z17" i="16" s="1"/>
  <c r="Q3" i="16" a="1"/>
  <c r="Q3" i="16" s="1"/>
  <c r="Q25" i="16" a="1"/>
  <c r="Q25" i="16" s="1"/>
  <c r="D24" i="16" a="1"/>
  <c r="D24" i="16" s="1"/>
  <c r="D11" i="16" a="1"/>
  <c r="D11" i="16" s="1"/>
  <c r="L7" i="16" a="1"/>
  <c r="L7" i="16" s="1"/>
  <c r="E9" i="16" a="1"/>
  <c r="E9" i="16" s="1"/>
  <c r="E4" i="16" a="1"/>
  <c r="E4" i="16" s="1"/>
  <c r="Z19" i="16" a="1"/>
  <c r="Z19" i="16" s="1"/>
  <c r="Q23" i="16" a="1"/>
  <c r="Q23" i="16" s="1"/>
  <c r="Q13" i="16" a="1"/>
  <c r="Q13" i="16" s="1"/>
  <c r="D8" i="16" a="1"/>
  <c r="D8" i="16" s="1"/>
  <c r="L3" i="16" a="1"/>
  <c r="L3" i="16" s="1"/>
  <c r="L13" i="16" a="1"/>
  <c r="L13" i="16" s="1"/>
  <c r="E25" i="16" a="1"/>
  <c r="E25" i="16" s="1"/>
  <c r="AI3" i="16" a="1"/>
  <c r="AI3" i="16" s="1"/>
  <c r="AI24" i="16" a="1"/>
  <c r="AI24" i="16" s="1"/>
  <c r="K12" i="16" a="1"/>
  <c r="K12" i="16" s="1"/>
  <c r="W25" i="16" a="1"/>
  <c r="W25" i="16" s="1"/>
  <c r="AE10" i="16" a="1"/>
  <c r="AE10" i="16" s="1"/>
  <c r="AE6" i="16" a="1"/>
  <c r="AE6" i="16" s="1"/>
  <c r="AD15" i="16" a="1"/>
  <c r="AD15" i="16" s="1"/>
  <c r="AD25" i="16" a="1"/>
  <c r="AD25" i="16" s="1"/>
  <c r="J24" i="16" a="1"/>
  <c r="J24" i="16" s="1"/>
  <c r="R22" i="16" a="1"/>
  <c r="R22" i="16" s="1"/>
  <c r="AF13" i="16" a="1"/>
  <c r="AF13" i="16" s="1"/>
  <c r="AF16" i="16" a="1"/>
  <c r="AF16" i="16" s="1"/>
  <c r="V3" i="16" a="1"/>
  <c r="V3" i="16" s="1"/>
  <c r="V16" i="16" a="1"/>
  <c r="V16" i="16" s="1"/>
  <c r="F7" i="16" a="1"/>
  <c r="F7" i="16" s="1"/>
  <c r="F21" i="16" a="1"/>
  <c r="F21" i="16" s="1"/>
  <c r="AJ12" i="16" a="1"/>
  <c r="AJ12" i="16" s="1"/>
  <c r="M8" i="16" a="1"/>
  <c r="M8" i="16" s="1"/>
  <c r="AK22" i="16" a="1"/>
  <c r="AK22" i="16" s="1"/>
  <c r="C4" i="16" a="1"/>
  <c r="C4" i="16" s="1"/>
  <c r="Y24" i="16" a="1"/>
  <c r="Y24" i="16" s="1"/>
  <c r="X11" i="16" a="1"/>
  <c r="X11" i="16" s="1"/>
  <c r="AE7" i="16" a="1"/>
  <c r="AE7" i="16" s="1"/>
  <c r="D3" i="16" a="1"/>
  <c r="D3" i="16" s="1"/>
  <c r="D18" i="16" a="1"/>
  <c r="D18" i="16" s="1"/>
  <c r="L5" i="16" a="1"/>
  <c r="L5" i="16" s="1"/>
  <c r="E8" i="16" a="1"/>
  <c r="E8" i="16" s="1"/>
  <c r="E18" i="16" a="1"/>
  <c r="E18" i="16" s="1"/>
  <c r="W6" i="16" a="1"/>
  <c r="W6" i="16" s="1"/>
  <c r="W20" i="16" a="1"/>
  <c r="W20" i="16" s="1"/>
  <c r="AE24" i="16" a="1"/>
  <c r="AE24" i="16" s="1"/>
  <c r="W7" i="16" a="1"/>
  <c r="W7" i="16" s="1"/>
  <c r="W12" i="16" a="1"/>
  <c r="W12" i="16" s="1"/>
  <c r="AE21" i="16" a="1"/>
  <c r="AE21" i="16" s="1"/>
  <c r="AJ21" i="16" a="1"/>
  <c r="AJ21" i="16" s="1"/>
  <c r="AJ17" i="16" a="1"/>
  <c r="AJ17" i="16" s="1"/>
  <c r="M10" i="16" a="1"/>
  <c r="M10" i="16" s="1"/>
  <c r="AK9" i="16" a="1"/>
  <c r="AK9" i="16" s="1"/>
  <c r="AI25" i="16" a="1"/>
  <c r="AI25" i="16" s="1"/>
  <c r="K9" i="16" a="1"/>
  <c r="K9" i="16" s="1"/>
  <c r="Z13" i="16" a="1"/>
  <c r="Z13" i="16" s="1"/>
  <c r="Q21" i="16" a="1"/>
  <c r="Q21" i="16" s="1"/>
  <c r="Q5" i="16" a="1"/>
  <c r="Q5" i="16" s="1"/>
  <c r="AI9" i="16" a="1"/>
  <c r="AI9" i="16" s="1"/>
  <c r="K8" i="16" a="1"/>
  <c r="K8" i="16" s="1"/>
  <c r="D10" i="16" a="1"/>
  <c r="D10" i="16" s="1"/>
  <c r="L23" i="16" a="1"/>
  <c r="L23" i="16" s="1"/>
  <c r="L8" i="16" a="1"/>
  <c r="L8" i="16" s="1"/>
  <c r="E15" i="16" a="1"/>
  <c r="E15" i="16" s="1"/>
  <c r="Z20" i="16" a="1"/>
  <c r="Z20" i="16" s="1"/>
  <c r="Q7" i="16" a="1"/>
  <c r="Q7" i="16" s="1"/>
  <c r="Q22" i="16" a="1"/>
  <c r="Q22" i="16" s="1"/>
  <c r="L22" i="16" a="1"/>
  <c r="L22" i="16" s="1"/>
  <c r="Q17" i="16" a="1"/>
  <c r="Q17" i="16" s="1"/>
  <c r="AI12" i="16" a="1"/>
  <c r="AI12" i="16" s="1"/>
  <c r="AE25" i="16" a="1"/>
  <c r="AE25" i="16" s="1"/>
  <c r="AF5" i="16" a="1"/>
  <c r="AF5" i="16" s="1"/>
  <c r="V10" i="16" a="1"/>
  <c r="V10" i="16" s="1"/>
  <c r="F22" i="16" a="1"/>
  <c r="F22" i="16" s="1"/>
  <c r="M13" i="16" a="1"/>
  <c r="M13" i="16" s="1"/>
  <c r="AK20" i="16" a="1"/>
  <c r="AK20" i="16" s="1"/>
  <c r="T20" i="16" a="1"/>
  <c r="T20" i="16" s="1"/>
  <c r="C22" i="16" a="1"/>
  <c r="C22" i="16" s="1"/>
  <c r="Y23" i="16" a="1"/>
  <c r="Y23" i="16" s="1"/>
  <c r="X15" i="16" a="1"/>
  <c r="X15" i="16" s="1"/>
  <c r="I21" i="16" a="1"/>
  <c r="I21" i="16" s="1"/>
  <c r="C23" i="16" a="1"/>
  <c r="C23" i="16" s="1"/>
  <c r="H3" i="16" a="1"/>
  <c r="H3" i="16" s="1"/>
  <c r="C11" i="16" a="1"/>
  <c r="C11" i="16" s="1"/>
  <c r="H11" i="16" a="1"/>
  <c r="H11" i="16" s="1"/>
  <c r="C25" i="16" a="1"/>
  <c r="C25" i="16" s="1"/>
  <c r="H16" i="16" a="1"/>
  <c r="H16" i="16" s="1"/>
  <c r="Y6" i="16" a="1"/>
  <c r="Y6" i="16" s="1"/>
  <c r="C15" i="16" a="1"/>
  <c r="C15" i="16" s="1"/>
  <c r="I3" i="16" a="1"/>
  <c r="I3" i="16" s="1"/>
  <c r="I10" i="16" a="1"/>
  <c r="I10" i="16" s="1"/>
  <c r="X9" i="16" a="1"/>
  <c r="X9" i="16" s="1"/>
  <c r="H5" i="16" a="1"/>
  <c r="H5" i="16" s="1"/>
  <c r="I12" i="16" a="1"/>
  <c r="I12" i="16" s="1"/>
  <c r="X16" i="16" a="1"/>
  <c r="X16" i="16" s="1"/>
  <c r="H19" i="16" a="1"/>
  <c r="H19" i="16" s="1"/>
  <c r="M16" i="16" a="1"/>
  <c r="M16" i="16" s="1"/>
  <c r="AK25" i="16" a="1"/>
  <c r="AK25" i="16" s="1"/>
  <c r="AK8" i="16" a="1"/>
  <c r="AK8" i="16" s="1"/>
  <c r="T23" i="16" a="1"/>
  <c r="T23" i="16" s="1"/>
  <c r="C9" i="16" a="1"/>
  <c r="C9" i="16" s="1"/>
  <c r="C5" i="16" a="1"/>
  <c r="C5" i="16" s="1"/>
  <c r="Y8" i="16" a="1"/>
  <c r="Y8" i="16" s="1"/>
  <c r="I18" i="16" a="1"/>
  <c r="I18" i="16" s="1"/>
  <c r="X14" i="16" a="1"/>
  <c r="X14" i="16" s="1"/>
  <c r="H9" i="16" a="1"/>
  <c r="H9" i="16" s="1"/>
  <c r="I20" i="16" a="1"/>
  <c r="I20" i="16" s="1"/>
  <c r="X25" i="16" a="1"/>
  <c r="X25" i="16" s="1"/>
  <c r="H18" i="16" a="1"/>
  <c r="H18" i="16" s="1"/>
  <c r="M5" i="16" a="1"/>
  <c r="M5" i="16" s="1"/>
  <c r="AK24" i="16" a="1"/>
  <c r="AK24" i="16" s="1"/>
  <c r="AK7" i="16" a="1"/>
  <c r="AK7" i="16" s="1"/>
  <c r="T10" i="16" a="1"/>
  <c r="T10" i="16" s="1"/>
  <c r="C13" i="16" a="1"/>
  <c r="C13" i="16" s="1"/>
  <c r="Y20" i="16" a="1"/>
  <c r="Y20" i="16" s="1"/>
  <c r="Y4" i="16" a="1"/>
  <c r="Y4" i="16" s="1"/>
  <c r="I5" i="16" a="1"/>
  <c r="I5" i="16" s="1"/>
  <c r="X12" i="16" a="1"/>
  <c r="X12" i="16" s="1"/>
  <c r="H22" i="16" a="1"/>
  <c r="H22" i="16" s="1"/>
  <c r="I15" i="16" a="1"/>
  <c r="I15" i="16" s="1"/>
  <c r="X8" i="16" a="1"/>
  <c r="X8" i="16" s="1"/>
  <c r="H15" i="16" a="1"/>
  <c r="H15" i="16" s="1"/>
  <c r="Y18" i="16" a="1"/>
  <c r="Y18" i="16" s="1"/>
  <c r="I24" i="16" a="1"/>
  <c r="I24" i="16" s="1"/>
  <c r="H8" i="16" a="1"/>
  <c r="H8" i="16" s="1"/>
  <c r="I17" i="16" a="1"/>
  <c r="I17" i="16" s="1"/>
  <c r="H24" i="16" a="1"/>
  <c r="H24" i="16" s="1"/>
  <c r="I8" i="16" a="1"/>
  <c r="I8" i="16" s="1"/>
  <c r="H23" i="16" a="1"/>
  <c r="H23" i="16" s="1"/>
  <c r="H17" i="16" a="1"/>
  <c r="H17" i="16" s="1"/>
  <c r="M23" i="16" a="1"/>
  <c r="M23" i="16" s="1"/>
  <c r="M22" i="16" a="1"/>
  <c r="M22" i="16" s="1"/>
  <c r="AK6" i="16" a="1"/>
  <c r="AK6" i="16" s="1"/>
  <c r="T6" i="16" a="1"/>
  <c r="T6" i="16" s="1"/>
  <c r="T8" i="16" a="1"/>
  <c r="T8" i="16" s="1"/>
  <c r="C21" i="16" a="1"/>
  <c r="C21" i="16" s="1"/>
  <c r="Y21" i="16" a="1"/>
  <c r="Y21" i="16" s="1"/>
  <c r="I13" i="16" a="1"/>
  <c r="I13" i="16" s="1"/>
  <c r="X7" i="16" a="1"/>
  <c r="X7" i="16" s="1"/>
  <c r="H7" i="16" a="1"/>
  <c r="H7" i="16" s="1"/>
  <c r="M12" i="16" a="1"/>
  <c r="M12" i="16" s="1"/>
  <c r="C3" i="16" a="1"/>
  <c r="C3" i="16" s="1"/>
  <c r="I9" i="16" a="1"/>
  <c r="I9" i="16" s="1"/>
  <c r="X13" i="16" a="1"/>
  <c r="X13" i="16" s="1"/>
  <c r="H4" i="16" a="1"/>
  <c r="H4" i="16" s="1"/>
  <c r="I6" i="16" a="1"/>
  <c r="I6" i="16" s="1"/>
  <c r="X4" i="16" a="1"/>
  <c r="X4" i="16" s="1"/>
  <c r="H20" i="16" a="1"/>
  <c r="H20" i="16" s="1"/>
  <c r="I11" i="16" a="1"/>
  <c r="I11" i="16" s="1"/>
  <c r="I25" i="16" a="1"/>
  <c r="I25" i="16" s="1"/>
  <c r="X24" i="16" a="1"/>
  <c r="X24" i="16" s="1"/>
  <c r="H6" i="16" a="1"/>
  <c r="H6" i="16" s="1"/>
  <c r="I23" i="16" a="1"/>
  <c r="I23" i="16" s="1"/>
  <c r="X3" i="16" a="1"/>
  <c r="X3" i="16" s="1"/>
  <c r="X18" i="16" a="1"/>
  <c r="X18" i="16" s="1"/>
  <c r="H13" i="16" a="1"/>
  <c r="H13" i="16" s="1"/>
  <c r="I4" i="16" a="1"/>
  <c r="I4" i="16" s="1"/>
  <c r="X5" i="16" a="1"/>
  <c r="X5" i="16" s="1"/>
  <c r="X6" i="16" a="1"/>
  <c r="X6" i="16" s="1"/>
  <c r="H21" i="16" a="1"/>
  <c r="H21" i="16" s="1"/>
  <c r="I14" i="16" a="1"/>
  <c r="I14" i="16" s="1"/>
  <c r="X17" i="16" a="1"/>
  <c r="X17" i="16" s="1"/>
  <c r="X22" i="16" a="1"/>
  <c r="X22" i="16" s="1"/>
  <c r="H14" i="16" a="1"/>
  <c r="H14" i="16" s="1"/>
  <c r="I7" i="16" a="1"/>
  <c r="I7" i="16" s="1"/>
  <c r="X10" i="16" a="1"/>
  <c r="X10" i="16" s="1"/>
  <c r="X23" i="16" a="1"/>
  <c r="X23" i="16" s="1"/>
  <c r="H25" i="16" a="1"/>
  <c r="H25" i="16" s="1"/>
  <c r="X19" i="16" a="1"/>
  <c r="X19" i="16" s="1"/>
  <c r="W10" i="17" a="1"/>
  <c r="W10" i="17" s="1"/>
  <c r="W18" i="17" a="1"/>
  <c r="W18" i="17" s="1"/>
  <c r="W5" i="17" a="1"/>
  <c r="W5" i="17" s="1"/>
  <c r="W8" i="17" a="1"/>
  <c r="W8" i="17" s="1"/>
  <c r="W16" i="17" a="1"/>
  <c r="W16" i="17" s="1"/>
  <c r="W3" i="17" a="1"/>
  <c r="W3" i="17" s="1"/>
  <c r="W11" i="17" a="1"/>
  <c r="W11" i="17" s="1"/>
  <c r="W6" i="17" a="1"/>
  <c r="W6" i="17" s="1"/>
  <c r="W14" i="17" a="1"/>
  <c r="W14" i="17" s="1"/>
  <c r="W9" i="17" a="1"/>
  <c r="W9" i="17" s="1"/>
  <c r="W4" i="17" a="1"/>
  <c r="W4" i="17" s="1"/>
  <c r="W23" i="17" a="1"/>
  <c r="W23" i="17" s="1"/>
  <c r="W24" i="17" a="1"/>
  <c r="W24" i="17" s="1"/>
  <c r="W13" i="17" a="1"/>
  <c r="W13" i="17" s="1"/>
  <c r="W22" i="17" a="1"/>
  <c r="W22" i="17" s="1"/>
  <c r="W7" i="17" a="1"/>
  <c r="W7" i="17" s="1"/>
  <c r="W12" i="17" a="1"/>
  <c r="W12" i="17" s="1"/>
  <c r="W15" i="17" a="1"/>
  <c r="W15" i="17" s="1"/>
  <c r="W21" i="17" a="1"/>
  <c r="W21" i="17" s="1"/>
  <c r="W17" i="17" a="1"/>
  <c r="W17" i="17" s="1"/>
  <c r="W25" i="17" a="1"/>
  <c r="W25" i="17" s="1"/>
  <c r="W20" i="17" a="1"/>
  <c r="W20" i="17" s="1"/>
  <c r="W19" i="17" a="1"/>
  <c r="W19" i="17" s="1"/>
  <c r="Y4" i="17" a="1"/>
  <c r="Y4" i="17" s="1"/>
  <c r="Y12" i="17" a="1"/>
  <c r="Y12" i="17" s="1"/>
  <c r="Y20" i="17" a="1"/>
  <c r="Y20" i="17" s="1"/>
  <c r="Y7" i="17" a="1"/>
  <c r="Y7" i="17" s="1"/>
  <c r="Y10" i="17" a="1"/>
  <c r="Y10" i="17" s="1"/>
  <c r="Y5" i="17" a="1"/>
  <c r="Y5" i="17" s="1"/>
  <c r="Y13" i="17" a="1"/>
  <c r="Y13" i="17" s="1"/>
  <c r="Y8" i="17" a="1"/>
  <c r="Y8" i="17" s="1"/>
  <c r="Y3" i="17" a="1"/>
  <c r="Y3" i="17" s="1"/>
  <c r="Y11" i="17" a="1"/>
  <c r="Y11" i="17" s="1"/>
  <c r="Y6" i="17" a="1"/>
  <c r="Y6" i="17" s="1"/>
  <c r="Y14" i="17" a="1"/>
  <c r="Y14" i="17" s="1"/>
  <c r="Y18" i="17" a="1"/>
  <c r="Y18" i="17" s="1"/>
  <c r="Y24" i="17" a="1"/>
  <c r="Y24" i="17" s="1"/>
  <c r="Y9" i="17" a="1"/>
  <c r="Y9" i="17" s="1"/>
  <c r="Y16" i="17" a="1"/>
  <c r="Y16" i="17" s="1"/>
  <c r="Y25" i="17" a="1"/>
  <c r="Y25" i="17" s="1"/>
  <c r="Y21" i="17" a="1"/>
  <c r="Y21" i="17" s="1"/>
  <c r="Y15" i="17" a="1"/>
  <c r="Y15" i="17" s="1"/>
  <c r="Y22" i="17" a="1"/>
  <c r="Y22" i="17" s="1"/>
  <c r="Y17" i="17" a="1"/>
  <c r="Y17" i="17" s="1"/>
  <c r="Y19" i="17" a="1"/>
  <c r="Y19" i="17" s="1"/>
  <c r="Y23" i="17" a="1"/>
  <c r="Y23" i="17" s="1"/>
  <c r="L3" i="17" a="1"/>
  <c r="L3" i="17" s="1"/>
  <c r="L11" i="17" a="1"/>
  <c r="L11" i="17" s="1"/>
  <c r="L19" i="17" a="1"/>
  <c r="L19" i="17" s="1"/>
  <c r="L6" i="17" a="1"/>
  <c r="L6" i="17" s="1"/>
  <c r="L9" i="17" a="1"/>
  <c r="L9" i="17" s="1"/>
  <c r="L4" i="17" a="1"/>
  <c r="L4" i="17" s="1"/>
  <c r="L12" i="17" a="1"/>
  <c r="L12" i="17" s="1"/>
  <c r="L7" i="17" a="1"/>
  <c r="L7" i="17" s="1"/>
  <c r="L15" i="17" a="1"/>
  <c r="L15" i="17" s="1"/>
  <c r="L10" i="17" a="1"/>
  <c r="L10" i="17" s="1"/>
  <c r="L5" i="17" a="1"/>
  <c r="L5" i="17" s="1"/>
  <c r="L22" i="17" a="1"/>
  <c r="L22" i="17" s="1"/>
  <c r="L25" i="17" a="1"/>
  <c r="L25" i="17" s="1"/>
  <c r="L21" i="17" a="1"/>
  <c r="L21" i="17" s="1"/>
  <c r="L16" i="17" a="1"/>
  <c r="L16" i="17" s="1"/>
  <c r="L23" i="17" a="1"/>
  <c r="L23" i="17" s="1"/>
  <c r="L20" i="17" a="1"/>
  <c r="L20" i="17" s="1"/>
  <c r="L24" i="17" a="1"/>
  <c r="L24" i="17" s="1"/>
  <c r="L17" i="17" a="1"/>
  <c r="L17" i="17" s="1"/>
  <c r="L13" i="17" a="1"/>
  <c r="L13" i="17" s="1"/>
  <c r="L14" i="17" a="1"/>
  <c r="L14" i="17" s="1"/>
  <c r="L18" i="17" a="1"/>
  <c r="L18" i="17" s="1"/>
  <c r="L8" i="17" a="1"/>
  <c r="L8" i="17" s="1"/>
  <c r="Z9" i="17" a="1"/>
  <c r="Z9" i="17" s="1"/>
  <c r="Z17" i="17" a="1"/>
  <c r="Z17" i="17" s="1"/>
  <c r="Z4" i="17" a="1"/>
  <c r="Z4" i="17" s="1"/>
  <c r="Z7" i="17" a="1"/>
  <c r="Z7" i="17" s="1"/>
  <c r="Z15" i="17" a="1"/>
  <c r="Z15" i="17" s="1"/>
  <c r="Z10" i="17" a="1"/>
  <c r="Z10" i="17" s="1"/>
  <c r="Z5" i="17" a="1"/>
  <c r="Z5" i="17" s="1"/>
  <c r="Z13" i="17" a="1"/>
  <c r="Z13" i="17" s="1"/>
  <c r="Z8" i="17" a="1"/>
  <c r="Z8" i="17" s="1"/>
  <c r="Z3" i="17" a="1"/>
  <c r="Z3" i="17" s="1"/>
  <c r="Z19" i="17" a="1"/>
  <c r="Z19" i="17" s="1"/>
  <c r="Z23" i="17" a="1"/>
  <c r="Z23" i="17" s="1"/>
  <c r="Z14" i="17" a="1"/>
  <c r="Z14" i="17" s="1"/>
  <c r="Z18" i="17" a="1"/>
  <c r="Z18" i="17" s="1"/>
  <c r="Z16" i="17" a="1"/>
  <c r="Z16" i="17" s="1"/>
  <c r="Z24" i="17" a="1"/>
  <c r="Z24" i="17" s="1"/>
  <c r="Z12" i="17" a="1"/>
  <c r="Z12" i="17" s="1"/>
  <c r="Z22" i="17" a="1"/>
  <c r="Z22" i="17" s="1"/>
  <c r="Z21" i="17" a="1"/>
  <c r="Z21" i="17" s="1"/>
  <c r="Z25" i="17" a="1"/>
  <c r="Z25" i="17" s="1"/>
  <c r="Z6" i="17" a="1"/>
  <c r="Z6" i="17" s="1"/>
  <c r="Z11" i="17" a="1"/>
  <c r="Z11" i="17" s="1"/>
  <c r="Z20" i="17" a="1"/>
  <c r="Z20" i="17" s="1"/>
  <c r="AA6" i="17" a="1"/>
  <c r="AA6" i="17" s="1"/>
  <c r="AA14" i="17" a="1"/>
  <c r="AA14" i="17" s="1"/>
  <c r="AA4" i="17" a="1"/>
  <c r="AA4" i="17" s="1"/>
  <c r="AA12" i="17" a="1"/>
  <c r="AA12" i="17" s="1"/>
  <c r="AA7" i="17" a="1"/>
  <c r="AA7" i="17" s="1"/>
  <c r="AA15" i="17" a="1"/>
  <c r="AA15" i="17" s="1"/>
  <c r="AA10" i="17" a="1"/>
  <c r="AA10" i="17" s="1"/>
  <c r="AA5" i="17" a="1"/>
  <c r="AA5" i="17" s="1"/>
  <c r="AA13" i="17" a="1"/>
  <c r="AA13" i="17" s="1"/>
  <c r="AA11" i="17" a="1"/>
  <c r="AA11" i="17" s="1"/>
  <c r="AA20" i="17" a="1"/>
  <c r="AA20" i="17" s="1"/>
  <c r="AA19" i="17" a="1"/>
  <c r="AA19" i="17" s="1"/>
  <c r="AA23" i="17" a="1"/>
  <c r="AA23" i="17" s="1"/>
  <c r="AA3" i="17" a="1"/>
  <c r="AA3" i="17" s="1"/>
  <c r="AA8" i="17" a="1"/>
  <c r="AA8" i="17" s="1"/>
  <c r="AA18" i="17" a="1"/>
  <c r="AA18" i="17" s="1"/>
  <c r="AA9" i="17" a="1"/>
  <c r="AA9" i="17" s="1"/>
  <c r="AA16" i="17" a="1"/>
  <c r="AA16" i="17" s="1"/>
  <c r="AA24" i="17" a="1"/>
  <c r="AA24" i="17" s="1"/>
  <c r="AA17" i="17" a="1"/>
  <c r="AA17" i="17" s="1"/>
  <c r="AA21" i="17" a="1"/>
  <c r="AA21" i="17" s="1"/>
  <c r="AA22" i="17" a="1"/>
  <c r="AA22" i="17" s="1"/>
  <c r="AA25" i="17" a="1"/>
  <c r="AA25" i="17" s="1"/>
  <c r="AB3" i="17" a="1"/>
  <c r="AB3" i="17" s="1"/>
  <c r="AB11" i="17" a="1"/>
  <c r="AB11" i="17" s="1"/>
  <c r="AB19" i="17" a="1"/>
  <c r="AB19" i="17" s="1"/>
  <c r="AB6" i="17" a="1"/>
  <c r="AB6" i="17" s="1"/>
  <c r="AB9" i="17" a="1"/>
  <c r="AB9" i="17" s="1"/>
  <c r="AB4" i="17" a="1"/>
  <c r="AB4" i="17" s="1"/>
  <c r="AB12" i="17" a="1"/>
  <c r="AB12" i="17" s="1"/>
  <c r="AB7" i="17" a="1"/>
  <c r="AB7" i="17" s="1"/>
  <c r="AB15" i="17" a="1"/>
  <c r="AB15" i="17" s="1"/>
  <c r="AB10" i="17" a="1"/>
  <c r="AB10" i="17" s="1"/>
  <c r="AB5" i="17" a="1"/>
  <c r="AB5" i="17" s="1"/>
  <c r="AB25" i="17" a="1"/>
  <c r="AB25" i="17" s="1"/>
  <c r="AB20" i="17" a="1"/>
  <c r="AB20" i="17" s="1"/>
  <c r="AB23" i="17" a="1"/>
  <c r="AB23" i="17" s="1"/>
  <c r="AB16" i="17" a="1"/>
  <c r="AB16" i="17" s="1"/>
  <c r="AB8" i="17" a="1"/>
  <c r="AB8" i="17" s="1"/>
  <c r="AB13" i="17" a="1"/>
  <c r="AB13" i="17" s="1"/>
  <c r="AB14" i="17" a="1"/>
  <c r="AB14" i="17" s="1"/>
  <c r="AB18" i="17" a="1"/>
  <c r="AB18" i="17" s="1"/>
  <c r="AB24" i="17" a="1"/>
  <c r="AB24" i="17" s="1"/>
  <c r="AB17" i="17" a="1"/>
  <c r="AB17" i="17" s="1"/>
  <c r="AB21" i="17" a="1"/>
  <c r="AB21" i="17" s="1"/>
  <c r="AB22" i="17" a="1"/>
  <c r="AB22" i="17" s="1"/>
  <c r="G10" i="17" a="1"/>
  <c r="G10" i="17" s="1"/>
  <c r="G18" i="17" a="1"/>
  <c r="G18" i="17" s="1"/>
  <c r="G5" i="17" a="1"/>
  <c r="G5" i="17" s="1"/>
  <c r="G8" i="17" a="1"/>
  <c r="G8" i="17" s="1"/>
  <c r="G16" i="17" a="1"/>
  <c r="G16" i="17" s="1"/>
  <c r="G3" i="17" a="1"/>
  <c r="G3" i="17" s="1"/>
  <c r="G11" i="17" a="1"/>
  <c r="G11" i="17" s="1"/>
  <c r="G6" i="17" a="1"/>
  <c r="G6" i="17" s="1"/>
  <c r="G14" i="17" a="1"/>
  <c r="G14" i="17" s="1"/>
  <c r="G9" i="17" a="1"/>
  <c r="G9" i="17" s="1"/>
  <c r="G4" i="17" a="1"/>
  <c r="G4" i="17" s="1"/>
  <c r="G19" i="17" a="1"/>
  <c r="G19" i="17" s="1"/>
  <c r="G24" i="17" a="1"/>
  <c r="G24" i="17" s="1"/>
  <c r="G7" i="17" a="1"/>
  <c r="G7" i="17" s="1"/>
  <c r="G15" i="17" a="1"/>
  <c r="G15" i="17" s="1"/>
  <c r="G13" i="17" a="1"/>
  <c r="G13" i="17" s="1"/>
  <c r="G21" i="17" a="1"/>
  <c r="G21" i="17" s="1"/>
  <c r="G25" i="17" a="1"/>
  <c r="G25" i="17" s="1"/>
  <c r="G22" i="17" a="1"/>
  <c r="G22" i="17" s="1"/>
  <c r="G12" i="17" a="1"/>
  <c r="G12" i="17" s="1"/>
  <c r="G23" i="17" a="1"/>
  <c r="G23" i="17" s="1"/>
  <c r="G20" i="17" a="1"/>
  <c r="G20" i="17" s="1"/>
  <c r="G17" i="17" a="1"/>
  <c r="G17" i="17" s="1"/>
  <c r="H7" i="17" a="1"/>
  <c r="H7" i="17" s="1"/>
  <c r="H15" i="17" a="1"/>
  <c r="H15" i="17" s="1"/>
  <c r="H5" i="17" a="1"/>
  <c r="H5" i="17" s="1"/>
  <c r="H13" i="17" a="1"/>
  <c r="H13" i="17" s="1"/>
  <c r="H8" i="17" a="1"/>
  <c r="H8" i="17" s="1"/>
  <c r="H16" i="17" a="1"/>
  <c r="H16" i="17" s="1"/>
  <c r="H3" i="17" a="1"/>
  <c r="H3" i="17" s="1"/>
  <c r="H11" i="17" a="1"/>
  <c r="H11" i="17" s="1"/>
  <c r="H6" i="17" a="1"/>
  <c r="H6" i="17" s="1"/>
  <c r="H14" i="17" a="1"/>
  <c r="H14" i="17" s="1"/>
  <c r="H10" i="17" a="1"/>
  <c r="H10" i="17" s="1"/>
  <c r="H17" i="17" a="1"/>
  <c r="H17" i="17" s="1"/>
  <c r="H19" i="17" a="1"/>
  <c r="H19" i="17" s="1"/>
  <c r="H24" i="17" a="1"/>
  <c r="H24" i="17" s="1"/>
  <c r="H18" i="17" a="1"/>
  <c r="H18" i="17" s="1"/>
  <c r="H4" i="17" a="1"/>
  <c r="H4" i="17" s="1"/>
  <c r="H22" i="17" a="1"/>
  <c r="H22" i="17" s="1"/>
  <c r="H25" i="17" a="1"/>
  <c r="H25" i="17" s="1"/>
  <c r="H12" i="17" a="1"/>
  <c r="H12" i="17" s="1"/>
  <c r="H21" i="17" a="1"/>
  <c r="H21" i="17" s="1"/>
  <c r="H9" i="17" a="1"/>
  <c r="H9" i="17" s="1"/>
  <c r="H23" i="17" a="1"/>
  <c r="H23" i="17" s="1"/>
  <c r="H20" i="17" a="1"/>
  <c r="H20" i="17" s="1"/>
  <c r="I4" i="17" a="1"/>
  <c r="I4" i="17" s="1"/>
  <c r="I12" i="17" a="1"/>
  <c r="I12" i="17" s="1"/>
  <c r="I20" i="17" a="1"/>
  <c r="I20" i="17" s="1"/>
  <c r="I7" i="17" a="1"/>
  <c r="I7" i="17" s="1"/>
  <c r="I10" i="17" a="1"/>
  <c r="I10" i="17" s="1"/>
  <c r="I5" i="17" a="1"/>
  <c r="I5" i="17" s="1"/>
  <c r="I13" i="17" a="1"/>
  <c r="I13" i="17" s="1"/>
  <c r="I8" i="17" a="1"/>
  <c r="I8" i="17" s="1"/>
  <c r="I16" i="17" a="1"/>
  <c r="I16" i="17" s="1"/>
  <c r="I3" i="17" a="1"/>
  <c r="I3" i="17" s="1"/>
  <c r="I11" i="17" a="1"/>
  <c r="I11" i="17" s="1"/>
  <c r="I6" i="17" a="1"/>
  <c r="I6" i="17" s="1"/>
  <c r="I17" i="17" a="1"/>
  <c r="I17" i="17" s="1"/>
  <c r="I19" i="17" a="1"/>
  <c r="I19" i="17" s="1"/>
  <c r="I22" i="17" a="1"/>
  <c r="I22" i="17" s="1"/>
  <c r="I14" i="17" a="1"/>
  <c r="I14" i="17" s="1"/>
  <c r="I24" i="17" a="1"/>
  <c r="I24" i="17" s="1"/>
  <c r="I25" i="17" a="1"/>
  <c r="I25" i="17" s="1"/>
  <c r="I15" i="17" a="1"/>
  <c r="I15" i="17" s="1"/>
  <c r="I18" i="17" a="1"/>
  <c r="I18" i="17" s="1"/>
  <c r="I9" i="17" a="1"/>
  <c r="I9" i="17" s="1"/>
  <c r="I21" i="17" a="1"/>
  <c r="I21" i="17" s="1"/>
  <c r="I23" i="17" a="1"/>
  <c r="I23" i="17" s="1"/>
  <c r="J9" i="17" a="1"/>
  <c r="J9" i="17" s="1"/>
  <c r="J17" i="17" a="1"/>
  <c r="J17" i="17" s="1"/>
  <c r="J4" i="17" a="1"/>
  <c r="J4" i="17" s="1"/>
  <c r="J7" i="17" a="1"/>
  <c r="J7" i="17" s="1"/>
  <c r="J15" i="17" a="1"/>
  <c r="J15" i="17" s="1"/>
  <c r="J10" i="17" a="1"/>
  <c r="J10" i="17" s="1"/>
  <c r="J5" i="17" a="1"/>
  <c r="J5" i="17" s="1"/>
  <c r="J13" i="17" a="1"/>
  <c r="J13" i="17" s="1"/>
  <c r="J8" i="17" a="1"/>
  <c r="J8" i="17" s="1"/>
  <c r="J3" i="17" a="1"/>
  <c r="J3" i="17" s="1"/>
  <c r="J21" i="17" a="1"/>
  <c r="J21" i="17" s="1"/>
  <c r="J16" i="17" a="1"/>
  <c r="J16" i="17" s="1"/>
  <c r="J23" i="17" a="1"/>
  <c r="J23" i="17" s="1"/>
  <c r="J11" i="17" a="1"/>
  <c r="J11" i="17" s="1"/>
  <c r="J20" i="17" a="1"/>
  <c r="J20" i="17" s="1"/>
  <c r="J19" i="17" a="1"/>
  <c r="J19" i="17" s="1"/>
  <c r="J6" i="17" a="1"/>
  <c r="J6" i="17" s="1"/>
  <c r="J14" i="17" a="1"/>
  <c r="J14" i="17" s="1"/>
  <c r="J24" i="17" a="1"/>
  <c r="J24" i="17" s="1"/>
  <c r="J18" i="17" a="1"/>
  <c r="J18" i="17" s="1"/>
  <c r="J22" i="17" a="1"/>
  <c r="J22" i="17" s="1"/>
  <c r="J25" i="17" a="1"/>
  <c r="J25" i="17" s="1"/>
  <c r="J12" i="17" a="1"/>
  <c r="J12" i="17" s="1"/>
  <c r="K6" i="17" a="1"/>
  <c r="K6" i="17" s="1"/>
  <c r="K14" i="17" a="1"/>
  <c r="K14" i="17" s="1"/>
  <c r="K22" i="17" a="1"/>
  <c r="K22" i="17" s="1"/>
  <c r="K4" i="17" a="1"/>
  <c r="K4" i="17" s="1"/>
  <c r="K12" i="17" a="1"/>
  <c r="K12" i="17" s="1"/>
  <c r="K7" i="17" a="1"/>
  <c r="K7" i="17" s="1"/>
  <c r="K15" i="17" a="1"/>
  <c r="K15" i="17" s="1"/>
  <c r="K10" i="17" a="1"/>
  <c r="K10" i="17" s="1"/>
  <c r="K5" i="17" a="1"/>
  <c r="K5" i="17" s="1"/>
  <c r="K13" i="17" a="1"/>
  <c r="K13" i="17" s="1"/>
  <c r="K3" i="17" a="1"/>
  <c r="K3" i="17" s="1"/>
  <c r="K9" i="17" a="1"/>
  <c r="K9" i="17" s="1"/>
  <c r="K21" i="17" a="1"/>
  <c r="K21" i="17" s="1"/>
  <c r="K16" i="17" a="1"/>
  <c r="K16" i="17" s="1"/>
  <c r="K23" i="17" a="1"/>
  <c r="K23" i="17" s="1"/>
  <c r="K18" i="17" a="1"/>
  <c r="K18" i="17" s="1"/>
  <c r="K11" i="17" a="1"/>
  <c r="K11" i="17" s="1"/>
  <c r="K20" i="17" a="1"/>
  <c r="K20" i="17" s="1"/>
  <c r="K17" i="17" a="1"/>
  <c r="K17" i="17" s="1"/>
  <c r="K19" i="17" a="1"/>
  <c r="K19" i="17" s="1"/>
  <c r="K24" i="17" a="1"/>
  <c r="K24" i="17" s="1"/>
  <c r="K8" i="17" a="1"/>
  <c r="K8" i="17" s="1"/>
  <c r="K25" i="17" a="1"/>
  <c r="K25" i="17" s="1"/>
  <c r="X7" i="17" a="1"/>
  <c r="X7" i="17" s="1"/>
  <c r="X15" i="17" a="1"/>
  <c r="X15" i="17" s="1"/>
  <c r="X5" i="17" a="1"/>
  <c r="X5" i="17" s="1"/>
  <c r="X13" i="17" a="1"/>
  <c r="X13" i="17" s="1"/>
  <c r="X8" i="17" a="1"/>
  <c r="X8" i="17" s="1"/>
  <c r="X16" i="17" a="1"/>
  <c r="X16" i="17" s="1"/>
  <c r="X3" i="17" a="1"/>
  <c r="X3" i="17" s="1"/>
  <c r="X11" i="17" a="1"/>
  <c r="X11" i="17" s="1"/>
  <c r="X6" i="17" a="1"/>
  <c r="X6" i="17" s="1"/>
  <c r="X14" i="17" a="1"/>
  <c r="X14" i="17" s="1"/>
  <c r="X18" i="17" a="1"/>
  <c r="X18" i="17" s="1"/>
  <c r="X24" i="17" a="1"/>
  <c r="X24" i="17" s="1"/>
  <c r="X9" i="17" a="1"/>
  <c r="X9" i="17" s="1"/>
  <c r="X20" i="17" a="1"/>
  <c r="X20" i="17" s="1"/>
  <c r="X22" i="17" a="1"/>
  <c r="X22" i="17" s="1"/>
  <c r="X10" i="17" a="1"/>
  <c r="X10" i="17" s="1"/>
  <c r="X12" i="17" a="1"/>
  <c r="X12" i="17" s="1"/>
  <c r="X17" i="17" a="1"/>
  <c r="X17" i="17" s="1"/>
  <c r="X21" i="17" a="1"/>
  <c r="X21" i="17" s="1"/>
  <c r="X25" i="17" a="1"/>
  <c r="X25" i="17" s="1"/>
  <c r="X4" i="17" a="1"/>
  <c r="X4" i="17" s="1"/>
  <c r="X23" i="17" a="1"/>
  <c r="X23" i="17" s="1"/>
  <c r="X19" i="17" a="1"/>
  <c r="X19" i="17" s="1"/>
  <c r="AD5" i="17" a="1"/>
  <c r="AD5" i="17" s="1"/>
  <c r="AD13" i="17" a="1"/>
  <c r="AD13" i="17" s="1"/>
  <c r="AD21" i="17" a="1"/>
  <c r="AD21" i="17" s="1"/>
  <c r="AD3" i="17" a="1"/>
  <c r="AD3" i="17" s="1"/>
  <c r="AD11" i="17" a="1"/>
  <c r="AD11" i="17" s="1"/>
  <c r="AD6" i="17" a="1"/>
  <c r="AD6" i="17" s="1"/>
  <c r="AD14" i="17" a="1"/>
  <c r="AD14" i="17" s="1"/>
  <c r="AD9" i="17" a="1"/>
  <c r="AD9" i="17" s="1"/>
  <c r="AD4" i="17" a="1"/>
  <c r="AD4" i="17" s="1"/>
  <c r="AD12" i="17" a="1"/>
  <c r="AD12" i="17" s="1"/>
  <c r="AD7" i="17" a="1"/>
  <c r="AD7" i="17" s="1"/>
  <c r="AD17" i="17" a="1"/>
  <c r="AD17" i="17" s="1"/>
  <c r="AD22" i="17" a="1"/>
  <c r="AD22" i="17" s="1"/>
  <c r="AD20" i="17" a="1"/>
  <c r="AD20" i="17" s="1"/>
  <c r="AD25" i="17" a="1"/>
  <c r="AD25" i="17" s="1"/>
  <c r="AD10" i="17" a="1"/>
  <c r="AD10" i="17" s="1"/>
  <c r="AD18" i="17" a="1"/>
  <c r="AD18" i="17" s="1"/>
  <c r="AD8" i="17" a="1"/>
  <c r="AD8" i="17" s="1"/>
  <c r="AD19" i="17" a="1"/>
  <c r="AD19" i="17" s="1"/>
  <c r="AD23" i="17" a="1"/>
  <c r="AD23" i="17" s="1"/>
  <c r="AD16" i="17" a="1"/>
  <c r="AD16" i="17" s="1"/>
  <c r="AD15" i="17" a="1"/>
  <c r="AD15" i="17" s="1"/>
  <c r="AD24" i="17" a="1"/>
  <c r="AD24" i="17" s="1"/>
  <c r="O10" i="17" a="1"/>
  <c r="O10" i="17" s="1"/>
  <c r="O18" i="17" a="1"/>
  <c r="O18" i="17" s="1"/>
  <c r="O5" i="17" a="1"/>
  <c r="O5" i="17" s="1"/>
  <c r="O8" i="17" a="1"/>
  <c r="O8" i="17" s="1"/>
  <c r="O16" i="17" a="1"/>
  <c r="O16" i="17" s="1"/>
  <c r="O3" i="17" a="1"/>
  <c r="O3" i="17" s="1"/>
  <c r="O11" i="17" a="1"/>
  <c r="O11" i="17" s="1"/>
  <c r="O6" i="17" a="1"/>
  <c r="O6" i="17" s="1"/>
  <c r="O14" i="17" a="1"/>
  <c r="O14" i="17" s="1"/>
  <c r="O9" i="17" a="1"/>
  <c r="O9" i="17" s="1"/>
  <c r="O4" i="17" a="1"/>
  <c r="O4" i="17" s="1"/>
  <c r="O12" i="17" a="1"/>
  <c r="O12" i="17" s="1"/>
  <c r="O24" i="17" a="1"/>
  <c r="O24" i="17" s="1"/>
  <c r="O7" i="17" a="1"/>
  <c r="O7" i="17" s="1"/>
  <c r="O23" i="17" a="1"/>
  <c r="O23" i="17" s="1"/>
  <c r="O22" i="17" a="1"/>
  <c r="O22" i="17" s="1"/>
  <c r="O25" i="17" a="1"/>
  <c r="O25" i="17" s="1"/>
  <c r="O20" i="17" a="1"/>
  <c r="O20" i="17" s="1"/>
  <c r="O21" i="17" a="1"/>
  <c r="O21" i="17" s="1"/>
  <c r="O17" i="17" a="1"/>
  <c r="O17" i="17" s="1"/>
  <c r="O15" i="17" a="1"/>
  <c r="O15" i="17" s="1"/>
  <c r="O13" i="17" a="1"/>
  <c r="O13" i="17" s="1"/>
  <c r="O19" i="17" a="1"/>
  <c r="O19" i="17" s="1"/>
  <c r="AE10" i="17" a="1"/>
  <c r="AE10" i="17" s="1"/>
  <c r="AE18" i="17" a="1"/>
  <c r="AE18" i="17" s="1"/>
  <c r="AE5" i="17" a="1"/>
  <c r="AE5" i="17" s="1"/>
  <c r="AE8" i="17" a="1"/>
  <c r="AE8" i="17" s="1"/>
  <c r="AE3" i="17" a="1"/>
  <c r="AE3" i="17" s="1"/>
  <c r="AE11" i="17" a="1"/>
  <c r="AE11" i="17" s="1"/>
  <c r="AE6" i="17" a="1"/>
  <c r="AE6" i="17" s="1"/>
  <c r="AE14" i="17" a="1"/>
  <c r="AE14" i="17" s="1"/>
  <c r="AE9" i="17" a="1"/>
  <c r="AE9" i="17" s="1"/>
  <c r="AE4" i="17" a="1"/>
  <c r="AE4" i="17" s="1"/>
  <c r="AE15" i="17" a="1"/>
  <c r="AE15" i="17" s="1"/>
  <c r="AE24" i="17" a="1"/>
  <c r="AE24" i="17" s="1"/>
  <c r="AE17" i="17" a="1"/>
  <c r="AE17" i="17" s="1"/>
  <c r="AE21" i="17" a="1"/>
  <c r="AE21" i="17" s="1"/>
  <c r="AE22" i="17" a="1"/>
  <c r="AE22" i="17" s="1"/>
  <c r="AE19" i="17" a="1"/>
  <c r="AE19" i="17" s="1"/>
  <c r="AE20" i="17" a="1"/>
  <c r="AE20" i="17" s="1"/>
  <c r="AE25" i="17" a="1"/>
  <c r="AE25" i="17" s="1"/>
  <c r="AE7" i="17" a="1"/>
  <c r="AE7" i="17" s="1"/>
  <c r="AE23" i="17" a="1"/>
  <c r="AE23" i="17" s="1"/>
  <c r="AE12" i="17" a="1"/>
  <c r="AE12" i="17" s="1"/>
  <c r="AE13" i="17" a="1"/>
  <c r="AE13" i="17" s="1"/>
  <c r="AE16" i="17" a="1"/>
  <c r="AE16" i="17" s="1"/>
  <c r="M8" i="17" a="1"/>
  <c r="M8" i="17" s="1"/>
  <c r="M16" i="17" a="1"/>
  <c r="M16" i="17" s="1"/>
  <c r="M3" i="17" a="1"/>
  <c r="M3" i="17" s="1"/>
  <c r="M6" i="17" a="1"/>
  <c r="M6" i="17" s="1"/>
  <c r="M14" i="17" a="1"/>
  <c r="M14" i="17" s="1"/>
  <c r="M9" i="17" a="1"/>
  <c r="M9" i="17" s="1"/>
  <c r="M17" i="17" a="1"/>
  <c r="M17" i="17" s="1"/>
  <c r="M4" i="17" a="1"/>
  <c r="M4" i="17" s="1"/>
  <c r="M12" i="17" a="1"/>
  <c r="M12" i="17" s="1"/>
  <c r="M7" i="17" a="1"/>
  <c r="M7" i="17" s="1"/>
  <c r="M15" i="17" a="1"/>
  <c r="M15" i="17" s="1"/>
  <c r="M10" i="17" a="1"/>
  <c r="M10" i="17" s="1"/>
  <c r="M5" i="17" a="1"/>
  <c r="M5" i="17" s="1"/>
  <c r="M22" i="17" a="1"/>
  <c r="M22" i="17" s="1"/>
  <c r="M25" i="17" a="1"/>
  <c r="M25" i="17" s="1"/>
  <c r="M21" i="17" a="1"/>
  <c r="M21" i="17" s="1"/>
  <c r="M11" i="17" a="1"/>
  <c r="M11" i="17" s="1"/>
  <c r="M23" i="17" a="1"/>
  <c r="M23" i="17" s="1"/>
  <c r="M13" i="17" a="1"/>
  <c r="M13" i="17" s="1"/>
  <c r="M19" i="17" a="1"/>
  <c r="M19" i="17" s="1"/>
  <c r="M20" i="17" a="1"/>
  <c r="M20" i="17" s="1"/>
  <c r="M18" i="17" a="1"/>
  <c r="M18" i="17" s="1"/>
  <c r="M24" i="17" a="1"/>
  <c r="M24" i="17" s="1"/>
  <c r="P7" i="17" a="1"/>
  <c r="P7" i="17" s="1"/>
  <c r="P15" i="17" a="1"/>
  <c r="P15" i="17" s="1"/>
  <c r="P5" i="17" a="1"/>
  <c r="P5" i="17" s="1"/>
  <c r="P13" i="17" a="1"/>
  <c r="P13" i="17" s="1"/>
  <c r="P8" i="17" a="1"/>
  <c r="P8" i="17" s="1"/>
  <c r="P16" i="17" a="1"/>
  <c r="P16" i="17" s="1"/>
  <c r="P3" i="17" a="1"/>
  <c r="P3" i="17" s="1"/>
  <c r="P11" i="17" a="1"/>
  <c r="P11" i="17" s="1"/>
  <c r="P6" i="17" a="1"/>
  <c r="P6" i="17" s="1"/>
  <c r="P14" i="17" a="1"/>
  <c r="P14" i="17" s="1"/>
  <c r="P19" i="17" a="1"/>
  <c r="P19" i="17" s="1"/>
  <c r="P9" i="17" a="1"/>
  <c r="P9" i="17" s="1"/>
  <c r="P12" i="17" a="1"/>
  <c r="P12" i="17" s="1"/>
  <c r="P18" i="17" a="1"/>
  <c r="P18" i="17" s="1"/>
  <c r="P24" i="17" a="1"/>
  <c r="P24" i="17" s="1"/>
  <c r="P10" i="17" a="1"/>
  <c r="P10" i="17" s="1"/>
  <c r="P22" i="17" a="1"/>
  <c r="P22" i="17" s="1"/>
  <c r="P21" i="17" a="1"/>
  <c r="P21" i="17" s="1"/>
  <c r="P25" i="17" a="1"/>
  <c r="P25" i="17" s="1"/>
  <c r="P4" i="17" a="1"/>
  <c r="P4" i="17" s="1"/>
  <c r="P17" i="17" a="1"/>
  <c r="P17" i="17" s="1"/>
  <c r="P20" i="17" a="1"/>
  <c r="P20" i="17" s="1"/>
  <c r="P23" i="17" a="1"/>
  <c r="P23" i="17" s="1"/>
  <c r="AF7" i="17" a="1"/>
  <c r="AF7" i="17" s="1"/>
  <c r="AF15" i="17" a="1"/>
  <c r="AF15" i="17" s="1"/>
  <c r="AF5" i="17" a="1"/>
  <c r="AF5" i="17" s="1"/>
  <c r="AF13" i="17" a="1"/>
  <c r="AF13" i="17" s="1"/>
  <c r="AF8" i="17" a="1"/>
  <c r="AF8" i="17" s="1"/>
  <c r="AF16" i="17" a="1"/>
  <c r="AF16" i="17" s="1"/>
  <c r="AF3" i="17" a="1"/>
  <c r="AF3" i="17" s="1"/>
  <c r="AF11" i="17" a="1"/>
  <c r="AF11" i="17" s="1"/>
  <c r="AF6" i="17" a="1"/>
  <c r="AF6" i="17" s="1"/>
  <c r="AF14" i="17" a="1"/>
  <c r="AF14" i="17" s="1"/>
  <c r="AF24" i="17" a="1"/>
  <c r="AF24" i="17" s="1"/>
  <c r="AF17" i="17" a="1"/>
  <c r="AF17" i="17" s="1"/>
  <c r="AF21" i="17" a="1"/>
  <c r="AF21" i="17" s="1"/>
  <c r="AF22" i="17" a="1"/>
  <c r="AF22" i="17" s="1"/>
  <c r="AF9" i="17" a="1"/>
  <c r="AF9" i="17" s="1"/>
  <c r="AF20" i="17" a="1"/>
  <c r="AF20" i="17" s="1"/>
  <c r="AF25" i="17" a="1"/>
  <c r="AF25" i="17" s="1"/>
  <c r="AF10" i="17" a="1"/>
  <c r="AF10" i="17" s="1"/>
  <c r="AF19" i="17" a="1"/>
  <c r="AF19" i="17" s="1"/>
  <c r="AF23" i="17" a="1"/>
  <c r="AF23" i="17" s="1"/>
  <c r="AF4" i="17" a="1"/>
  <c r="AF4" i="17" s="1"/>
  <c r="AF12" i="17" a="1"/>
  <c r="AF12" i="17" s="1"/>
  <c r="AF18" i="17" a="1"/>
  <c r="AF18" i="17" s="1"/>
  <c r="N5" i="17" a="1"/>
  <c r="N5" i="17" s="1"/>
  <c r="N13" i="17" a="1"/>
  <c r="N13" i="17" s="1"/>
  <c r="N21" i="17" a="1"/>
  <c r="N21" i="17" s="1"/>
  <c r="N3" i="17" a="1"/>
  <c r="N3" i="17" s="1"/>
  <c r="N11" i="17" a="1"/>
  <c r="N11" i="17" s="1"/>
  <c r="N6" i="17" a="1"/>
  <c r="N6" i="17" s="1"/>
  <c r="N14" i="17" a="1"/>
  <c r="N14" i="17" s="1"/>
  <c r="N9" i="17" a="1"/>
  <c r="N9" i="17" s="1"/>
  <c r="N4" i="17" a="1"/>
  <c r="N4" i="17" s="1"/>
  <c r="N12" i="17" a="1"/>
  <c r="N12" i="17" s="1"/>
  <c r="N7" i="17" a="1"/>
  <c r="N7" i="17" s="1"/>
  <c r="N8" i="17" a="1"/>
  <c r="N8" i="17" s="1"/>
  <c r="N10" i="17" a="1"/>
  <c r="N10" i="17" s="1"/>
  <c r="N22" i="17" a="1"/>
  <c r="N22" i="17" s="1"/>
  <c r="N25" i="17" a="1"/>
  <c r="N25" i="17" s="1"/>
  <c r="N17" i="17" a="1"/>
  <c r="N17" i="17" s="1"/>
  <c r="N16" i="17" a="1"/>
  <c r="N16" i="17" s="1"/>
  <c r="N15" i="17" a="1"/>
  <c r="N15" i="17" s="1"/>
  <c r="N20" i="17" a="1"/>
  <c r="N20" i="17" s="1"/>
  <c r="N23" i="17" a="1"/>
  <c r="N23" i="17" s="1"/>
  <c r="N19" i="17" a="1"/>
  <c r="N19" i="17" s="1"/>
  <c r="N18" i="17" a="1"/>
  <c r="N18" i="17" s="1"/>
  <c r="N24" i="17" a="1"/>
  <c r="N24" i="17" s="1"/>
  <c r="Q4" i="17" a="1"/>
  <c r="Q4" i="17" s="1"/>
  <c r="Q12" i="17" a="1"/>
  <c r="Q12" i="17" s="1"/>
  <c r="Q20" i="17" a="1"/>
  <c r="Q20" i="17" s="1"/>
  <c r="Q7" i="17" a="1"/>
  <c r="Q7" i="17" s="1"/>
  <c r="Q10" i="17" a="1"/>
  <c r="Q10" i="17" s="1"/>
  <c r="Q5" i="17" a="1"/>
  <c r="Q5" i="17" s="1"/>
  <c r="Q13" i="17" a="1"/>
  <c r="Q13" i="17" s="1"/>
  <c r="Q8" i="17" a="1"/>
  <c r="Q8" i="17" s="1"/>
  <c r="Q3" i="17" a="1"/>
  <c r="Q3" i="17" s="1"/>
  <c r="Q11" i="17" a="1"/>
  <c r="Q11" i="17" s="1"/>
  <c r="Q6" i="17" a="1"/>
  <c r="Q6" i="17" s="1"/>
  <c r="Q19" i="17" a="1"/>
  <c r="Q19" i="17" s="1"/>
  <c r="Q9" i="17" a="1"/>
  <c r="Q9" i="17" s="1"/>
  <c r="Q18" i="17" a="1"/>
  <c r="Q18" i="17" s="1"/>
  <c r="Q24" i="17" a="1"/>
  <c r="Q24" i="17" s="1"/>
  <c r="Q16" i="17" a="1"/>
  <c r="Q16" i="17" s="1"/>
  <c r="Q25" i="17" a="1"/>
  <c r="Q25" i="17" s="1"/>
  <c r="Q22" i="17" a="1"/>
  <c r="Q22" i="17" s="1"/>
  <c r="Q21" i="17" a="1"/>
  <c r="Q21" i="17" s="1"/>
  <c r="Q14" i="17" a="1"/>
  <c r="Q14" i="17" s="1"/>
  <c r="Q17" i="17" a="1"/>
  <c r="Q17" i="17" s="1"/>
  <c r="Q15" i="17" a="1"/>
  <c r="Q15" i="17" s="1"/>
  <c r="Q23" i="17" a="1"/>
  <c r="Q23" i="17" s="1"/>
  <c r="AG4" i="17" a="1"/>
  <c r="AG4" i="17" s="1"/>
  <c r="AG12" i="17" a="1"/>
  <c r="AG12" i="17" s="1"/>
  <c r="AG20" i="17" a="1"/>
  <c r="AG20" i="17" s="1"/>
  <c r="AG7" i="17" a="1"/>
  <c r="AG7" i="17" s="1"/>
  <c r="AG10" i="17" a="1"/>
  <c r="AG10" i="17" s="1"/>
  <c r="AG5" i="17" a="1"/>
  <c r="AG5" i="17" s="1"/>
  <c r="AG13" i="17" a="1"/>
  <c r="AG13" i="17" s="1"/>
  <c r="AG8" i="17" a="1"/>
  <c r="AG8" i="17" s="1"/>
  <c r="AG3" i="17" a="1"/>
  <c r="AG3" i="17" s="1"/>
  <c r="AG11" i="17" a="1"/>
  <c r="AG11" i="17" s="1"/>
  <c r="AG6" i="17" a="1"/>
  <c r="AG6" i="17" s="1"/>
  <c r="AG18" i="17" a="1"/>
  <c r="AG18" i="17" s="1"/>
  <c r="AG16" i="17" a="1"/>
  <c r="AG16" i="17" s="1"/>
  <c r="AG15" i="17" a="1"/>
  <c r="AG15" i="17" s="1"/>
  <c r="AG24" i="17" a="1"/>
  <c r="AG24" i="17" s="1"/>
  <c r="AG17" i="17" a="1"/>
  <c r="AG17" i="17" s="1"/>
  <c r="AG9" i="17" a="1"/>
  <c r="AG9" i="17" s="1"/>
  <c r="AG21" i="17" a="1"/>
  <c r="AG21" i="17" s="1"/>
  <c r="AG25" i="17" a="1"/>
  <c r="AG25" i="17" s="1"/>
  <c r="AG14" i="17" a="1"/>
  <c r="AG14" i="17" s="1"/>
  <c r="AG22" i="17" a="1"/>
  <c r="AG22" i="17" s="1"/>
  <c r="AG19" i="17" a="1"/>
  <c r="AG19" i="17" s="1"/>
  <c r="AG23" i="17" a="1"/>
  <c r="AG23" i="17" s="1"/>
  <c r="R9" i="17" a="1"/>
  <c r="R9" i="17" s="1"/>
  <c r="R17" i="17" a="1"/>
  <c r="R17" i="17" s="1"/>
  <c r="R4" i="17" a="1"/>
  <c r="R4" i="17" s="1"/>
  <c r="R7" i="17" a="1"/>
  <c r="R7" i="17" s="1"/>
  <c r="R15" i="17" a="1"/>
  <c r="R15" i="17" s="1"/>
  <c r="R10" i="17" a="1"/>
  <c r="R10" i="17" s="1"/>
  <c r="R5" i="17" a="1"/>
  <c r="R5" i="17" s="1"/>
  <c r="R13" i="17" a="1"/>
  <c r="R13" i="17" s="1"/>
  <c r="R8" i="17" a="1"/>
  <c r="R8" i="17" s="1"/>
  <c r="R3" i="17" a="1"/>
  <c r="R3" i="17" s="1"/>
  <c r="R20" i="17" a="1"/>
  <c r="R20" i="17" s="1"/>
  <c r="R23" i="17" a="1"/>
  <c r="R23" i="17" s="1"/>
  <c r="R19" i="17" a="1"/>
  <c r="R19" i="17" s="1"/>
  <c r="R12" i="17" a="1"/>
  <c r="R12" i="17" s="1"/>
  <c r="R22" i="17" a="1"/>
  <c r="R22" i="17" s="1"/>
  <c r="R18" i="17" a="1"/>
  <c r="R18" i="17" s="1"/>
  <c r="R24" i="17" a="1"/>
  <c r="R24" i="17" s="1"/>
  <c r="R11" i="17" a="1"/>
  <c r="R11" i="17" s="1"/>
  <c r="R6" i="17" a="1"/>
  <c r="R6" i="17" s="1"/>
  <c r="R16" i="17" a="1"/>
  <c r="R16" i="17" s="1"/>
  <c r="R14" i="17" a="1"/>
  <c r="R14" i="17" s="1"/>
  <c r="R25" i="17" a="1"/>
  <c r="R25" i="17" s="1"/>
  <c r="R21" i="17" a="1"/>
  <c r="R21" i="17" s="1"/>
  <c r="AH9" i="17" a="1"/>
  <c r="AH9" i="17" s="1"/>
  <c r="AH17" i="17" a="1"/>
  <c r="AH17" i="17" s="1"/>
  <c r="AH4" i="17" a="1"/>
  <c r="AH4" i="17" s="1"/>
  <c r="AH7" i="17" a="1"/>
  <c r="AH7" i="17" s="1"/>
  <c r="AH15" i="17" a="1"/>
  <c r="AH15" i="17" s="1"/>
  <c r="AH10" i="17" a="1"/>
  <c r="AH10" i="17" s="1"/>
  <c r="AH5" i="17" a="1"/>
  <c r="AH5" i="17" s="1"/>
  <c r="AH13" i="17" a="1"/>
  <c r="AH13" i="17" s="1"/>
  <c r="AH8" i="17" a="1"/>
  <c r="AH8" i="17" s="1"/>
  <c r="AH3" i="17" a="1"/>
  <c r="AH3" i="17" s="1"/>
  <c r="AH6" i="17" a="1"/>
  <c r="AH6" i="17" s="1"/>
  <c r="AH12" i="17" a="1"/>
  <c r="AH12" i="17" s="1"/>
  <c r="AH23" i="17" a="1"/>
  <c r="AH23" i="17" s="1"/>
  <c r="AH18" i="17" a="1"/>
  <c r="AH18" i="17" s="1"/>
  <c r="AH16" i="17" a="1"/>
  <c r="AH16" i="17" s="1"/>
  <c r="AH11" i="17" a="1"/>
  <c r="AH11" i="17" s="1"/>
  <c r="AH21" i="17" a="1"/>
  <c r="AH21" i="17" s="1"/>
  <c r="AH22" i="17" a="1"/>
  <c r="AH22" i="17" s="1"/>
  <c r="AH24" i="17" a="1"/>
  <c r="AH24" i="17" s="1"/>
  <c r="AH20" i="17" a="1"/>
  <c r="AH20" i="17" s="1"/>
  <c r="AH14" i="17" a="1"/>
  <c r="AH14" i="17" s="1"/>
  <c r="AH25" i="17" a="1"/>
  <c r="AH25" i="17" s="1"/>
  <c r="AH19" i="17" a="1"/>
  <c r="AH19" i="17" s="1"/>
  <c r="S6" i="17" a="1"/>
  <c r="S6" i="17" s="1"/>
  <c r="S14" i="17" a="1"/>
  <c r="S14" i="17" s="1"/>
  <c r="S4" i="17" a="1"/>
  <c r="S4" i="17" s="1"/>
  <c r="S12" i="17" a="1"/>
  <c r="S12" i="17" s="1"/>
  <c r="S7" i="17" a="1"/>
  <c r="S7" i="17" s="1"/>
  <c r="S15" i="17" a="1"/>
  <c r="S15" i="17" s="1"/>
  <c r="S10" i="17" a="1"/>
  <c r="S10" i="17" s="1"/>
  <c r="S5" i="17" a="1"/>
  <c r="S5" i="17" s="1"/>
  <c r="S13" i="17" a="1"/>
  <c r="S13" i="17" s="1"/>
  <c r="S8" i="17" a="1"/>
  <c r="S8" i="17" s="1"/>
  <c r="S17" i="17" a="1"/>
  <c r="S17" i="17" s="1"/>
  <c r="S3" i="17" a="1"/>
  <c r="S3" i="17" s="1"/>
  <c r="S20" i="17" a="1"/>
  <c r="S20" i="17" s="1"/>
  <c r="S23" i="17" a="1"/>
  <c r="S23" i="17" s="1"/>
  <c r="S9" i="17" a="1"/>
  <c r="S9" i="17" s="1"/>
  <c r="S19" i="17" a="1"/>
  <c r="S19" i="17" s="1"/>
  <c r="S11" i="17" a="1"/>
  <c r="S11" i="17" s="1"/>
  <c r="S18" i="17" a="1"/>
  <c r="S18" i="17" s="1"/>
  <c r="S24" i="17" a="1"/>
  <c r="S24" i="17" s="1"/>
  <c r="S16" i="17" a="1"/>
  <c r="S16" i="17" s="1"/>
  <c r="S22" i="17" a="1"/>
  <c r="S22" i="17" s="1"/>
  <c r="S21" i="17" a="1"/>
  <c r="S21" i="17" s="1"/>
  <c r="S25" i="17" a="1"/>
  <c r="S25" i="17" s="1"/>
  <c r="AI6" i="17" a="1"/>
  <c r="AI6" i="17" s="1"/>
  <c r="AI14" i="17" a="1"/>
  <c r="AI14" i="17" s="1"/>
  <c r="AI4" i="17" a="1"/>
  <c r="AI4" i="17" s="1"/>
  <c r="AI12" i="17" a="1"/>
  <c r="AI12" i="17" s="1"/>
  <c r="AI7" i="17" a="1"/>
  <c r="AI7" i="17" s="1"/>
  <c r="AI15" i="17" a="1"/>
  <c r="AI15" i="17" s="1"/>
  <c r="AI10" i="17" a="1"/>
  <c r="AI10" i="17" s="1"/>
  <c r="AI5" i="17" a="1"/>
  <c r="AI5" i="17" s="1"/>
  <c r="AI13" i="17" a="1"/>
  <c r="AI13" i="17" s="1"/>
  <c r="AI19" i="17" a="1"/>
  <c r="AI19" i="17" s="1"/>
  <c r="AI23" i="17" a="1"/>
  <c r="AI23" i="17" s="1"/>
  <c r="AI16" i="17" a="1"/>
  <c r="AI16" i="17" s="1"/>
  <c r="AI18" i="17" a="1"/>
  <c r="AI18" i="17" s="1"/>
  <c r="AI3" i="17" a="1"/>
  <c r="AI3" i="17" s="1"/>
  <c r="AI11" i="17" a="1"/>
  <c r="AI11" i="17" s="1"/>
  <c r="AI8" i="17" a="1"/>
  <c r="AI8" i="17" s="1"/>
  <c r="AI17" i="17" a="1"/>
  <c r="AI17" i="17" s="1"/>
  <c r="AI24" i="17" a="1"/>
  <c r="AI24" i="17" s="1"/>
  <c r="AI21" i="17" a="1"/>
  <c r="AI21" i="17" s="1"/>
  <c r="AI9" i="17" a="1"/>
  <c r="AI9" i="17" s="1"/>
  <c r="AI22" i="17" a="1"/>
  <c r="AI22" i="17" s="1"/>
  <c r="AI20" i="17" a="1"/>
  <c r="AI20" i="17" s="1"/>
  <c r="AI25" i="17" a="1"/>
  <c r="AI25" i="17" s="1"/>
  <c r="D3" i="17" a="1"/>
  <c r="D3" i="17" s="1"/>
  <c r="D11" i="17" a="1"/>
  <c r="D11" i="17" s="1"/>
  <c r="D19" i="17" a="1"/>
  <c r="D19" i="17" s="1"/>
  <c r="D6" i="17" a="1"/>
  <c r="D6" i="17" s="1"/>
  <c r="D9" i="17" a="1"/>
  <c r="D9" i="17" s="1"/>
  <c r="D4" i="17" a="1"/>
  <c r="D4" i="17" s="1"/>
  <c r="D12" i="17" a="1"/>
  <c r="D12" i="17" s="1"/>
  <c r="D7" i="17" a="1"/>
  <c r="D7" i="17" s="1"/>
  <c r="D15" i="17" a="1"/>
  <c r="D15" i="17" s="1"/>
  <c r="D10" i="17" a="1"/>
  <c r="D10" i="17" s="1"/>
  <c r="D5" i="17" a="1"/>
  <c r="D5" i="17" s="1"/>
  <c r="D25" i="17" a="1"/>
  <c r="D25" i="17" s="1"/>
  <c r="D13" i="17" a="1"/>
  <c r="D13" i="17" s="1"/>
  <c r="D14" i="17" a="1"/>
  <c r="D14" i="17" s="1"/>
  <c r="D22" i="17" a="1"/>
  <c r="D22" i="17" s="1"/>
  <c r="D21" i="17" a="1"/>
  <c r="D21" i="17" s="1"/>
  <c r="D23" i="17" a="1"/>
  <c r="D23" i="17" s="1"/>
  <c r="D17" i="17" a="1"/>
  <c r="D17" i="17" s="1"/>
  <c r="D24" i="17" a="1"/>
  <c r="D24" i="17" s="1"/>
  <c r="D20" i="17" a="1"/>
  <c r="D20" i="17" s="1"/>
  <c r="D8" i="17" a="1"/>
  <c r="D8" i="17" s="1"/>
  <c r="D16" i="17" a="1"/>
  <c r="D16" i="17" s="1"/>
  <c r="D18" i="17" a="1"/>
  <c r="D18" i="17" s="1"/>
  <c r="T3" i="17" a="1"/>
  <c r="T3" i="17" s="1"/>
  <c r="T11" i="17" a="1"/>
  <c r="T11" i="17" s="1"/>
  <c r="T19" i="17" a="1"/>
  <c r="T19" i="17" s="1"/>
  <c r="T6" i="17" a="1"/>
  <c r="T6" i="17" s="1"/>
  <c r="T9" i="17" a="1"/>
  <c r="T9" i="17" s="1"/>
  <c r="T4" i="17" a="1"/>
  <c r="T4" i="17" s="1"/>
  <c r="T12" i="17" a="1"/>
  <c r="T12" i="17" s="1"/>
  <c r="T7" i="17" a="1"/>
  <c r="T7" i="17" s="1"/>
  <c r="T15" i="17" a="1"/>
  <c r="T15" i="17" s="1"/>
  <c r="T10" i="17" a="1"/>
  <c r="T10" i="17" s="1"/>
  <c r="T5" i="17" a="1"/>
  <c r="T5" i="17" s="1"/>
  <c r="T14" i="17" a="1"/>
  <c r="T14" i="17" s="1"/>
  <c r="T21" i="17" a="1"/>
  <c r="T21" i="17" s="1"/>
  <c r="T25" i="17" a="1"/>
  <c r="T25" i="17" s="1"/>
  <c r="T8" i="17" a="1"/>
  <c r="T8" i="17" s="1"/>
  <c r="T17" i="17" a="1"/>
  <c r="T17" i="17" s="1"/>
  <c r="T20" i="17" a="1"/>
  <c r="T20" i="17" s="1"/>
  <c r="T24" i="17" a="1"/>
  <c r="T24" i="17" s="1"/>
  <c r="T23" i="17" a="1"/>
  <c r="T23" i="17" s="1"/>
  <c r="T18" i="17" a="1"/>
  <c r="T18" i="17" s="1"/>
  <c r="T13" i="17" a="1"/>
  <c r="T13" i="17" s="1"/>
  <c r="T16" i="17" a="1"/>
  <c r="T16" i="17" s="1"/>
  <c r="T22" i="17" a="1"/>
  <c r="T22" i="17" s="1"/>
  <c r="AJ3" i="17" a="1"/>
  <c r="AJ3" i="17" s="1"/>
  <c r="AJ11" i="17" a="1"/>
  <c r="AJ11" i="17" s="1"/>
  <c r="AJ19" i="17" a="1"/>
  <c r="AJ19" i="17" s="1"/>
  <c r="AJ6" i="17" a="1"/>
  <c r="AJ6" i="17" s="1"/>
  <c r="AJ9" i="17" a="1"/>
  <c r="AJ9" i="17" s="1"/>
  <c r="AJ4" i="17" a="1"/>
  <c r="AJ4" i="17" s="1"/>
  <c r="AJ12" i="17" a="1"/>
  <c r="AJ12" i="17" s="1"/>
  <c r="AJ7" i="17" a="1"/>
  <c r="AJ7" i="17" s="1"/>
  <c r="AJ15" i="17" a="1"/>
  <c r="AJ15" i="17" s="1"/>
  <c r="AJ10" i="17" a="1"/>
  <c r="AJ10" i="17" s="1"/>
  <c r="AJ5" i="17" a="1"/>
  <c r="AJ5" i="17" s="1"/>
  <c r="AJ20" i="17" a="1"/>
  <c r="AJ20" i="17" s="1"/>
  <c r="AJ25" i="17" a="1"/>
  <c r="AJ25" i="17" s="1"/>
  <c r="AJ24" i="17" a="1"/>
  <c r="AJ24" i="17" s="1"/>
  <c r="AJ18" i="17" a="1"/>
  <c r="AJ18" i="17" s="1"/>
  <c r="AJ23" i="17" a="1"/>
  <c r="AJ23" i="17" s="1"/>
  <c r="AJ16" i="17" a="1"/>
  <c r="AJ16" i="17" s="1"/>
  <c r="AJ8" i="17" a="1"/>
  <c r="AJ8" i="17" s="1"/>
  <c r="AJ17" i="17" a="1"/>
  <c r="AJ17" i="17" s="1"/>
  <c r="AJ13" i="17" a="1"/>
  <c r="AJ13" i="17" s="1"/>
  <c r="AJ21" i="17" a="1"/>
  <c r="AJ21" i="17" s="1"/>
  <c r="AJ14" i="17" a="1"/>
  <c r="AJ14" i="17" s="1"/>
  <c r="AJ22" i="17" a="1"/>
  <c r="AJ22" i="17" s="1"/>
  <c r="E8" i="17" a="1"/>
  <c r="E8" i="17" s="1"/>
  <c r="E16" i="17" a="1"/>
  <c r="E16" i="17" s="1"/>
  <c r="E3" i="17" a="1"/>
  <c r="E3" i="17" s="1"/>
  <c r="E6" i="17" a="1"/>
  <c r="E6" i="17" s="1"/>
  <c r="E14" i="17" a="1"/>
  <c r="E14" i="17" s="1"/>
  <c r="E9" i="17" a="1"/>
  <c r="E9" i="17" s="1"/>
  <c r="E17" i="17" a="1"/>
  <c r="E17" i="17" s="1"/>
  <c r="E4" i="17" a="1"/>
  <c r="E4" i="17" s="1"/>
  <c r="E12" i="17" a="1"/>
  <c r="E12" i="17" s="1"/>
  <c r="E7" i="17" a="1"/>
  <c r="E7" i="17" s="1"/>
  <c r="E15" i="17" a="1"/>
  <c r="E15" i="17" s="1"/>
  <c r="E5" i="17" a="1"/>
  <c r="E5" i="17" s="1"/>
  <c r="E11" i="17" a="1"/>
  <c r="E11" i="17" s="1"/>
  <c r="E18" i="17" a="1"/>
  <c r="E18" i="17" s="1"/>
  <c r="E25" i="17" a="1"/>
  <c r="E25" i="17" s="1"/>
  <c r="E13" i="17" a="1"/>
  <c r="E13" i="17" s="1"/>
  <c r="E22" i="17" a="1"/>
  <c r="E22" i="17" s="1"/>
  <c r="E20" i="17" a="1"/>
  <c r="E20" i="17" s="1"/>
  <c r="E21" i="17" a="1"/>
  <c r="E21" i="17" s="1"/>
  <c r="E23" i="17" a="1"/>
  <c r="E23" i="17" s="1"/>
  <c r="E19" i="17" a="1"/>
  <c r="E19" i="17" s="1"/>
  <c r="E10" i="17" a="1"/>
  <c r="E10" i="17" s="1"/>
  <c r="E24" i="17" a="1"/>
  <c r="E24" i="17" s="1"/>
  <c r="U8" i="17" a="1"/>
  <c r="U8" i="17" s="1"/>
  <c r="U16" i="17" a="1"/>
  <c r="U16" i="17" s="1"/>
  <c r="U3" i="17" a="1"/>
  <c r="U3" i="17" s="1"/>
  <c r="U6" i="17" a="1"/>
  <c r="U6" i="17" s="1"/>
  <c r="U14" i="17" a="1"/>
  <c r="U14" i="17" s="1"/>
  <c r="U9" i="17" a="1"/>
  <c r="U9" i="17" s="1"/>
  <c r="U17" i="17" a="1"/>
  <c r="U17" i="17" s="1"/>
  <c r="U4" i="17" a="1"/>
  <c r="U4" i="17" s="1"/>
  <c r="U12" i="17" a="1"/>
  <c r="U12" i="17" s="1"/>
  <c r="U7" i="17" a="1"/>
  <c r="U7" i="17" s="1"/>
  <c r="U13" i="17" a="1"/>
  <c r="U13" i="17" s="1"/>
  <c r="U22" i="17" a="1"/>
  <c r="U22" i="17" s="1"/>
  <c r="U15" i="17" a="1"/>
  <c r="U15" i="17" s="1"/>
  <c r="U21" i="17" a="1"/>
  <c r="U21" i="17" s="1"/>
  <c r="U25" i="17" a="1"/>
  <c r="U25" i="17" s="1"/>
  <c r="U5" i="17" a="1"/>
  <c r="U5" i="17" s="1"/>
  <c r="U10" i="17" a="1"/>
  <c r="U10" i="17" s="1"/>
  <c r="U20" i="17" a="1"/>
  <c r="U20" i="17" s="1"/>
  <c r="U18" i="17" a="1"/>
  <c r="U18" i="17" s="1"/>
  <c r="U23" i="17" a="1"/>
  <c r="U23" i="17" s="1"/>
  <c r="U19" i="17" a="1"/>
  <c r="U19" i="17" s="1"/>
  <c r="U11" i="17" a="1"/>
  <c r="U11" i="17" s="1"/>
  <c r="U24" i="17" a="1"/>
  <c r="U24" i="17" s="1"/>
  <c r="AK8" i="17" a="1"/>
  <c r="AK8" i="17" s="1"/>
  <c r="AK16" i="17" a="1"/>
  <c r="AK16" i="17" s="1"/>
  <c r="AK3" i="17" a="1"/>
  <c r="AK3" i="17" s="1"/>
  <c r="AK6" i="17" a="1"/>
  <c r="AK6" i="17" s="1"/>
  <c r="AK14" i="17" a="1"/>
  <c r="AK14" i="17" s="1"/>
  <c r="AK9" i="17" a="1"/>
  <c r="AK9" i="17" s="1"/>
  <c r="AK17" i="17" a="1"/>
  <c r="AK17" i="17" s="1"/>
  <c r="AK4" i="17" a="1"/>
  <c r="AK4" i="17" s="1"/>
  <c r="AK12" i="17" a="1"/>
  <c r="AK12" i="17" s="1"/>
  <c r="AK7" i="17" a="1"/>
  <c r="AK7" i="17" s="1"/>
  <c r="AK22" i="17" a="1"/>
  <c r="AK22" i="17" s="1"/>
  <c r="AK20" i="17" a="1"/>
  <c r="AK20" i="17" s="1"/>
  <c r="AK25" i="17" a="1"/>
  <c r="AK25" i="17" s="1"/>
  <c r="AK19" i="17" a="1"/>
  <c r="AK19" i="17" s="1"/>
  <c r="AK15" i="17" a="1"/>
  <c r="AK15" i="17" s="1"/>
  <c r="AK18" i="17" a="1"/>
  <c r="AK18" i="17" s="1"/>
  <c r="AK23" i="17" a="1"/>
  <c r="AK23" i="17" s="1"/>
  <c r="AK5" i="17" a="1"/>
  <c r="AK5" i="17" s="1"/>
  <c r="AK11" i="17" a="1"/>
  <c r="AK11" i="17" s="1"/>
  <c r="AK10" i="17" a="1"/>
  <c r="AK10" i="17" s="1"/>
  <c r="AK24" i="17" a="1"/>
  <c r="AK24" i="17" s="1"/>
  <c r="AK13" i="17" a="1"/>
  <c r="AK13" i="17" s="1"/>
  <c r="AK21" i="17" a="1"/>
  <c r="AK21" i="17" s="1"/>
  <c r="AC8" i="17" a="1"/>
  <c r="AC8" i="17" s="1"/>
  <c r="AC16" i="17" a="1"/>
  <c r="AC16" i="17" s="1"/>
  <c r="AC3" i="17" a="1"/>
  <c r="AC3" i="17" s="1"/>
  <c r="AC6" i="17" a="1"/>
  <c r="AC6" i="17" s="1"/>
  <c r="AC14" i="17" a="1"/>
  <c r="AC14" i="17" s="1"/>
  <c r="AC9" i="17" a="1"/>
  <c r="AC9" i="17" s="1"/>
  <c r="AC17" i="17" a="1"/>
  <c r="AC17" i="17" s="1"/>
  <c r="AC4" i="17" a="1"/>
  <c r="AC4" i="17" s="1"/>
  <c r="AC12" i="17" a="1"/>
  <c r="AC12" i="17" s="1"/>
  <c r="AC7" i="17" a="1"/>
  <c r="AC7" i="17" s="1"/>
  <c r="AC21" i="17" a="1"/>
  <c r="AC21" i="17" s="1"/>
  <c r="AC22" i="17" a="1"/>
  <c r="AC22" i="17" s="1"/>
  <c r="AC11" i="17" a="1"/>
  <c r="AC11" i="17" s="1"/>
  <c r="AC25" i="17" a="1"/>
  <c r="AC25" i="17" s="1"/>
  <c r="AC20" i="17" a="1"/>
  <c r="AC20" i="17" s="1"/>
  <c r="AC5" i="17" a="1"/>
  <c r="AC5" i="17" s="1"/>
  <c r="AC19" i="17" a="1"/>
  <c r="AC19" i="17" s="1"/>
  <c r="AC23" i="17" a="1"/>
  <c r="AC23" i="17" s="1"/>
  <c r="AC13" i="17" a="1"/>
  <c r="AC13" i="17" s="1"/>
  <c r="AC10" i="17" a="1"/>
  <c r="AC10" i="17" s="1"/>
  <c r="AC18" i="17" a="1"/>
  <c r="AC18" i="17" s="1"/>
  <c r="AC15" i="17" a="1"/>
  <c r="AC15" i="17" s="1"/>
  <c r="AC24" i="17" a="1"/>
  <c r="AC24" i="17" s="1"/>
  <c r="F5" i="17" a="1"/>
  <c r="F5" i="17" s="1"/>
  <c r="F13" i="17" a="1"/>
  <c r="F13" i="17" s="1"/>
  <c r="F21" i="17" a="1"/>
  <c r="F21" i="17" s="1"/>
  <c r="F3" i="17" a="1"/>
  <c r="F3" i="17" s="1"/>
  <c r="F11" i="17" a="1"/>
  <c r="F11" i="17" s="1"/>
  <c r="F6" i="17" a="1"/>
  <c r="F6" i="17" s="1"/>
  <c r="F14" i="17" a="1"/>
  <c r="F14" i="17" s="1"/>
  <c r="F9" i="17" a="1"/>
  <c r="F9" i="17" s="1"/>
  <c r="F4" i="17" a="1"/>
  <c r="F4" i="17" s="1"/>
  <c r="F12" i="17" a="1"/>
  <c r="F12" i="17" s="1"/>
  <c r="F7" i="17" a="1"/>
  <c r="F7" i="17" s="1"/>
  <c r="F15" i="17" a="1"/>
  <c r="F15" i="17" s="1"/>
  <c r="F18" i="17" a="1"/>
  <c r="F18" i="17" s="1"/>
  <c r="F20" i="17" a="1"/>
  <c r="F20" i="17" s="1"/>
  <c r="F25" i="17" a="1"/>
  <c r="F25" i="17" s="1"/>
  <c r="F22" i="17" a="1"/>
  <c r="F22" i="17" s="1"/>
  <c r="F23" i="17" a="1"/>
  <c r="F23" i="17" s="1"/>
  <c r="F8" i="17" a="1"/>
  <c r="F8" i="17" s="1"/>
  <c r="F16" i="17" a="1"/>
  <c r="F16" i="17" s="1"/>
  <c r="F10" i="17" a="1"/>
  <c r="F10" i="17" s="1"/>
  <c r="F17" i="17" a="1"/>
  <c r="F17" i="17" s="1"/>
  <c r="F19" i="17" a="1"/>
  <c r="F19" i="17" s="1"/>
  <c r="F24" i="17" a="1"/>
  <c r="F24" i="17" s="1"/>
  <c r="V5" i="17" a="1"/>
  <c r="V5" i="17" s="1"/>
  <c r="V13" i="17" a="1"/>
  <c r="V13" i="17" s="1"/>
  <c r="V21" i="17" a="1"/>
  <c r="V21" i="17" s="1"/>
  <c r="V3" i="17" a="1"/>
  <c r="V3" i="17" s="1"/>
  <c r="V11" i="17" a="1"/>
  <c r="V11" i="17" s="1"/>
  <c r="V6" i="17" a="1"/>
  <c r="V6" i="17" s="1"/>
  <c r="V14" i="17" a="1"/>
  <c r="V14" i="17" s="1"/>
  <c r="V9" i="17" a="1"/>
  <c r="V9" i="17" s="1"/>
  <c r="V4" i="17" a="1"/>
  <c r="V4" i="17" s="1"/>
  <c r="V12" i="17" a="1"/>
  <c r="V12" i="17" s="1"/>
  <c r="V7" i="17" a="1"/>
  <c r="V7" i="17" s="1"/>
  <c r="V16" i="17" a="1"/>
  <c r="V16" i="17" s="1"/>
  <c r="V22" i="17" a="1"/>
  <c r="V22" i="17" s="1"/>
  <c r="V8" i="17" a="1"/>
  <c r="V8" i="17" s="1"/>
  <c r="V15" i="17" a="1"/>
  <c r="V15" i="17" s="1"/>
  <c r="V25" i="17" a="1"/>
  <c r="V25" i="17" s="1"/>
  <c r="V10" i="17" a="1"/>
  <c r="V10" i="17" s="1"/>
  <c r="V17" i="17" a="1"/>
  <c r="V17" i="17" s="1"/>
  <c r="V20" i="17" a="1"/>
  <c r="V20" i="17" s="1"/>
  <c r="V23" i="17" a="1"/>
  <c r="V23" i="17" s="1"/>
  <c r="V19" i="17" a="1"/>
  <c r="V19" i="17" s="1"/>
  <c r="V18" i="17" a="1"/>
  <c r="V18" i="17" s="1"/>
  <c r="V24" i="17" a="1"/>
  <c r="V24" i="17" s="1"/>
  <c r="AL5" i="17" a="1"/>
  <c r="AL5" i="17" s="1"/>
  <c r="AL13" i="17" a="1"/>
  <c r="AL13" i="17" s="1"/>
  <c r="AL21" i="17" a="1"/>
  <c r="AL21" i="17" s="1"/>
  <c r="AL3" i="17" a="1"/>
  <c r="AL3" i="17" s="1"/>
  <c r="AL11" i="17" a="1"/>
  <c r="AL11" i="17" s="1"/>
  <c r="AL6" i="17" a="1"/>
  <c r="AL6" i="17" s="1"/>
  <c r="AL14" i="17" a="1"/>
  <c r="AL14" i="17" s="1"/>
  <c r="AL9" i="17" a="1"/>
  <c r="AL9" i="17" s="1"/>
  <c r="AL4" i="17" a="1"/>
  <c r="AL4" i="17" s="1"/>
  <c r="AL12" i="17" a="1"/>
  <c r="AL12" i="17" s="1"/>
  <c r="AL7" i="17" a="1"/>
  <c r="AL7" i="17" s="1"/>
  <c r="AL20" i="17" a="1"/>
  <c r="AL20" i="17" s="1"/>
  <c r="AL22" i="17" a="1"/>
  <c r="AL22" i="17" s="1"/>
  <c r="AL25" i="17" a="1"/>
  <c r="AL25" i="17" s="1"/>
  <c r="AL19" i="17" a="1"/>
  <c r="AL19" i="17" s="1"/>
  <c r="AL15" i="17" a="1"/>
  <c r="AL15" i="17" s="1"/>
  <c r="AL16" i="17" a="1"/>
  <c r="AL16" i="17" s="1"/>
  <c r="AL18" i="17" a="1"/>
  <c r="AL18" i="17" s="1"/>
  <c r="AL23" i="17" a="1"/>
  <c r="AL23" i="17" s="1"/>
  <c r="AL8" i="17" a="1"/>
  <c r="AL8" i="17" s="1"/>
  <c r="AL10" i="17" a="1"/>
  <c r="AL10" i="17" s="1"/>
  <c r="AL17" i="17" a="1"/>
  <c r="AL17" i="17" s="1"/>
  <c r="AL24" i="17" a="1"/>
  <c r="AL24" i="17" s="1"/>
  <c r="C4" i="17" a="1"/>
  <c r="C4" i="17" s="1"/>
  <c r="C5" i="17" a="1"/>
  <c r="C5" i="17" s="1"/>
  <c r="C13" i="17" a="1"/>
  <c r="C13" i="17" s="1"/>
  <c r="C21" i="17" a="1"/>
  <c r="C21" i="17" s="1"/>
  <c r="C6" i="17" a="1"/>
  <c r="C6" i="17" s="1"/>
  <c r="C14" i="17" a="1"/>
  <c r="C14" i="17" s="1"/>
  <c r="C22" i="17" a="1"/>
  <c r="C22" i="17" s="1"/>
  <c r="C7" i="17" a="1"/>
  <c r="C7" i="17" s="1"/>
  <c r="C15" i="17" a="1"/>
  <c r="C15" i="17" s="1"/>
  <c r="C23" i="17" a="1"/>
  <c r="C23" i="17" s="1"/>
  <c r="C17" i="17" a="1"/>
  <c r="C17" i="17" s="1"/>
  <c r="C8" i="17" a="1"/>
  <c r="C8" i="17" s="1"/>
  <c r="C16" i="17" a="1"/>
  <c r="C16" i="17" s="1"/>
  <c r="C24" i="17" a="1"/>
  <c r="C24" i="17" s="1"/>
  <c r="C25" i="17" a="1"/>
  <c r="C25" i="17" s="1"/>
  <c r="C18" i="17" a="1"/>
  <c r="C18" i="17" s="1"/>
  <c r="C19" i="17" a="1"/>
  <c r="C19" i="17" s="1"/>
  <c r="C9" i="17" a="1"/>
  <c r="C9" i="17" s="1"/>
  <c r="C10" i="17" a="1"/>
  <c r="C10" i="17" s="1"/>
  <c r="C11" i="17" a="1"/>
  <c r="C11" i="17" s="1"/>
  <c r="C12" i="17" a="1"/>
  <c r="C12" i="17" s="1"/>
  <c r="C20" i="17" a="1"/>
  <c r="C20" i="17" s="1"/>
  <c r="C3" i="17" a="1"/>
  <c r="C3" i="17" s="1"/>
  <c r="V6" i="15" a="1"/>
  <c r="V6" i="15" s="1"/>
  <c r="V11" i="15" a="1"/>
  <c r="V11" i="15" s="1"/>
  <c r="V22" i="15" a="1"/>
  <c r="V22" i="15" s="1"/>
  <c r="V23" i="15" a="1"/>
  <c r="V23" i="15" s="1"/>
  <c r="V10" i="15" a="1"/>
  <c r="V10" i="15" s="1"/>
  <c r="V9" i="15" a="1"/>
  <c r="V9" i="15" s="1"/>
  <c r="V20" i="15" a="1"/>
  <c r="V20" i="15" s="1"/>
  <c r="V14" i="15" a="1"/>
  <c r="V14" i="15" s="1"/>
  <c r="V16" i="15" a="1"/>
  <c r="V16" i="15" s="1"/>
  <c r="V17" i="15" a="1"/>
  <c r="V17" i="15" s="1"/>
  <c r="V25" i="15" a="1"/>
  <c r="V25" i="15" s="1"/>
  <c r="V8" i="15" a="1"/>
  <c r="V8" i="15" s="1"/>
  <c r="V15" i="15" a="1"/>
  <c r="V15" i="15" s="1"/>
  <c r="V24" i="15" a="1"/>
  <c r="V24" i="15" s="1"/>
  <c r="V4" i="15" a="1"/>
  <c r="V4" i="15" s="1"/>
  <c r="V7" i="15" a="1"/>
  <c r="V7" i="15" s="1"/>
  <c r="V18" i="15" a="1"/>
  <c r="V18" i="15" s="1"/>
  <c r="V13" i="15" a="1"/>
  <c r="V13" i="15" s="1"/>
  <c r="V19" i="15" a="1"/>
  <c r="V19" i="15" s="1"/>
  <c r="V21" i="15" a="1"/>
  <c r="V21" i="15" s="1"/>
  <c r="V12" i="15" a="1"/>
  <c r="V12" i="15" s="1"/>
  <c r="V5" i="15" a="1"/>
  <c r="V5" i="15" s="1"/>
  <c r="V3" i="15" a="1"/>
  <c r="V3" i="15" s="1"/>
  <c r="AF23" i="15" a="1"/>
  <c r="AF23" i="15" s="1"/>
  <c r="AF13" i="15" a="1"/>
  <c r="AF13" i="15" s="1"/>
  <c r="AF15" i="15" a="1"/>
  <c r="AF15" i="15" s="1"/>
  <c r="AF21" i="15" a="1"/>
  <c r="AF21" i="15" s="1"/>
  <c r="AF17" i="15" a="1"/>
  <c r="AF17" i="15" s="1"/>
  <c r="AF12" i="15" a="1"/>
  <c r="AF12" i="15" s="1"/>
  <c r="AF5" i="15" a="1"/>
  <c r="AF5" i="15" s="1"/>
  <c r="AF14" i="15" a="1"/>
  <c r="AF14" i="15" s="1"/>
  <c r="AF24" i="15" a="1"/>
  <c r="AF24" i="15" s="1"/>
  <c r="AF25" i="15" a="1"/>
  <c r="AF25" i="15" s="1"/>
  <c r="AF18" i="15" a="1"/>
  <c r="AF18" i="15" s="1"/>
  <c r="AF8" i="15" a="1"/>
  <c r="AF8" i="15" s="1"/>
  <c r="AF7" i="15" a="1"/>
  <c r="AF7" i="15" s="1"/>
  <c r="AF10" i="15" a="1"/>
  <c r="AF10" i="15" s="1"/>
  <c r="AF19" i="15" a="1"/>
  <c r="AF19" i="15" s="1"/>
  <c r="AF16" i="15" a="1"/>
  <c r="AF16" i="15" s="1"/>
  <c r="AF22" i="15" a="1"/>
  <c r="AF22" i="15" s="1"/>
  <c r="AF11" i="15" a="1"/>
  <c r="AF11" i="15" s="1"/>
  <c r="AF9" i="15" a="1"/>
  <c r="AF9" i="15" s="1"/>
  <c r="AF4" i="15" a="1"/>
  <c r="AF4" i="15" s="1"/>
  <c r="AF6" i="15" a="1"/>
  <c r="AF6" i="15" s="1"/>
  <c r="AF20" i="15" a="1"/>
  <c r="AF20" i="15" s="1"/>
  <c r="AF3" i="15" a="1"/>
  <c r="AF3" i="15" s="1"/>
  <c r="H6" i="15" a="1"/>
  <c r="H6" i="15" s="1"/>
  <c r="H8" i="15" a="1"/>
  <c r="H8" i="15" s="1"/>
  <c r="H15" i="15" a="1"/>
  <c r="H15" i="15" s="1"/>
  <c r="H23" i="15" a="1"/>
  <c r="H23" i="15" s="1"/>
  <c r="H19" i="15" a="1"/>
  <c r="H19" i="15" s="1"/>
  <c r="H13" i="15" a="1"/>
  <c r="H13" i="15" s="1"/>
  <c r="H18" i="15" a="1"/>
  <c r="H18" i="15" s="1"/>
  <c r="H20" i="15" a="1"/>
  <c r="H20" i="15" s="1"/>
  <c r="H7" i="15" a="1"/>
  <c r="H7" i="15" s="1"/>
  <c r="H11" i="15" a="1"/>
  <c r="H11" i="15" s="1"/>
  <c r="H24" i="15" a="1"/>
  <c r="H24" i="15" s="1"/>
  <c r="H17" i="15" a="1"/>
  <c r="H17" i="15" s="1"/>
  <c r="H16" i="15" a="1"/>
  <c r="H16" i="15" s="1"/>
  <c r="H5" i="15" a="1"/>
  <c r="H5" i="15" s="1"/>
  <c r="H21" i="15" a="1"/>
  <c r="H21" i="15" s="1"/>
  <c r="H10" i="15" a="1"/>
  <c r="H10" i="15" s="1"/>
  <c r="H22" i="15" a="1"/>
  <c r="H22" i="15" s="1"/>
  <c r="H14" i="15" a="1"/>
  <c r="H14" i="15" s="1"/>
  <c r="H25" i="15" a="1"/>
  <c r="H25" i="15" s="1"/>
  <c r="H9" i="15" a="1"/>
  <c r="H9" i="15" s="1"/>
  <c r="H12" i="15" a="1"/>
  <c r="H12" i="15" s="1"/>
  <c r="H4" i="15" a="1"/>
  <c r="H4" i="15" s="1"/>
  <c r="H3" i="15" a="1"/>
  <c r="H3" i="15" s="1"/>
  <c r="X17" i="15" a="1"/>
  <c r="X17" i="15" s="1"/>
  <c r="X20" i="15" a="1"/>
  <c r="X20" i="15" s="1"/>
  <c r="X21" i="15" a="1"/>
  <c r="X21" i="15" s="1"/>
  <c r="X13" i="15" a="1"/>
  <c r="X13" i="15" s="1"/>
  <c r="X24" i="15" a="1"/>
  <c r="X24" i="15" s="1"/>
  <c r="X7" i="15" a="1"/>
  <c r="X7" i="15" s="1"/>
  <c r="X25" i="15" a="1"/>
  <c r="X25" i="15" s="1"/>
  <c r="X22" i="15" a="1"/>
  <c r="X22" i="15" s="1"/>
  <c r="X9" i="15" a="1"/>
  <c r="X9" i="15" s="1"/>
  <c r="X16" i="15" a="1"/>
  <c r="X16" i="15" s="1"/>
  <c r="X4" i="15" a="1"/>
  <c r="X4" i="15" s="1"/>
  <c r="X15" i="15" a="1"/>
  <c r="X15" i="15" s="1"/>
  <c r="X18" i="15" a="1"/>
  <c r="X18" i="15" s="1"/>
  <c r="X6" i="15" a="1"/>
  <c r="X6" i="15" s="1"/>
  <c r="X23" i="15" a="1"/>
  <c r="X23" i="15" s="1"/>
  <c r="X19" i="15" a="1"/>
  <c r="X19" i="15" s="1"/>
  <c r="X11" i="15" a="1"/>
  <c r="X11" i="15" s="1"/>
  <c r="X12" i="15" a="1"/>
  <c r="X12" i="15" s="1"/>
  <c r="X10" i="15" a="1"/>
  <c r="X10" i="15" s="1"/>
  <c r="X14" i="15" a="1"/>
  <c r="X14" i="15" s="1"/>
  <c r="X5" i="15" a="1"/>
  <c r="X5" i="15" s="1"/>
  <c r="X8" i="15" a="1"/>
  <c r="X8" i="15" s="1"/>
  <c r="X3" i="15" a="1"/>
  <c r="X3" i="15" s="1"/>
  <c r="I5" i="15" a="1"/>
  <c r="I5" i="15" s="1"/>
  <c r="I14" i="15" a="1"/>
  <c r="I14" i="15" s="1"/>
  <c r="I10" i="15" a="1"/>
  <c r="I10" i="15" s="1"/>
  <c r="I25" i="15" a="1"/>
  <c r="I25" i="15" s="1"/>
  <c r="I20" i="15" a="1"/>
  <c r="I20" i="15" s="1"/>
  <c r="I19" i="15" a="1"/>
  <c r="I19" i="15" s="1"/>
  <c r="I6" i="15" a="1"/>
  <c r="I6" i="15" s="1"/>
  <c r="I23" i="15" a="1"/>
  <c r="I23" i="15" s="1"/>
  <c r="I7" i="15" a="1"/>
  <c r="I7" i="15" s="1"/>
  <c r="I12" i="15" a="1"/>
  <c r="I12" i="15" s="1"/>
  <c r="I8" i="15" a="1"/>
  <c r="I8" i="15" s="1"/>
  <c r="I4" i="15" a="1"/>
  <c r="I4" i="15" s="1"/>
  <c r="I22" i="15" a="1"/>
  <c r="I22" i="15" s="1"/>
  <c r="I18" i="15" a="1"/>
  <c r="I18" i="15" s="1"/>
  <c r="I9" i="15" a="1"/>
  <c r="I9" i="15" s="1"/>
  <c r="I16" i="15" a="1"/>
  <c r="I16" i="15" s="1"/>
  <c r="I15" i="15" a="1"/>
  <c r="I15" i="15" s="1"/>
  <c r="I11" i="15" a="1"/>
  <c r="I11" i="15" s="1"/>
  <c r="I24" i="15" a="1"/>
  <c r="I24" i="15" s="1"/>
  <c r="I17" i="15" a="1"/>
  <c r="I17" i="15" s="1"/>
  <c r="I21" i="15" a="1"/>
  <c r="I21" i="15" s="1"/>
  <c r="I13" i="15" a="1"/>
  <c r="I13" i="15" s="1"/>
  <c r="I3" i="15" a="1"/>
  <c r="I3" i="15" s="1"/>
  <c r="Y10" i="15" a="1"/>
  <c r="Y10" i="15" s="1"/>
  <c r="Y24" i="15" a="1"/>
  <c r="Y24" i="15" s="1"/>
  <c r="Y25" i="15" a="1"/>
  <c r="Y25" i="15" s="1"/>
  <c r="Y16" i="15" a="1"/>
  <c r="Y16" i="15" s="1"/>
  <c r="Y5" i="15" a="1"/>
  <c r="Y5" i="15" s="1"/>
  <c r="Y13" i="15" a="1"/>
  <c r="Y13" i="15" s="1"/>
  <c r="Y8" i="15" a="1"/>
  <c r="Y8" i="15" s="1"/>
  <c r="Y19" i="15" a="1"/>
  <c r="Y19" i="15" s="1"/>
  <c r="Y18" i="15" a="1"/>
  <c r="Y18" i="15" s="1"/>
  <c r="Y11" i="15" a="1"/>
  <c r="Y11" i="15" s="1"/>
  <c r="Y7" i="15" a="1"/>
  <c r="Y7" i="15" s="1"/>
  <c r="Y4" i="15" a="1"/>
  <c r="Y4" i="15" s="1"/>
  <c r="Y14" i="15" a="1"/>
  <c r="Y14" i="15" s="1"/>
  <c r="Y9" i="15" a="1"/>
  <c r="Y9" i="15" s="1"/>
  <c r="Y12" i="15" a="1"/>
  <c r="Y12" i="15" s="1"/>
  <c r="Y17" i="15" a="1"/>
  <c r="Y17" i="15" s="1"/>
  <c r="Y22" i="15" a="1"/>
  <c r="Y22" i="15" s="1"/>
  <c r="Y6" i="15" a="1"/>
  <c r="Y6" i="15" s="1"/>
  <c r="Y20" i="15" a="1"/>
  <c r="Y20" i="15" s="1"/>
  <c r="Y21" i="15" a="1"/>
  <c r="Y21" i="15" s="1"/>
  <c r="Y15" i="15" a="1"/>
  <c r="Y15" i="15" s="1"/>
  <c r="Y23" i="15" a="1"/>
  <c r="Y23" i="15" s="1"/>
  <c r="Y3" i="15" a="1"/>
  <c r="Y3" i="15" s="1"/>
  <c r="C6" i="15" a="1"/>
  <c r="C6" i="15" s="1"/>
  <c r="C9" i="15" a="1"/>
  <c r="C9" i="15" s="1"/>
  <c r="C18" i="15" a="1"/>
  <c r="C18" i="15" s="1"/>
  <c r="C24" i="15" a="1"/>
  <c r="C24" i="15" s="1"/>
  <c r="C11" i="15" a="1"/>
  <c r="C11" i="15" s="1"/>
  <c r="C10" i="15" a="1"/>
  <c r="C10" i="15" s="1"/>
  <c r="C14" i="15" a="1"/>
  <c r="C14" i="15" s="1"/>
  <c r="C8" i="15" a="1"/>
  <c r="C8" i="15" s="1"/>
  <c r="C15" i="15" a="1"/>
  <c r="C15" i="15" s="1"/>
  <c r="C12" i="15" a="1"/>
  <c r="C12" i="15" s="1"/>
  <c r="C21" i="15" a="1"/>
  <c r="C21" i="15" s="1"/>
  <c r="C13" i="15" a="1"/>
  <c r="C13" i="15" s="1"/>
  <c r="C19" i="15" a="1"/>
  <c r="C19" i="15" s="1"/>
  <c r="C17" i="15" a="1"/>
  <c r="C17" i="15" s="1"/>
  <c r="C16" i="15" a="1"/>
  <c r="C16" i="15" s="1"/>
  <c r="C4" i="15" a="1"/>
  <c r="C4" i="15" s="1"/>
  <c r="C25" i="15" a="1"/>
  <c r="C25" i="15" s="1"/>
  <c r="C22" i="15" a="1"/>
  <c r="C22" i="15" s="1"/>
  <c r="C23" i="15" a="1"/>
  <c r="C23" i="15" s="1"/>
  <c r="C20" i="15" a="1"/>
  <c r="C20" i="15" s="1"/>
  <c r="C7" i="15" a="1"/>
  <c r="C7" i="15" s="1"/>
  <c r="C5" i="15" a="1"/>
  <c r="C5" i="15" s="1"/>
  <c r="C3" i="15" a="1"/>
  <c r="C3" i="15" s="1"/>
  <c r="S5" i="15" a="1"/>
  <c r="S5" i="15" s="1"/>
  <c r="S4" i="15" a="1"/>
  <c r="S4" i="15" s="1"/>
  <c r="S20" i="15" a="1"/>
  <c r="S20" i="15" s="1"/>
  <c r="S24" i="15" a="1"/>
  <c r="S24" i="15" s="1"/>
  <c r="S8" i="15" a="1"/>
  <c r="S8" i="15" s="1"/>
  <c r="S19" i="15" a="1"/>
  <c r="S19" i="15" s="1"/>
  <c r="S11" i="15" a="1"/>
  <c r="S11" i="15" s="1"/>
  <c r="S18" i="15" a="1"/>
  <c r="S18" i="15" s="1"/>
  <c r="S10" i="15" a="1"/>
  <c r="S10" i="15" s="1"/>
  <c r="S12" i="15" a="1"/>
  <c r="S12" i="15" s="1"/>
  <c r="S7" i="15" a="1"/>
  <c r="S7" i="15" s="1"/>
  <c r="S6" i="15" a="1"/>
  <c r="S6" i="15" s="1"/>
  <c r="S21" i="15" a="1"/>
  <c r="S21" i="15" s="1"/>
  <c r="S17" i="15" a="1"/>
  <c r="S17" i="15" s="1"/>
  <c r="S14" i="15" a="1"/>
  <c r="S14" i="15" s="1"/>
  <c r="S9" i="15" a="1"/>
  <c r="S9" i="15" s="1"/>
  <c r="S16" i="15" a="1"/>
  <c r="S16" i="15" s="1"/>
  <c r="S13" i="15" a="1"/>
  <c r="S13" i="15" s="1"/>
  <c r="S23" i="15" a="1"/>
  <c r="S23" i="15" s="1"/>
  <c r="S22" i="15" a="1"/>
  <c r="S22" i="15" s="1"/>
  <c r="S25" i="15" a="1"/>
  <c r="S25" i="15" s="1"/>
  <c r="S15" i="15" a="1"/>
  <c r="S15" i="15" s="1"/>
  <c r="S3" i="15" a="1"/>
  <c r="S3" i="15" s="1"/>
  <c r="K24" i="15" a="1"/>
  <c r="K24" i="15" s="1"/>
  <c r="K11" i="15" a="1"/>
  <c r="K11" i="15" s="1"/>
  <c r="K15" i="15" a="1"/>
  <c r="K15" i="15" s="1"/>
  <c r="K23" i="15" a="1"/>
  <c r="K23" i="15" s="1"/>
  <c r="K19" i="15" a="1"/>
  <c r="K19" i="15" s="1"/>
  <c r="K5" i="15" a="1"/>
  <c r="K5" i="15" s="1"/>
  <c r="K12" i="15" a="1"/>
  <c r="K12" i="15" s="1"/>
  <c r="K25" i="15" a="1"/>
  <c r="K25" i="15" s="1"/>
  <c r="K22" i="15" a="1"/>
  <c r="K22" i="15" s="1"/>
  <c r="K9" i="15" a="1"/>
  <c r="K9" i="15" s="1"/>
  <c r="K14" i="15" a="1"/>
  <c r="K14" i="15" s="1"/>
  <c r="K8" i="15" a="1"/>
  <c r="K8" i="15" s="1"/>
  <c r="K20" i="15" a="1"/>
  <c r="K20" i="15" s="1"/>
  <c r="K7" i="15" a="1"/>
  <c r="K7" i="15" s="1"/>
  <c r="K21" i="15" a="1"/>
  <c r="K21" i="15" s="1"/>
  <c r="K10" i="15" a="1"/>
  <c r="K10" i="15" s="1"/>
  <c r="K13" i="15" a="1"/>
  <c r="K13" i="15" s="1"/>
  <c r="K17" i="15" a="1"/>
  <c r="K17" i="15" s="1"/>
  <c r="K18" i="15" a="1"/>
  <c r="K18" i="15" s="1"/>
  <c r="K16" i="15" a="1"/>
  <c r="K16" i="15" s="1"/>
  <c r="K6" i="15" a="1"/>
  <c r="K6" i="15" s="1"/>
  <c r="K4" i="15" a="1"/>
  <c r="K4" i="15" s="1"/>
  <c r="K3" i="15" a="1"/>
  <c r="K3" i="15" s="1"/>
  <c r="D13" i="15" a="1"/>
  <c r="D13" i="15" s="1"/>
  <c r="D22" i="15" a="1"/>
  <c r="D22" i="15" s="1"/>
  <c r="D11" i="15" a="1"/>
  <c r="D11" i="15" s="1"/>
  <c r="D16" i="15" a="1"/>
  <c r="D16" i="15" s="1"/>
  <c r="D10" i="15" a="1"/>
  <c r="D10" i="15" s="1"/>
  <c r="D20" i="15" a="1"/>
  <c r="D20" i="15" s="1"/>
  <c r="D19" i="15" a="1"/>
  <c r="D19" i="15" s="1"/>
  <c r="D23" i="15" a="1"/>
  <c r="D23" i="15" s="1"/>
  <c r="D17" i="15" a="1"/>
  <c r="D17" i="15" s="1"/>
  <c r="D9" i="15" a="1"/>
  <c r="D9" i="15" s="1"/>
  <c r="D18" i="15" a="1"/>
  <c r="D18" i="15" s="1"/>
  <c r="D5" i="15" a="1"/>
  <c r="D5" i="15" s="1"/>
  <c r="D25" i="15" a="1"/>
  <c r="D25" i="15" s="1"/>
  <c r="D14" i="15" a="1"/>
  <c r="D14" i="15" s="1"/>
  <c r="D12" i="15" a="1"/>
  <c r="D12" i="15" s="1"/>
  <c r="D7" i="15" a="1"/>
  <c r="D7" i="15" s="1"/>
  <c r="D15" i="15" a="1"/>
  <c r="D15" i="15" s="1"/>
  <c r="D8" i="15" a="1"/>
  <c r="D8" i="15" s="1"/>
  <c r="D24" i="15" a="1"/>
  <c r="D24" i="15" s="1"/>
  <c r="D4" i="15" a="1"/>
  <c r="D4" i="15" s="1"/>
  <c r="D21" i="15" a="1"/>
  <c r="D21" i="15" s="1"/>
  <c r="D6" i="15" a="1"/>
  <c r="D6" i="15" s="1"/>
  <c r="D3" i="15" a="1"/>
  <c r="D3" i="15" s="1"/>
  <c r="AJ23" i="15" a="1"/>
  <c r="AJ23" i="15" s="1"/>
  <c r="AJ10" i="15" a="1"/>
  <c r="AJ10" i="15" s="1"/>
  <c r="AJ13" i="15" a="1"/>
  <c r="AJ13" i="15" s="1"/>
  <c r="AJ7" i="15" a="1"/>
  <c r="AJ7" i="15" s="1"/>
  <c r="AJ19" i="15" a="1"/>
  <c r="AJ19" i="15" s="1"/>
  <c r="AJ18" i="15" a="1"/>
  <c r="AJ18" i="15" s="1"/>
  <c r="AJ8" i="15" a="1"/>
  <c r="AJ8" i="15" s="1"/>
  <c r="AJ4" i="15" a="1"/>
  <c r="AJ4" i="15" s="1"/>
  <c r="AJ9" i="15" a="1"/>
  <c r="AJ9" i="15" s="1"/>
  <c r="AJ16" i="15" a="1"/>
  <c r="AJ16" i="15" s="1"/>
  <c r="AJ11" i="15" a="1"/>
  <c r="AJ11" i="15" s="1"/>
  <c r="AJ6" i="15" a="1"/>
  <c r="AJ6" i="15" s="1"/>
  <c r="AJ24" i="15" a="1"/>
  <c r="AJ24" i="15" s="1"/>
  <c r="AJ5" i="15" a="1"/>
  <c r="AJ5" i="15" s="1"/>
  <c r="AJ25" i="15" a="1"/>
  <c r="AJ25" i="15" s="1"/>
  <c r="AJ20" i="15" a="1"/>
  <c r="AJ20" i="15" s="1"/>
  <c r="AJ17" i="15" a="1"/>
  <c r="AJ17" i="15" s="1"/>
  <c r="AJ15" i="15" a="1"/>
  <c r="AJ15" i="15" s="1"/>
  <c r="AJ21" i="15" a="1"/>
  <c r="AJ21" i="15" s="1"/>
  <c r="AJ12" i="15" a="1"/>
  <c r="AJ12" i="15" s="1"/>
  <c r="AJ14" i="15" a="1"/>
  <c r="AJ14" i="15" s="1"/>
  <c r="AJ22" i="15" a="1"/>
  <c r="AJ22" i="15" s="1"/>
  <c r="AJ3" i="15" a="1"/>
  <c r="AJ3" i="15" s="1"/>
  <c r="P16" i="15" a="1"/>
  <c r="P16" i="15" s="1"/>
  <c r="P14" i="15" a="1"/>
  <c r="P14" i="15" s="1"/>
  <c r="P17" i="15" a="1"/>
  <c r="P17" i="15" s="1"/>
  <c r="P5" i="15" a="1"/>
  <c r="P5" i="15" s="1"/>
  <c r="P4" i="15" a="1"/>
  <c r="P4" i="15" s="1"/>
  <c r="P8" i="15" a="1"/>
  <c r="P8" i="15" s="1"/>
  <c r="P13" i="15" a="1"/>
  <c r="P13" i="15" s="1"/>
  <c r="P10" i="15" a="1"/>
  <c r="P10" i="15" s="1"/>
  <c r="P20" i="15" a="1"/>
  <c r="P20" i="15" s="1"/>
  <c r="P9" i="15" a="1"/>
  <c r="P9" i="15" s="1"/>
  <c r="P18" i="15" a="1"/>
  <c r="P18" i="15" s="1"/>
  <c r="P22" i="15" a="1"/>
  <c r="P22" i="15" s="1"/>
  <c r="P19" i="15" a="1"/>
  <c r="P19" i="15" s="1"/>
  <c r="P12" i="15" a="1"/>
  <c r="P12" i="15" s="1"/>
  <c r="P11" i="15" a="1"/>
  <c r="P11" i="15" s="1"/>
  <c r="P23" i="15" a="1"/>
  <c r="P23" i="15" s="1"/>
  <c r="P24" i="15" a="1"/>
  <c r="P24" i="15" s="1"/>
  <c r="P21" i="15" a="1"/>
  <c r="P21" i="15" s="1"/>
  <c r="P7" i="15" a="1"/>
  <c r="P7" i="15" s="1"/>
  <c r="P15" i="15" a="1"/>
  <c r="P15" i="15" s="1"/>
  <c r="P6" i="15" a="1"/>
  <c r="P6" i="15" s="1"/>
  <c r="P25" i="15" a="1"/>
  <c r="P25" i="15" s="1"/>
  <c r="P3" i="15" a="1"/>
  <c r="P3" i="15" s="1"/>
  <c r="AL25" i="15" a="1"/>
  <c r="AL25" i="15" s="1"/>
  <c r="AL5" i="15" a="1"/>
  <c r="AL5" i="15" s="1"/>
  <c r="AL4" i="15" a="1"/>
  <c r="AL4" i="15" s="1"/>
  <c r="AL7" i="15" a="1"/>
  <c r="AL7" i="15" s="1"/>
  <c r="AL22" i="15" a="1"/>
  <c r="AL22" i="15" s="1"/>
  <c r="AL12" i="15" a="1"/>
  <c r="AL12" i="15" s="1"/>
  <c r="AL13" i="15" a="1"/>
  <c r="AL13" i="15" s="1"/>
  <c r="AL15" i="15" a="1"/>
  <c r="AL15" i="15" s="1"/>
  <c r="AL24" i="15" a="1"/>
  <c r="AL24" i="15" s="1"/>
  <c r="AL20" i="15" a="1"/>
  <c r="AL20" i="15" s="1"/>
  <c r="AL17" i="15" a="1"/>
  <c r="AL17" i="15" s="1"/>
  <c r="AL9" i="15" a="1"/>
  <c r="AL9" i="15" s="1"/>
  <c r="AL18" i="15" a="1"/>
  <c r="AL18" i="15" s="1"/>
  <c r="AL23" i="15" a="1"/>
  <c r="AL23" i="15" s="1"/>
  <c r="AL8" i="15" a="1"/>
  <c r="AL8" i="15" s="1"/>
  <c r="AL10" i="15" a="1"/>
  <c r="AL10" i="15" s="1"/>
  <c r="AL19" i="15" a="1"/>
  <c r="AL19" i="15" s="1"/>
  <c r="AL6" i="15" a="1"/>
  <c r="AL6" i="15" s="1"/>
  <c r="AL16" i="15" a="1"/>
  <c r="AL16" i="15" s="1"/>
  <c r="AL11" i="15" a="1"/>
  <c r="AL11" i="15" s="1"/>
  <c r="AL21" i="15" a="1"/>
  <c r="AL21" i="15" s="1"/>
  <c r="AL14" i="15" a="1"/>
  <c r="AL14" i="15" s="1"/>
  <c r="AL3" i="15" a="1"/>
  <c r="AL3" i="15" s="1"/>
  <c r="Q23" i="15" a="1"/>
  <c r="Q23" i="15" s="1"/>
  <c r="Q10" i="15" a="1"/>
  <c r="Q10" i="15" s="1"/>
  <c r="Q15" i="15" a="1"/>
  <c r="Q15" i="15" s="1"/>
  <c r="Q7" i="15" a="1"/>
  <c r="Q7" i="15" s="1"/>
  <c r="Q24" i="15" a="1"/>
  <c r="Q24" i="15" s="1"/>
  <c r="Q19" i="15" a="1"/>
  <c r="Q19" i="15" s="1"/>
  <c r="Q21" i="15" a="1"/>
  <c r="Q21" i="15" s="1"/>
  <c r="Q16" i="15" a="1"/>
  <c r="Q16" i="15" s="1"/>
  <c r="Q12" i="15" a="1"/>
  <c r="Q12" i="15" s="1"/>
  <c r="Q22" i="15" a="1"/>
  <c r="Q22" i="15" s="1"/>
  <c r="Q17" i="15" a="1"/>
  <c r="Q17" i="15" s="1"/>
  <c r="Q13" i="15" a="1"/>
  <c r="Q13" i="15" s="1"/>
  <c r="Q5" i="15" a="1"/>
  <c r="Q5" i="15" s="1"/>
  <c r="Q4" i="15" a="1"/>
  <c r="Q4" i="15" s="1"/>
  <c r="Q18" i="15" a="1"/>
  <c r="Q18" i="15" s="1"/>
  <c r="Q9" i="15" a="1"/>
  <c r="Q9" i="15" s="1"/>
  <c r="Q25" i="15" a="1"/>
  <c r="Q25" i="15" s="1"/>
  <c r="Q14" i="15" a="1"/>
  <c r="Q14" i="15" s="1"/>
  <c r="Q11" i="15" a="1"/>
  <c r="Q11" i="15" s="1"/>
  <c r="Q6" i="15" a="1"/>
  <c r="Q6" i="15" s="1"/>
  <c r="Q20" i="15" a="1"/>
  <c r="Q20" i="15" s="1"/>
  <c r="Q8" i="15" a="1"/>
  <c r="Q8" i="15" s="1"/>
  <c r="Q3" i="15" a="1"/>
  <c r="Q3" i="15" s="1"/>
  <c r="AG7" i="15" a="1"/>
  <c r="AG7" i="15" s="1"/>
  <c r="AG24" i="15" a="1"/>
  <c r="AG24" i="15" s="1"/>
  <c r="AG19" i="15" a="1"/>
  <c r="AG19" i="15" s="1"/>
  <c r="AG20" i="15" a="1"/>
  <c r="AG20" i="15" s="1"/>
  <c r="AG11" i="15" a="1"/>
  <c r="AG11" i="15" s="1"/>
  <c r="AG15" i="15" a="1"/>
  <c r="AG15" i="15" s="1"/>
  <c r="AG25" i="15" a="1"/>
  <c r="AG25" i="15" s="1"/>
  <c r="AG21" i="15" a="1"/>
  <c r="AG21" i="15" s="1"/>
  <c r="AG12" i="15" a="1"/>
  <c r="AG12" i="15" s="1"/>
  <c r="AG9" i="15" a="1"/>
  <c r="AG9" i="15" s="1"/>
  <c r="AG17" i="15" a="1"/>
  <c r="AG17" i="15" s="1"/>
  <c r="AG8" i="15" a="1"/>
  <c r="AG8" i="15" s="1"/>
  <c r="AG22" i="15" a="1"/>
  <c r="AG22" i="15" s="1"/>
  <c r="AG23" i="15" a="1"/>
  <c r="AG23" i="15" s="1"/>
  <c r="AG18" i="15" a="1"/>
  <c r="AG18" i="15" s="1"/>
  <c r="AG5" i="15" a="1"/>
  <c r="AG5" i="15" s="1"/>
  <c r="AG14" i="15" a="1"/>
  <c r="AG14" i="15" s="1"/>
  <c r="AG6" i="15" a="1"/>
  <c r="AG6" i="15" s="1"/>
  <c r="AG16" i="15" a="1"/>
  <c r="AG16" i="15" s="1"/>
  <c r="AG4" i="15" a="1"/>
  <c r="AG4" i="15" s="1"/>
  <c r="AG10" i="15" a="1"/>
  <c r="AG10" i="15" s="1"/>
  <c r="AG13" i="15" a="1"/>
  <c r="AG13" i="15" s="1"/>
  <c r="AG3" i="15" a="1"/>
  <c r="AG3" i="15" s="1"/>
  <c r="R4" i="15" a="1"/>
  <c r="R4" i="15" s="1"/>
  <c r="R20" i="15" a="1"/>
  <c r="R20" i="15" s="1"/>
  <c r="R6" i="15" a="1"/>
  <c r="R6" i="15" s="1"/>
  <c r="R13" i="15" a="1"/>
  <c r="R13" i="15" s="1"/>
  <c r="R22" i="15" a="1"/>
  <c r="R22" i="15" s="1"/>
  <c r="R7" i="15" a="1"/>
  <c r="R7" i="15" s="1"/>
  <c r="R12" i="15" a="1"/>
  <c r="R12" i="15" s="1"/>
  <c r="R18" i="15" a="1"/>
  <c r="R18" i="15" s="1"/>
  <c r="R17" i="15" a="1"/>
  <c r="R17" i="15" s="1"/>
  <c r="R25" i="15" a="1"/>
  <c r="R25" i="15" s="1"/>
  <c r="R24" i="15" a="1"/>
  <c r="R24" i="15" s="1"/>
  <c r="R11" i="15" a="1"/>
  <c r="R11" i="15" s="1"/>
  <c r="R16" i="15" a="1"/>
  <c r="R16" i="15" s="1"/>
  <c r="R15" i="15" a="1"/>
  <c r="R15" i="15" s="1"/>
  <c r="R21" i="15" a="1"/>
  <c r="R21" i="15" s="1"/>
  <c r="R19" i="15" a="1"/>
  <c r="R19" i="15" s="1"/>
  <c r="R9" i="15" a="1"/>
  <c r="R9" i="15" s="1"/>
  <c r="R5" i="15" a="1"/>
  <c r="R5" i="15" s="1"/>
  <c r="R10" i="15" a="1"/>
  <c r="R10" i="15" s="1"/>
  <c r="R14" i="15" a="1"/>
  <c r="R14" i="15" s="1"/>
  <c r="R8" i="15" a="1"/>
  <c r="R8" i="15" s="1"/>
  <c r="R23" i="15" a="1"/>
  <c r="R23" i="15" s="1"/>
  <c r="R3" i="15" a="1"/>
  <c r="R3" i="15" s="1"/>
  <c r="AH22" i="15" a="1"/>
  <c r="AH22" i="15" s="1"/>
  <c r="AH23" i="15" a="1"/>
  <c r="AH23" i="15" s="1"/>
  <c r="AH25" i="15" a="1"/>
  <c r="AH25" i="15" s="1"/>
  <c r="AH15" i="15" a="1"/>
  <c r="AH15" i="15" s="1"/>
  <c r="AH6" i="15" a="1"/>
  <c r="AH6" i="15" s="1"/>
  <c r="AH24" i="15" a="1"/>
  <c r="AH24" i="15" s="1"/>
  <c r="AH7" i="15" a="1"/>
  <c r="AH7" i="15" s="1"/>
  <c r="AH10" i="15" a="1"/>
  <c r="AH10" i="15" s="1"/>
  <c r="AH19" i="15" a="1"/>
  <c r="AH19" i="15" s="1"/>
  <c r="AH14" i="15" a="1"/>
  <c r="AH14" i="15" s="1"/>
  <c r="AH9" i="15" a="1"/>
  <c r="AH9" i="15" s="1"/>
  <c r="AH4" i="15" a="1"/>
  <c r="AH4" i="15" s="1"/>
  <c r="AH8" i="15" a="1"/>
  <c r="AH8" i="15" s="1"/>
  <c r="AH20" i="15" a="1"/>
  <c r="AH20" i="15" s="1"/>
  <c r="AH16" i="15" a="1"/>
  <c r="AH16" i="15" s="1"/>
  <c r="AH18" i="15" a="1"/>
  <c r="AH18" i="15" s="1"/>
  <c r="AH17" i="15" a="1"/>
  <c r="AH17" i="15" s="1"/>
  <c r="AH5" i="15" a="1"/>
  <c r="AH5" i="15" s="1"/>
  <c r="AH21" i="15" a="1"/>
  <c r="AH21" i="15" s="1"/>
  <c r="AH12" i="15" a="1"/>
  <c r="AH12" i="15" s="1"/>
  <c r="AH13" i="15" a="1"/>
  <c r="AH13" i="15" s="1"/>
  <c r="AH11" i="15" a="1"/>
  <c r="AH11" i="15" s="1"/>
  <c r="AH3" i="15" a="1"/>
  <c r="AH3" i="15" s="1"/>
  <c r="J4" i="15" a="1"/>
  <c r="J4" i="15" s="1"/>
  <c r="J7" i="15" a="1"/>
  <c r="J7" i="15" s="1"/>
  <c r="J20" i="15" a="1"/>
  <c r="J20" i="15" s="1"/>
  <c r="J5" i="15" a="1"/>
  <c r="J5" i="15" s="1"/>
  <c r="J12" i="15" a="1"/>
  <c r="J12" i="15" s="1"/>
  <c r="J19" i="15" a="1"/>
  <c r="J19" i="15" s="1"/>
  <c r="J18" i="15" a="1"/>
  <c r="J18" i="15" s="1"/>
  <c r="J16" i="15" a="1"/>
  <c r="J16" i="15" s="1"/>
  <c r="J6" i="15" a="1"/>
  <c r="J6" i="15" s="1"/>
  <c r="J15" i="15" a="1"/>
  <c r="J15" i="15" s="1"/>
  <c r="J24" i="15" a="1"/>
  <c r="J24" i="15" s="1"/>
  <c r="J21" i="15" a="1"/>
  <c r="J21" i="15" s="1"/>
  <c r="J23" i="15" a="1"/>
  <c r="J23" i="15" s="1"/>
  <c r="J13" i="15" a="1"/>
  <c r="J13" i="15" s="1"/>
  <c r="J22" i="15" a="1"/>
  <c r="J22" i="15" s="1"/>
  <c r="J9" i="15" a="1"/>
  <c r="J9" i="15" s="1"/>
  <c r="J25" i="15" a="1"/>
  <c r="J25" i="15" s="1"/>
  <c r="J17" i="15" a="1"/>
  <c r="J17" i="15" s="1"/>
  <c r="J10" i="15" a="1"/>
  <c r="J10" i="15" s="1"/>
  <c r="J14" i="15" a="1"/>
  <c r="J14" i="15" s="1"/>
  <c r="J8" i="15" a="1"/>
  <c r="J8" i="15" s="1"/>
  <c r="J11" i="15" a="1"/>
  <c r="J11" i="15" s="1"/>
  <c r="J3" i="15" a="1"/>
  <c r="J3" i="15" s="1"/>
  <c r="Z4" i="15" a="1"/>
  <c r="Z4" i="15" s="1"/>
  <c r="Z10" i="15" a="1"/>
  <c r="Z10" i="15" s="1"/>
  <c r="Z15" i="15" a="1"/>
  <c r="Z15" i="15" s="1"/>
  <c r="Z9" i="15" a="1"/>
  <c r="Z9" i="15" s="1"/>
  <c r="Z18" i="15" a="1"/>
  <c r="Z18" i="15" s="1"/>
  <c r="Z21" i="15" a="1"/>
  <c r="Z21" i="15" s="1"/>
  <c r="Z12" i="15" a="1"/>
  <c r="Z12" i="15" s="1"/>
  <c r="Z25" i="15" a="1"/>
  <c r="Z25" i="15" s="1"/>
  <c r="Z23" i="15" a="1"/>
  <c r="Z23" i="15" s="1"/>
  <c r="Z19" i="15" a="1"/>
  <c r="Z19" i="15" s="1"/>
  <c r="Z6" i="15" a="1"/>
  <c r="Z6" i="15" s="1"/>
  <c r="Z8" i="15" a="1"/>
  <c r="Z8" i="15" s="1"/>
  <c r="Z17" i="15" a="1"/>
  <c r="Z17" i="15" s="1"/>
  <c r="Z13" i="15" a="1"/>
  <c r="Z13" i="15" s="1"/>
  <c r="Z22" i="15" a="1"/>
  <c r="Z22" i="15" s="1"/>
  <c r="Z5" i="15" a="1"/>
  <c r="Z5" i="15" s="1"/>
  <c r="Z20" i="15" a="1"/>
  <c r="Z20" i="15" s="1"/>
  <c r="Z24" i="15" a="1"/>
  <c r="Z24" i="15" s="1"/>
  <c r="Z11" i="15" a="1"/>
  <c r="Z11" i="15" s="1"/>
  <c r="Z16" i="15" a="1"/>
  <c r="Z16" i="15" s="1"/>
  <c r="Z14" i="15" a="1"/>
  <c r="Z14" i="15" s="1"/>
  <c r="Z7" i="15" a="1"/>
  <c r="Z7" i="15" s="1"/>
  <c r="Z3" i="15" a="1"/>
  <c r="Z3" i="15" s="1"/>
  <c r="AI4" i="15" a="1"/>
  <c r="AI4" i="15" s="1"/>
  <c r="AI23" i="15" a="1"/>
  <c r="AI23" i="15" s="1"/>
  <c r="AI9" i="15" a="1"/>
  <c r="AI9" i="15" s="1"/>
  <c r="AI6" i="15" a="1"/>
  <c r="AI6" i="15" s="1"/>
  <c r="AI11" i="15" a="1"/>
  <c r="AI11" i="15" s="1"/>
  <c r="AI12" i="15" a="1"/>
  <c r="AI12" i="15" s="1"/>
  <c r="AI7" i="15" a="1"/>
  <c r="AI7" i="15" s="1"/>
  <c r="AI21" i="15" a="1"/>
  <c r="AI21" i="15" s="1"/>
  <c r="AI24" i="15" a="1"/>
  <c r="AI24" i="15" s="1"/>
  <c r="AI10" i="15" a="1"/>
  <c r="AI10" i="15" s="1"/>
  <c r="AI18" i="15" a="1"/>
  <c r="AI18" i="15" s="1"/>
  <c r="AI22" i="15" a="1"/>
  <c r="AI22" i="15" s="1"/>
  <c r="AI16" i="15" a="1"/>
  <c r="AI16" i="15" s="1"/>
  <c r="AI19" i="15" a="1"/>
  <c r="AI19" i="15" s="1"/>
  <c r="AI8" i="15" a="1"/>
  <c r="AI8" i="15" s="1"/>
  <c r="AI13" i="15" a="1"/>
  <c r="AI13" i="15" s="1"/>
  <c r="AI17" i="15" a="1"/>
  <c r="AI17" i="15" s="1"/>
  <c r="AI5" i="15" a="1"/>
  <c r="AI5" i="15" s="1"/>
  <c r="AI15" i="15" a="1"/>
  <c r="AI15" i="15" s="1"/>
  <c r="AI14" i="15" a="1"/>
  <c r="AI14" i="15" s="1"/>
  <c r="AI25" i="15" a="1"/>
  <c r="AI25" i="15" s="1"/>
  <c r="AI20" i="15" a="1"/>
  <c r="AI20" i="15" s="1"/>
  <c r="AI3" i="15" a="1"/>
  <c r="AI3" i="15" s="1"/>
  <c r="AA6" i="15" a="1"/>
  <c r="AA6" i="15" s="1"/>
  <c r="AA8" i="15" a="1"/>
  <c r="AA8" i="15" s="1"/>
  <c r="AA4" i="15" a="1"/>
  <c r="AA4" i="15" s="1"/>
  <c r="AA13" i="15" a="1"/>
  <c r="AA13" i="15" s="1"/>
  <c r="AA22" i="15" a="1"/>
  <c r="AA22" i="15" s="1"/>
  <c r="AA14" i="15" a="1"/>
  <c r="AA14" i="15" s="1"/>
  <c r="AA12" i="15" a="1"/>
  <c r="AA12" i="15" s="1"/>
  <c r="AA7" i="15" a="1"/>
  <c r="AA7" i="15" s="1"/>
  <c r="AA24" i="15" a="1"/>
  <c r="AA24" i="15" s="1"/>
  <c r="AA15" i="15" a="1"/>
  <c r="AA15" i="15" s="1"/>
  <c r="AA10" i="15" a="1"/>
  <c r="AA10" i="15" s="1"/>
  <c r="AA17" i="15" a="1"/>
  <c r="AA17" i="15" s="1"/>
  <c r="AA21" i="15" a="1"/>
  <c r="AA21" i="15" s="1"/>
  <c r="AA16" i="15" a="1"/>
  <c r="AA16" i="15" s="1"/>
  <c r="AA5" i="15" a="1"/>
  <c r="AA5" i="15" s="1"/>
  <c r="AA20" i="15" a="1"/>
  <c r="AA20" i="15" s="1"/>
  <c r="AA9" i="15" a="1"/>
  <c r="AA9" i="15" s="1"/>
  <c r="AA23" i="15" a="1"/>
  <c r="AA23" i="15" s="1"/>
  <c r="AA19" i="15" a="1"/>
  <c r="AA19" i="15" s="1"/>
  <c r="AA18" i="15" a="1"/>
  <c r="AA18" i="15" s="1"/>
  <c r="AA11" i="15" a="1"/>
  <c r="AA11" i="15" s="1"/>
  <c r="AA25" i="15" a="1"/>
  <c r="AA25" i="15" s="1"/>
  <c r="AA3" i="15" a="1"/>
  <c r="AA3" i="15" s="1"/>
  <c r="T12" i="15" a="1"/>
  <c r="T12" i="15" s="1"/>
  <c r="T4" i="15" a="1"/>
  <c r="T4" i="15" s="1"/>
  <c r="T17" i="15" a="1"/>
  <c r="T17" i="15" s="1"/>
  <c r="T24" i="15" a="1"/>
  <c r="T24" i="15" s="1"/>
  <c r="T16" i="15" a="1"/>
  <c r="T16" i="15" s="1"/>
  <c r="T8" i="15" a="1"/>
  <c r="T8" i="15" s="1"/>
  <c r="T22" i="15" a="1"/>
  <c r="T22" i="15" s="1"/>
  <c r="T21" i="15" a="1"/>
  <c r="T21" i="15" s="1"/>
  <c r="T19" i="15" a="1"/>
  <c r="T19" i="15" s="1"/>
  <c r="T15" i="15" a="1"/>
  <c r="T15" i="15" s="1"/>
  <c r="T10" i="15" a="1"/>
  <c r="T10" i="15" s="1"/>
  <c r="T18" i="15" a="1"/>
  <c r="T18" i="15" s="1"/>
  <c r="T20" i="15" a="1"/>
  <c r="T20" i="15" s="1"/>
  <c r="T6" i="15" a="1"/>
  <c r="T6" i="15" s="1"/>
  <c r="T11" i="15" a="1"/>
  <c r="T11" i="15" s="1"/>
  <c r="T14" i="15" a="1"/>
  <c r="T14" i="15" s="1"/>
  <c r="T25" i="15" a="1"/>
  <c r="T25" i="15" s="1"/>
  <c r="T23" i="15" a="1"/>
  <c r="T23" i="15" s="1"/>
  <c r="T5" i="15" a="1"/>
  <c r="T5" i="15" s="1"/>
  <c r="T7" i="15" a="1"/>
  <c r="T7" i="15" s="1"/>
  <c r="T13" i="15" a="1"/>
  <c r="T13" i="15" s="1"/>
  <c r="T9" i="15" a="1"/>
  <c r="T9" i="15" s="1"/>
  <c r="T3" i="15" a="1"/>
  <c r="T3" i="15" s="1"/>
  <c r="L4" i="15" a="1"/>
  <c r="L4" i="15" s="1"/>
  <c r="L24" i="15" a="1"/>
  <c r="L24" i="15" s="1"/>
  <c r="L23" i="15" a="1"/>
  <c r="L23" i="15" s="1"/>
  <c r="L6" i="15" a="1"/>
  <c r="L6" i="15" s="1"/>
  <c r="L7" i="15" a="1"/>
  <c r="L7" i="15" s="1"/>
  <c r="L15" i="15" a="1"/>
  <c r="L15" i="15" s="1"/>
  <c r="L22" i="15" a="1"/>
  <c r="L22" i="15" s="1"/>
  <c r="L21" i="15" a="1"/>
  <c r="L21" i="15" s="1"/>
  <c r="L11" i="15" a="1"/>
  <c r="L11" i="15" s="1"/>
  <c r="L13" i="15" a="1"/>
  <c r="L13" i="15" s="1"/>
  <c r="L19" i="15" a="1"/>
  <c r="L19" i="15" s="1"/>
  <c r="L20" i="15" a="1"/>
  <c r="L20" i="15" s="1"/>
  <c r="L16" i="15" a="1"/>
  <c r="L16" i="15" s="1"/>
  <c r="L25" i="15" a="1"/>
  <c r="L25" i="15" s="1"/>
  <c r="L12" i="15" a="1"/>
  <c r="L12" i="15" s="1"/>
  <c r="L9" i="15" a="1"/>
  <c r="L9" i="15" s="1"/>
  <c r="L8" i="15" a="1"/>
  <c r="L8" i="15" s="1"/>
  <c r="L5" i="15" a="1"/>
  <c r="L5" i="15" s="1"/>
  <c r="L14" i="15" a="1"/>
  <c r="L14" i="15" s="1"/>
  <c r="L18" i="15" a="1"/>
  <c r="L18" i="15" s="1"/>
  <c r="L10" i="15" a="1"/>
  <c r="L10" i="15" s="1"/>
  <c r="L17" i="15" a="1"/>
  <c r="L17" i="15" s="1"/>
  <c r="L3" i="15" a="1"/>
  <c r="L3" i="15" s="1"/>
  <c r="AB23" i="15" a="1"/>
  <c r="AB23" i="15" s="1"/>
  <c r="AB7" i="15" a="1"/>
  <c r="AB7" i="15" s="1"/>
  <c r="AB19" i="15" a="1"/>
  <c r="AB19" i="15" s="1"/>
  <c r="AB13" i="15" a="1"/>
  <c r="AB13" i="15" s="1"/>
  <c r="AB24" i="15" a="1"/>
  <c r="AB24" i="15" s="1"/>
  <c r="AB4" i="15" a="1"/>
  <c r="AB4" i="15" s="1"/>
  <c r="AB9" i="15" a="1"/>
  <c r="AB9" i="15" s="1"/>
  <c r="AB15" i="15" a="1"/>
  <c r="AB15" i="15" s="1"/>
  <c r="AB11" i="15" a="1"/>
  <c r="AB11" i="15" s="1"/>
  <c r="AB21" i="15" a="1"/>
  <c r="AB21" i="15" s="1"/>
  <c r="AB17" i="15" a="1"/>
  <c r="AB17" i="15" s="1"/>
  <c r="AB10" i="15" a="1"/>
  <c r="AB10" i="15" s="1"/>
  <c r="AB14" i="15" a="1"/>
  <c r="AB14" i="15" s="1"/>
  <c r="AB16" i="15" a="1"/>
  <c r="AB16" i="15" s="1"/>
  <c r="AB20" i="15" a="1"/>
  <c r="AB20" i="15" s="1"/>
  <c r="AB12" i="15" a="1"/>
  <c r="AB12" i="15" s="1"/>
  <c r="AB18" i="15" a="1"/>
  <c r="AB18" i="15" s="1"/>
  <c r="AB25" i="15" a="1"/>
  <c r="AB25" i="15" s="1"/>
  <c r="AB5" i="15" a="1"/>
  <c r="AB5" i="15" s="1"/>
  <c r="AB6" i="15" a="1"/>
  <c r="AB6" i="15" s="1"/>
  <c r="AB22" i="15" a="1"/>
  <c r="AB22" i="15" s="1"/>
  <c r="AB8" i="15" a="1"/>
  <c r="AB8" i="15" s="1"/>
  <c r="AB3" i="15" a="1"/>
  <c r="AB3" i="15" s="1"/>
  <c r="G12" i="15" a="1"/>
  <c r="G12" i="15" s="1"/>
  <c r="G21" i="15" a="1"/>
  <c r="G21" i="15" s="1"/>
  <c r="G10" i="15" a="1"/>
  <c r="G10" i="15" s="1"/>
  <c r="G16" i="15" a="1"/>
  <c r="G16" i="15" s="1"/>
  <c r="G15" i="15" a="1"/>
  <c r="G15" i="15" s="1"/>
  <c r="G14" i="15" a="1"/>
  <c r="G14" i="15" s="1"/>
  <c r="G5" i="15" a="1"/>
  <c r="G5" i="15" s="1"/>
  <c r="G11" i="15" a="1"/>
  <c r="G11" i="15" s="1"/>
  <c r="G8" i="15" a="1"/>
  <c r="G8" i="15" s="1"/>
  <c r="G18" i="15" a="1"/>
  <c r="G18" i="15" s="1"/>
  <c r="G20" i="15" a="1"/>
  <c r="G20" i="15" s="1"/>
  <c r="G23" i="15" a="1"/>
  <c r="G23" i="15" s="1"/>
  <c r="G6" i="15" a="1"/>
  <c r="G6" i="15" s="1"/>
  <c r="G7" i="15" a="1"/>
  <c r="G7" i="15" s="1"/>
  <c r="G24" i="15" a="1"/>
  <c r="G24" i="15" s="1"/>
  <c r="G22" i="15" a="1"/>
  <c r="G22" i="15" s="1"/>
  <c r="G17" i="15" a="1"/>
  <c r="G17" i="15" s="1"/>
  <c r="G19" i="15" a="1"/>
  <c r="G19" i="15" s="1"/>
  <c r="G9" i="15" a="1"/>
  <c r="G9" i="15" s="1"/>
  <c r="G25" i="15" a="1"/>
  <c r="G25" i="15" s="1"/>
  <c r="G13" i="15" a="1"/>
  <c r="G13" i="15" s="1"/>
  <c r="G4" i="15" a="1"/>
  <c r="G4" i="15" s="1"/>
  <c r="G3" i="15" a="1"/>
  <c r="G3" i="15" s="1"/>
  <c r="E22" i="15" a="1"/>
  <c r="E22" i="15" s="1"/>
  <c r="E21" i="15" a="1"/>
  <c r="E21" i="15" s="1"/>
  <c r="E5" i="15" a="1"/>
  <c r="E5" i="15" s="1"/>
  <c r="E14" i="15" a="1"/>
  <c r="E14" i="15" s="1"/>
  <c r="E18" i="15" a="1"/>
  <c r="E18" i="15" s="1"/>
  <c r="E20" i="15" a="1"/>
  <c r="E20" i="15" s="1"/>
  <c r="E16" i="15" a="1"/>
  <c r="E16" i="15" s="1"/>
  <c r="E6" i="15" a="1"/>
  <c r="E6" i="15" s="1"/>
  <c r="E13" i="15" a="1"/>
  <c r="E13" i="15" s="1"/>
  <c r="E4" i="15" a="1"/>
  <c r="E4" i="15" s="1"/>
  <c r="E8" i="15" a="1"/>
  <c r="E8" i="15" s="1"/>
  <c r="E23" i="15" a="1"/>
  <c r="E23" i="15" s="1"/>
  <c r="E10" i="15" a="1"/>
  <c r="E10" i="15" s="1"/>
  <c r="E15" i="15" a="1"/>
  <c r="E15" i="15" s="1"/>
  <c r="E11" i="15" a="1"/>
  <c r="E11" i="15" s="1"/>
  <c r="E12" i="15" a="1"/>
  <c r="E12" i="15" s="1"/>
  <c r="E9" i="15" a="1"/>
  <c r="E9" i="15" s="1"/>
  <c r="E7" i="15" a="1"/>
  <c r="E7" i="15" s="1"/>
  <c r="E25" i="15" a="1"/>
  <c r="E25" i="15" s="1"/>
  <c r="E19" i="15" a="1"/>
  <c r="E19" i="15" s="1"/>
  <c r="E24" i="15" a="1"/>
  <c r="E24" i="15" s="1"/>
  <c r="E17" i="15" a="1"/>
  <c r="E17" i="15" s="1"/>
  <c r="E3" i="15" a="1"/>
  <c r="E3" i="15" s="1"/>
  <c r="M21" i="15" a="1"/>
  <c r="M21" i="15" s="1"/>
  <c r="M16" i="15" a="1"/>
  <c r="M16" i="15" s="1"/>
  <c r="M17" i="15" a="1"/>
  <c r="M17" i="15" s="1"/>
  <c r="M8" i="15" a="1"/>
  <c r="M8" i="15" s="1"/>
  <c r="M9" i="15" a="1"/>
  <c r="M9" i="15" s="1"/>
  <c r="M22" i="15" a="1"/>
  <c r="M22" i="15" s="1"/>
  <c r="M18" i="15" a="1"/>
  <c r="M18" i="15" s="1"/>
  <c r="M19" i="15" a="1"/>
  <c r="M19" i="15" s="1"/>
  <c r="M14" i="15" a="1"/>
  <c r="M14" i="15" s="1"/>
  <c r="M5" i="15" a="1"/>
  <c r="M5" i="15" s="1"/>
  <c r="M15" i="15" a="1"/>
  <c r="M15" i="15" s="1"/>
  <c r="M6" i="15" a="1"/>
  <c r="M6" i="15" s="1"/>
  <c r="M11" i="15" a="1"/>
  <c r="M11" i="15" s="1"/>
  <c r="M10" i="15" a="1"/>
  <c r="M10" i="15" s="1"/>
  <c r="M25" i="15" a="1"/>
  <c r="M25" i="15" s="1"/>
  <c r="M24" i="15" a="1"/>
  <c r="M24" i="15" s="1"/>
  <c r="M13" i="15" a="1"/>
  <c r="M13" i="15" s="1"/>
  <c r="M20" i="15" a="1"/>
  <c r="M20" i="15" s="1"/>
  <c r="M23" i="15" a="1"/>
  <c r="M23" i="15" s="1"/>
  <c r="M12" i="15" a="1"/>
  <c r="M12" i="15" s="1"/>
  <c r="M7" i="15" a="1"/>
  <c r="M7" i="15" s="1"/>
  <c r="M4" i="15" a="1"/>
  <c r="M4" i="15" s="1"/>
  <c r="M3" i="15" a="1"/>
  <c r="M3" i="15" s="1"/>
  <c r="O18" i="15" a="1"/>
  <c r="O18" i="15" s="1"/>
  <c r="O15" i="15" a="1"/>
  <c r="O15" i="15" s="1"/>
  <c r="O17" i="15" a="1"/>
  <c r="O17" i="15" s="1"/>
  <c r="O9" i="15" a="1"/>
  <c r="O9" i="15" s="1"/>
  <c r="O5" i="15" a="1"/>
  <c r="O5" i="15" s="1"/>
  <c r="O4" i="15" a="1"/>
  <c r="O4" i="15" s="1"/>
  <c r="O6" i="15" a="1"/>
  <c r="O6" i="15" s="1"/>
  <c r="O20" i="15" a="1"/>
  <c r="O20" i="15" s="1"/>
  <c r="O14" i="15" a="1"/>
  <c r="O14" i="15" s="1"/>
  <c r="O12" i="15" a="1"/>
  <c r="O12" i="15" s="1"/>
  <c r="O19" i="15" a="1"/>
  <c r="O19" i="15" s="1"/>
  <c r="O23" i="15" a="1"/>
  <c r="O23" i="15" s="1"/>
  <c r="O16" i="15" a="1"/>
  <c r="O16" i="15" s="1"/>
  <c r="O22" i="15" a="1"/>
  <c r="O22" i="15" s="1"/>
  <c r="O25" i="15" a="1"/>
  <c r="O25" i="15" s="1"/>
  <c r="O11" i="15" a="1"/>
  <c r="O11" i="15" s="1"/>
  <c r="O24" i="15" a="1"/>
  <c r="O24" i="15" s="1"/>
  <c r="O7" i="15" a="1"/>
  <c r="O7" i="15" s="1"/>
  <c r="O8" i="15" a="1"/>
  <c r="O8" i="15" s="1"/>
  <c r="O10" i="15" a="1"/>
  <c r="O10" i="15" s="1"/>
  <c r="O13" i="15" a="1"/>
  <c r="O13" i="15" s="1"/>
  <c r="O21" i="15" a="1"/>
  <c r="O21" i="15" s="1"/>
  <c r="O3" i="15" a="1"/>
  <c r="O3" i="15" s="1"/>
  <c r="U24" i="15" a="1"/>
  <c r="U24" i="15" s="1"/>
  <c r="U17" i="15" a="1"/>
  <c r="U17" i="15" s="1"/>
  <c r="U14" i="15" a="1"/>
  <c r="U14" i="15" s="1"/>
  <c r="U9" i="15" a="1"/>
  <c r="U9" i="15" s="1"/>
  <c r="U22" i="15" a="1"/>
  <c r="U22" i="15" s="1"/>
  <c r="U23" i="15" a="1"/>
  <c r="U23" i="15" s="1"/>
  <c r="U4" i="15" a="1"/>
  <c r="U4" i="15" s="1"/>
  <c r="U19" i="15" a="1"/>
  <c r="U19" i="15" s="1"/>
  <c r="U8" i="15" a="1"/>
  <c r="U8" i="15" s="1"/>
  <c r="U5" i="15" a="1"/>
  <c r="U5" i="15" s="1"/>
  <c r="U11" i="15" a="1"/>
  <c r="U11" i="15" s="1"/>
  <c r="U25" i="15" a="1"/>
  <c r="U25" i="15" s="1"/>
  <c r="U7" i="15" a="1"/>
  <c r="U7" i="15" s="1"/>
  <c r="U18" i="15" a="1"/>
  <c r="U18" i="15" s="1"/>
  <c r="U15" i="15" a="1"/>
  <c r="U15" i="15" s="1"/>
  <c r="U20" i="15" a="1"/>
  <c r="U20" i="15" s="1"/>
  <c r="U21" i="15" a="1"/>
  <c r="U21" i="15" s="1"/>
  <c r="U10" i="15" a="1"/>
  <c r="U10" i="15" s="1"/>
  <c r="U6" i="15" a="1"/>
  <c r="U6" i="15" s="1"/>
  <c r="U13" i="15" a="1"/>
  <c r="U13" i="15" s="1"/>
  <c r="U12" i="15" a="1"/>
  <c r="U12" i="15" s="1"/>
  <c r="U16" i="15" a="1"/>
  <c r="U16" i="15" s="1"/>
  <c r="U3" i="15" a="1"/>
  <c r="U3" i="15" s="1"/>
  <c r="AC5" i="15" a="1"/>
  <c r="AC5" i="15" s="1"/>
  <c r="AC17" i="15" a="1"/>
  <c r="AC17" i="15" s="1"/>
  <c r="AC13" i="15" a="1"/>
  <c r="AC13" i="15" s="1"/>
  <c r="AC23" i="15" a="1"/>
  <c r="AC23" i="15" s="1"/>
  <c r="AC16" i="15" a="1"/>
  <c r="AC16" i="15" s="1"/>
  <c r="AC4" i="15" a="1"/>
  <c r="AC4" i="15" s="1"/>
  <c r="AC15" i="15" a="1"/>
  <c r="AC15" i="15" s="1"/>
  <c r="AC6" i="15" a="1"/>
  <c r="AC6" i="15" s="1"/>
  <c r="AC14" i="15" a="1"/>
  <c r="AC14" i="15" s="1"/>
  <c r="AC11" i="15" a="1"/>
  <c r="AC11" i="15" s="1"/>
  <c r="AC25" i="15" a="1"/>
  <c r="AC25" i="15" s="1"/>
  <c r="AC20" i="15" a="1"/>
  <c r="AC20" i="15" s="1"/>
  <c r="AC8" i="15" a="1"/>
  <c r="AC8" i="15" s="1"/>
  <c r="AC7" i="15" a="1"/>
  <c r="AC7" i="15" s="1"/>
  <c r="AC21" i="15" a="1"/>
  <c r="AC21" i="15" s="1"/>
  <c r="AC22" i="15" a="1"/>
  <c r="AC22" i="15" s="1"/>
  <c r="AC18" i="15" a="1"/>
  <c r="AC18" i="15" s="1"/>
  <c r="AC24" i="15" a="1"/>
  <c r="AC24" i="15" s="1"/>
  <c r="AC10" i="15" a="1"/>
  <c r="AC10" i="15" s="1"/>
  <c r="AC9" i="15" a="1"/>
  <c r="AC9" i="15" s="1"/>
  <c r="AC19" i="15" a="1"/>
  <c r="AC19" i="15" s="1"/>
  <c r="AC12" i="15" a="1"/>
  <c r="AC12" i="15" s="1"/>
  <c r="AC3" i="15" a="1"/>
  <c r="AC3" i="15" s="1"/>
  <c r="W11" i="15" a="1"/>
  <c r="W11" i="15" s="1"/>
  <c r="W21" i="15" a="1"/>
  <c r="W21" i="15" s="1"/>
  <c r="W8" i="15" a="1"/>
  <c r="W8" i="15" s="1"/>
  <c r="W13" i="15" a="1"/>
  <c r="W13" i="15" s="1"/>
  <c r="W16" i="15" a="1"/>
  <c r="W16" i="15" s="1"/>
  <c r="W24" i="15" a="1"/>
  <c r="W24" i="15" s="1"/>
  <c r="W20" i="15" a="1"/>
  <c r="W20" i="15" s="1"/>
  <c r="W25" i="15" a="1"/>
  <c r="W25" i="15" s="1"/>
  <c r="W10" i="15" a="1"/>
  <c r="W10" i="15" s="1"/>
  <c r="W5" i="15" a="1"/>
  <c r="W5" i="15" s="1"/>
  <c r="W6" i="15" a="1"/>
  <c r="W6" i="15" s="1"/>
  <c r="W14" i="15" a="1"/>
  <c r="W14" i="15" s="1"/>
  <c r="W22" i="15" a="1"/>
  <c r="W22" i="15" s="1"/>
  <c r="W23" i="15" a="1"/>
  <c r="W23" i="15" s="1"/>
  <c r="W19" i="15" a="1"/>
  <c r="W19" i="15" s="1"/>
  <c r="W7" i="15" a="1"/>
  <c r="W7" i="15" s="1"/>
  <c r="W18" i="15" a="1"/>
  <c r="W18" i="15" s="1"/>
  <c r="W15" i="15" a="1"/>
  <c r="W15" i="15" s="1"/>
  <c r="W4" i="15" a="1"/>
  <c r="W4" i="15" s="1"/>
  <c r="W17" i="15" a="1"/>
  <c r="W17" i="15" s="1"/>
  <c r="W9" i="15" a="1"/>
  <c r="W9" i="15" s="1"/>
  <c r="W12" i="15" a="1"/>
  <c r="W12" i="15" s="1"/>
  <c r="W3" i="15" a="1"/>
  <c r="W3" i="15" s="1"/>
  <c r="AK12" i="15" a="1"/>
  <c r="AK12" i="15" s="1"/>
  <c r="AK13" i="15" a="1"/>
  <c r="AK13" i="15" s="1"/>
  <c r="AK22" i="15" a="1"/>
  <c r="AK22" i="15" s="1"/>
  <c r="AK6" i="15" a="1"/>
  <c r="AK6" i="15" s="1"/>
  <c r="AK10" i="15" a="1"/>
  <c r="AK10" i="15" s="1"/>
  <c r="AK19" i="15" a="1"/>
  <c r="AK19" i="15" s="1"/>
  <c r="AK24" i="15" a="1"/>
  <c r="AK24" i="15" s="1"/>
  <c r="AK15" i="15" a="1"/>
  <c r="AK15" i="15" s="1"/>
  <c r="AK25" i="15" a="1"/>
  <c r="AK25" i="15" s="1"/>
  <c r="AK7" i="15" a="1"/>
  <c r="AK7" i="15" s="1"/>
  <c r="AK14" i="15" a="1"/>
  <c r="AK14" i="15" s="1"/>
  <c r="AK21" i="15" a="1"/>
  <c r="AK21" i="15" s="1"/>
  <c r="AK20" i="15" a="1"/>
  <c r="AK20" i="15" s="1"/>
  <c r="AK5" i="15" a="1"/>
  <c r="AK5" i="15" s="1"/>
  <c r="AK8" i="15" a="1"/>
  <c r="AK8" i="15" s="1"/>
  <c r="AK23" i="15" a="1"/>
  <c r="AK23" i="15" s="1"/>
  <c r="AK11" i="15" a="1"/>
  <c r="AK11" i="15" s="1"/>
  <c r="AK9" i="15" a="1"/>
  <c r="AK9" i="15" s="1"/>
  <c r="AK4" i="15" a="1"/>
  <c r="AK4" i="15" s="1"/>
  <c r="AK18" i="15" a="1"/>
  <c r="AK18" i="15" s="1"/>
  <c r="AK17" i="15" a="1"/>
  <c r="AK17" i="15" s="1"/>
  <c r="AK16" i="15" a="1"/>
  <c r="AK16" i="15" s="1"/>
  <c r="AK3" i="15" a="1"/>
  <c r="AK3" i="15" s="1"/>
  <c r="N9" i="15" a="1"/>
  <c r="N9" i="15" s="1"/>
  <c r="N24" i="15" a="1"/>
  <c r="N24" i="15" s="1"/>
  <c r="N20" i="15" a="1"/>
  <c r="N20" i="15" s="1"/>
  <c r="N23" i="15" a="1"/>
  <c r="N23" i="15" s="1"/>
  <c r="N12" i="15" a="1"/>
  <c r="N12" i="15" s="1"/>
  <c r="N16" i="15" a="1"/>
  <c r="N16" i="15" s="1"/>
  <c r="N14" i="15" a="1"/>
  <c r="N14" i="15" s="1"/>
  <c r="N15" i="15" a="1"/>
  <c r="N15" i="15" s="1"/>
  <c r="N6" i="15" a="1"/>
  <c r="N6" i="15" s="1"/>
  <c r="N11" i="15" a="1"/>
  <c r="N11" i="15" s="1"/>
  <c r="N7" i="15" a="1"/>
  <c r="N7" i="15" s="1"/>
  <c r="N18" i="15" a="1"/>
  <c r="N18" i="15" s="1"/>
  <c r="N5" i="15" a="1"/>
  <c r="N5" i="15" s="1"/>
  <c r="N4" i="15" a="1"/>
  <c r="N4" i="15" s="1"/>
  <c r="N25" i="15" a="1"/>
  <c r="N25" i="15" s="1"/>
  <c r="N21" i="15" a="1"/>
  <c r="N21" i="15" s="1"/>
  <c r="N22" i="15" a="1"/>
  <c r="N22" i="15" s="1"/>
  <c r="N10" i="15" a="1"/>
  <c r="N10" i="15" s="1"/>
  <c r="N8" i="15" a="1"/>
  <c r="N8" i="15" s="1"/>
  <c r="N19" i="15" a="1"/>
  <c r="N19" i="15" s="1"/>
  <c r="N13" i="15" a="1"/>
  <c r="N13" i="15" s="1"/>
  <c r="N17" i="15" a="1"/>
  <c r="N17" i="15" s="1"/>
  <c r="N3" i="15" a="1"/>
  <c r="N3" i="15" s="1"/>
  <c r="AE23" i="15" a="1"/>
  <c r="AE23" i="15" s="1"/>
  <c r="AE4" i="15" a="1"/>
  <c r="AE4" i="15" s="1"/>
  <c r="AE21" i="15" a="1"/>
  <c r="AE21" i="15" s="1"/>
  <c r="AE17" i="15" a="1"/>
  <c r="AE17" i="15" s="1"/>
  <c r="AE12" i="15" a="1"/>
  <c r="AE12" i="15" s="1"/>
  <c r="AE6" i="15" a="1"/>
  <c r="AE6" i="15" s="1"/>
  <c r="AE20" i="15" a="1"/>
  <c r="AE20" i="15" s="1"/>
  <c r="AE11" i="15" a="1"/>
  <c r="AE11" i="15" s="1"/>
  <c r="AE19" i="15" a="1"/>
  <c r="AE19" i="15" s="1"/>
  <c r="AE16" i="15" a="1"/>
  <c r="AE16" i="15" s="1"/>
  <c r="AE25" i="15" a="1"/>
  <c r="AE25" i="15" s="1"/>
  <c r="AE18" i="15" a="1"/>
  <c r="AE18" i="15" s="1"/>
  <c r="AE15" i="15" a="1"/>
  <c r="AE15" i="15" s="1"/>
  <c r="AE24" i="15" a="1"/>
  <c r="AE24" i="15" s="1"/>
  <c r="AE22" i="15" a="1"/>
  <c r="AE22" i="15" s="1"/>
  <c r="AE7" i="15" a="1"/>
  <c r="AE7" i="15" s="1"/>
  <c r="AE14" i="15" a="1"/>
  <c r="AE14" i="15" s="1"/>
  <c r="AE13" i="15" a="1"/>
  <c r="AE13" i="15" s="1"/>
  <c r="AE9" i="15" a="1"/>
  <c r="AE9" i="15" s="1"/>
  <c r="AE8" i="15" a="1"/>
  <c r="AE8" i="15" s="1"/>
  <c r="AE5" i="15" a="1"/>
  <c r="AE5" i="15" s="1"/>
  <c r="AE10" i="15" a="1"/>
  <c r="AE10" i="15" s="1"/>
  <c r="AE3" i="15" a="1"/>
  <c r="AE3" i="15" s="1"/>
  <c r="F22" i="15" a="1"/>
  <c r="F22" i="15" s="1"/>
  <c r="F10" i="15" a="1"/>
  <c r="F10" i="15" s="1"/>
  <c r="F21" i="15" a="1"/>
  <c r="F21" i="15" s="1"/>
  <c r="F18" i="15" a="1"/>
  <c r="F18" i="15" s="1"/>
  <c r="F5" i="15" a="1"/>
  <c r="F5" i="15" s="1"/>
  <c r="F11" i="15" a="1"/>
  <c r="F11" i="15" s="1"/>
  <c r="F24" i="15" a="1"/>
  <c r="F24" i="15" s="1"/>
  <c r="F14" i="15" a="1"/>
  <c r="F14" i="15" s="1"/>
  <c r="F4" i="15" a="1"/>
  <c r="F4" i="15" s="1"/>
  <c r="F23" i="15" a="1"/>
  <c r="F23" i="15" s="1"/>
  <c r="F6" i="15" a="1"/>
  <c r="F6" i="15" s="1"/>
  <c r="F19" i="15" a="1"/>
  <c r="F19" i="15" s="1"/>
  <c r="F8" i="15" a="1"/>
  <c r="F8" i="15" s="1"/>
  <c r="F25" i="15" a="1"/>
  <c r="F25" i="15" s="1"/>
  <c r="F17" i="15" a="1"/>
  <c r="F17" i="15" s="1"/>
  <c r="F9" i="15" a="1"/>
  <c r="F9" i="15" s="1"/>
  <c r="F15" i="15" a="1"/>
  <c r="F15" i="15" s="1"/>
  <c r="F16" i="15" a="1"/>
  <c r="F16" i="15" s="1"/>
  <c r="F7" i="15" a="1"/>
  <c r="F7" i="15" s="1"/>
  <c r="F13" i="15" a="1"/>
  <c r="F13" i="15" s="1"/>
  <c r="F12" i="15" a="1"/>
  <c r="F12" i="15" s="1"/>
  <c r="F20" i="15" a="1"/>
  <c r="F20" i="15" s="1"/>
  <c r="F3" i="15" a="1"/>
  <c r="F3" i="15" s="1"/>
  <c r="AD6" i="15" a="1"/>
  <c r="AD6" i="15" s="1"/>
  <c r="AD17" i="15" a="1"/>
  <c r="AD17" i="15" s="1"/>
  <c r="AD8" i="15" a="1"/>
  <c r="AD8" i="15" s="1"/>
  <c r="AD16" i="15" a="1"/>
  <c r="AD16" i="15" s="1"/>
  <c r="AD12" i="15" a="1"/>
  <c r="AD12" i="15" s="1"/>
  <c r="AD13" i="15" a="1"/>
  <c r="AD13" i="15" s="1"/>
  <c r="AD21" i="15" a="1"/>
  <c r="AD21" i="15" s="1"/>
  <c r="AD10" i="15" a="1"/>
  <c r="AD10" i="15" s="1"/>
  <c r="AD5" i="15" a="1"/>
  <c r="AD5" i="15" s="1"/>
  <c r="AD19" i="15" a="1"/>
  <c r="AD19" i="15" s="1"/>
  <c r="AD9" i="15" a="1"/>
  <c r="AD9" i="15" s="1"/>
  <c r="AD18" i="15" a="1"/>
  <c r="AD18" i="15" s="1"/>
  <c r="AD11" i="15" a="1"/>
  <c r="AD11" i="15" s="1"/>
  <c r="AD4" i="15" a="1"/>
  <c r="AD4" i="15" s="1"/>
  <c r="AD25" i="15" a="1"/>
  <c r="AD25" i="15" s="1"/>
  <c r="AD24" i="15" a="1"/>
  <c r="AD24" i="15" s="1"/>
  <c r="AD7" i="15" a="1"/>
  <c r="AD7" i="15" s="1"/>
  <c r="AD23" i="15" a="1"/>
  <c r="AD23" i="15" s="1"/>
  <c r="AD22" i="15" a="1"/>
  <c r="AD22" i="15" s="1"/>
  <c r="AD14" i="15" a="1"/>
  <c r="AD14" i="15" s="1"/>
  <c r="AD20" i="15" a="1"/>
  <c r="AD20" i="15" s="1"/>
  <c r="AD15" i="15" a="1"/>
  <c r="AD15" i="15" s="1"/>
  <c r="AD3" i="15" a="1"/>
  <c r="AD3" i="15" s="1"/>
  <c r="B1" i="15" l="1"/>
  <c r="D1" i="7" l="1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CG1" i="7"/>
  <c r="CH1" i="7"/>
  <c r="CI1" i="7"/>
  <c r="CJ1" i="7"/>
  <c r="CK1" i="7"/>
  <c r="CL1" i="7"/>
  <c r="CM1" i="7"/>
  <c r="CN1" i="7"/>
  <c r="CO1" i="7"/>
  <c r="CP1" i="7"/>
  <c r="CQ1" i="7"/>
  <c r="CR1" i="7"/>
  <c r="CS1" i="7"/>
  <c r="CT1" i="7"/>
  <c r="CU1" i="7"/>
  <c r="CV1" i="7"/>
  <c r="CW1" i="7"/>
  <c r="CX1" i="7"/>
  <c r="CY1" i="7"/>
  <c r="CZ1" i="7"/>
  <c r="DA1" i="7"/>
  <c r="DB1" i="7"/>
  <c r="DC1" i="7"/>
  <c r="DD1" i="7"/>
  <c r="DE1" i="7"/>
  <c r="DF1" i="7"/>
  <c r="DG1" i="7"/>
  <c r="DH1" i="7"/>
  <c r="DI1" i="7"/>
  <c r="DJ1" i="7"/>
  <c r="DK1" i="7"/>
  <c r="DL1" i="7"/>
  <c r="DM1" i="7"/>
  <c r="DN1" i="7"/>
  <c r="DO1" i="7"/>
  <c r="DP1" i="7"/>
  <c r="DQ1" i="7"/>
  <c r="DR1" i="7"/>
  <c r="DS1" i="7"/>
  <c r="DT1" i="7"/>
  <c r="DU1" i="7"/>
  <c r="DV1" i="7"/>
  <c r="DW1" i="7"/>
  <c r="DX1" i="7"/>
  <c r="DY1" i="7"/>
  <c r="DZ1" i="7"/>
  <c r="EA1" i="7"/>
  <c r="EB1" i="7"/>
  <c r="EC1" i="7"/>
  <c r="ED1" i="7"/>
  <c r="EE1" i="7"/>
  <c r="EF1" i="7"/>
  <c r="EG1" i="7"/>
  <c r="EH1" i="7"/>
  <c r="EI1" i="7"/>
  <c r="EJ1" i="7"/>
  <c r="EK1" i="7"/>
  <c r="EL1" i="7"/>
  <c r="EM1" i="7"/>
  <c r="EN1" i="7"/>
  <c r="EO1" i="7"/>
  <c r="EP1" i="7"/>
  <c r="EQ1" i="7"/>
  <c r="ER1" i="7"/>
  <c r="ES1" i="7"/>
  <c r="ET1" i="7"/>
  <c r="EU1" i="7"/>
  <c r="EV1" i="7"/>
  <c r="EW1" i="7"/>
  <c r="EX1" i="7"/>
  <c r="EY1" i="7"/>
  <c r="EZ1" i="7"/>
  <c r="FA1" i="7"/>
  <c r="FB1" i="7"/>
  <c r="FC1" i="7"/>
  <c r="FD1" i="7"/>
  <c r="FE1" i="7"/>
  <c r="FF1" i="7"/>
  <c r="FG1" i="7"/>
  <c r="FH1" i="7"/>
  <c r="FI1" i="7"/>
  <c r="FJ1" i="7"/>
  <c r="FK1" i="7"/>
  <c r="FL1" i="7"/>
  <c r="FM1" i="7"/>
  <c r="FN1" i="7"/>
  <c r="FO1" i="7"/>
  <c r="FP1" i="7"/>
  <c r="FQ1" i="7"/>
  <c r="FR1" i="7"/>
  <c r="FS1" i="7"/>
  <c r="FT1" i="7"/>
  <c r="FU1" i="7"/>
  <c r="FV1" i="7"/>
  <c r="FW1" i="7"/>
  <c r="FX1" i="7"/>
  <c r="FY1" i="7"/>
  <c r="FZ1" i="7"/>
  <c r="GA1" i="7"/>
  <c r="GB1" i="7"/>
  <c r="GC1" i="7"/>
  <c r="GD1" i="7"/>
  <c r="GE1" i="7"/>
  <c r="GF1" i="7"/>
  <c r="GG1" i="7"/>
  <c r="GH1" i="7"/>
  <c r="GI1" i="7"/>
  <c r="GJ1" i="7"/>
  <c r="GK1" i="7"/>
  <c r="GL1" i="7"/>
  <c r="GM1" i="7"/>
  <c r="GN1" i="7"/>
  <c r="GO1" i="7"/>
  <c r="GP1" i="7"/>
  <c r="GQ1" i="7"/>
  <c r="GR1" i="7"/>
  <c r="GS1" i="7"/>
  <c r="GT1" i="7"/>
  <c r="GU1" i="7"/>
  <c r="GV1" i="7"/>
  <c r="GW1" i="7"/>
  <c r="GX1" i="7"/>
  <c r="GY1" i="7"/>
  <c r="GZ1" i="7"/>
  <c r="HA1" i="7"/>
  <c r="HB1" i="7"/>
  <c r="HC1" i="7"/>
  <c r="HD1" i="7"/>
  <c r="HE1" i="7"/>
  <c r="HF1" i="7"/>
  <c r="HG1" i="7"/>
  <c r="HH1" i="7"/>
  <c r="HI1" i="7"/>
  <c r="HJ1" i="7"/>
  <c r="HK1" i="7"/>
  <c r="HL1" i="7"/>
  <c r="HM1" i="7"/>
  <c r="HN1" i="7"/>
  <c r="HO1" i="7"/>
  <c r="HP1" i="7"/>
  <c r="HQ1" i="7"/>
  <c r="HR1" i="7"/>
  <c r="HS1" i="7"/>
  <c r="HT1" i="7"/>
  <c r="HU1" i="7"/>
  <c r="HV1" i="7"/>
  <c r="HW1" i="7"/>
  <c r="HX1" i="7"/>
  <c r="HY1" i="7"/>
  <c r="HZ1" i="7"/>
  <c r="IA1" i="7"/>
  <c r="IB1" i="7"/>
  <c r="IC1" i="7"/>
  <c r="ID1" i="7"/>
  <c r="IE1" i="7"/>
  <c r="IF1" i="7"/>
  <c r="IG1" i="7"/>
  <c r="IH1" i="7"/>
  <c r="II1" i="7"/>
  <c r="IJ1" i="7"/>
  <c r="IK1" i="7"/>
  <c r="IL1" i="7"/>
  <c r="IM1" i="7"/>
  <c r="IN1" i="7"/>
  <c r="IO1" i="7"/>
  <c r="IP1" i="7"/>
  <c r="IQ1" i="7"/>
  <c r="IR1" i="7"/>
  <c r="IS1" i="7"/>
  <c r="IT1" i="7"/>
  <c r="IU1" i="7"/>
  <c r="IV1" i="7"/>
  <c r="IW1" i="7"/>
  <c r="IX1" i="7"/>
  <c r="IY1" i="7"/>
  <c r="IZ1" i="7"/>
  <c r="JA1" i="7"/>
  <c r="JB1" i="7"/>
  <c r="JC1" i="7"/>
  <c r="JD1" i="7"/>
  <c r="JE1" i="7"/>
  <c r="JF1" i="7"/>
  <c r="JG1" i="7"/>
  <c r="JH1" i="7"/>
  <c r="JI1" i="7"/>
  <c r="JJ1" i="7"/>
  <c r="JK1" i="7"/>
  <c r="JL1" i="7"/>
  <c r="JM1" i="7"/>
  <c r="JN1" i="7"/>
  <c r="JO1" i="7"/>
  <c r="JP1" i="7"/>
  <c r="JQ1" i="7"/>
  <c r="JR1" i="7"/>
  <c r="JS1" i="7"/>
  <c r="JT1" i="7"/>
  <c r="JU1" i="7"/>
  <c r="JV1" i="7"/>
  <c r="JW1" i="7"/>
  <c r="JX1" i="7"/>
  <c r="JY1" i="7"/>
  <c r="JZ1" i="7"/>
  <c r="KA1" i="7"/>
  <c r="KB1" i="7"/>
  <c r="KC1" i="7"/>
  <c r="KD1" i="7"/>
  <c r="KE1" i="7"/>
  <c r="KF1" i="7"/>
  <c r="KG1" i="7"/>
  <c r="KH1" i="7"/>
  <c r="KI1" i="7"/>
  <c r="KJ1" i="7"/>
  <c r="KK1" i="7"/>
  <c r="KL1" i="7"/>
  <c r="KM1" i="7"/>
  <c r="KN1" i="7"/>
  <c r="KO1" i="7"/>
  <c r="KP1" i="7"/>
  <c r="KQ1" i="7"/>
  <c r="KR1" i="7"/>
  <c r="KS1" i="7"/>
  <c r="KT1" i="7"/>
  <c r="KU1" i="7"/>
  <c r="KV1" i="7"/>
  <c r="KW1" i="7"/>
  <c r="KX1" i="7"/>
  <c r="KY1" i="7"/>
  <c r="KZ1" i="7"/>
  <c r="LA1" i="7"/>
  <c r="LB1" i="7"/>
  <c r="LC1" i="7"/>
  <c r="LD1" i="7"/>
  <c r="LE1" i="7"/>
  <c r="LF1" i="7"/>
  <c r="LG1" i="7"/>
  <c r="LH1" i="7"/>
  <c r="LI1" i="7"/>
  <c r="LJ1" i="7"/>
  <c r="LK1" i="7"/>
  <c r="LL1" i="7"/>
  <c r="LM1" i="7"/>
  <c r="LN1" i="7"/>
  <c r="LO1" i="7"/>
  <c r="LP1" i="7"/>
  <c r="LQ1" i="7"/>
  <c r="LR1" i="7"/>
  <c r="LS1" i="7"/>
  <c r="LT1" i="7"/>
  <c r="LU1" i="7"/>
  <c r="LV1" i="7"/>
  <c r="LW1" i="7"/>
  <c r="LX1" i="7"/>
  <c r="LY1" i="7"/>
  <c r="LZ1" i="7"/>
  <c r="MA1" i="7"/>
  <c r="MB1" i="7"/>
  <c r="MC1" i="7"/>
  <c r="MD1" i="7"/>
  <c r="ME1" i="7"/>
  <c r="MF1" i="7"/>
  <c r="MG1" i="7"/>
  <c r="MH1" i="7"/>
  <c r="MI1" i="7"/>
  <c r="MJ1" i="7"/>
  <c r="MK1" i="7"/>
  <c r="ML1" i="7"/>
  <c r="MM1" i="7"/>
  <c r="MN1" i="7"/>
  <c r="MO1" i="7"/>
  <c r="MP1" i="7"/>
  <c r="MQ1" i="7"/>
  <c r="MR1" i="7"/>
  <c r="MS1" i="7"/>
  <c r="MT1" i="7"/>
  <c r="MU1" i="7"/>
  <c r="MV1" i="7"/>
  <c r="MW1" i="7"/>
  <c r="MX1" i="7"/>
  <c r="MY1" i="7"/>
  <c r="MZ1" i="7"/>
  <c r="NA1" i="7"/>
  <c r="NB1" i="7"/>
  <c r="NC1" i="7"/>
  <c r="ND1" i="7"/>
  <c r="NE1" i="7"/>
  <c r="A1" i="7"/>
  <c r="B3" i="12" l="1" a="1"/>
  <c r="B3" i="12" s="1"/>
  <c r="B3" i="10" l="1" a="1"/>
  <c r="B3" i="10" s="1"/>
  <c r="C2" i="10" a="1"/>
  <c r="R2" i="10" s="1"/>
  <c r="C2" i="12" a="1"/>
  <c r="R24" i="10" l="1" a="1"/>
  <c r="R24" i="10" s="1"/>
  <c r="R22" i="10" a="1"/>
  <c r="R22" i="10" s="1"/>
  <c r="R20" i="10" a="1"/>
  <c r="R20" i="10" s="1"/>
  <c r="R18" i="10" a="1"/>
  <c r="R18" i="10" s="1"/>
  <c r="R16" i="10" a="1"/>
  <c r="R16" i="10" s="1"/>
  <c r="R14" i="10" a="1"/>
  <c r="R14" i="10" s="1"/>
  <c r="R12" i="10" a="1"/>
  <c r="R12" i="10" s="1"/>
  <c r="R10" i="10" a="1"/>
  <c r="R10" i="10" s="1"/>
  <c r="R8" i="10" a="1"/>
  <c r="R8" i="10" s="1"/>
  <c r="R17" i="10" a="1"/>
  <c r="R17" i="10" s="1"/>
  <c r="R21" i="10" a="1"/>
  <c r="R21" i="10" s="1"/>
  <c r="R6" i="10" a="1"/>
  <c r="R6" i="10" s="1"/>
  <c r="R19" i="10" a="1"/>
  <c r="R19" i="10" s="1"/>
  <c r="R5" i="10" a="1"/>
  <c r="R5" i="10" s="1"/>
  <c r="R3" i="10" a="1"/>
  <c r="R3" i="10" s="1"/>
  <c r="R7" i="10" a="1"/>
  <c r="R7" i="10" s="1"/>
  <c r="R23" i="10" a="1"/>
  <c r="R23" i="10" s="1"/>
  <c r="R25" i="10" a="1"/>
  <c r="R25" i="10" s="1"/>
  <c r="R4" i="10" a="1"/>
  <c r="R4" i="10" s="1"/>
  <c r="R13" i="10" a="1"/>
  <c r="R13" i="10" s="1"/>
  <c r="R11" i="10" a="1"/>
  <c r="R11" i="10" s="1"/>
  <c r="R15" i="10" a="1"/>
  <c r="R15" i="10" s="1"/>
  <c r="R9" i="10" a="1"/>
  <c r="R9" i="10" s="1"/>
  <c r="O2" i="10"/>
  <c r="M2" i="10"/>
  <c r="D2" i="10"/>
  <c r="S2" i="10"/>
  <c r="AH2" i="10"/>
  <c r="AL2" i="10"/>
  <c r="AK2" i="10"/>
  <c r="V2" i="10"/>
  <c r="U2" i="10"/>
  <c r="L2" i="10"/>
  <c r="C2" i="10"/>
  <c r="Q2" i="10"/>
  <c r="Z2" i="10"/>
  <c r="E2" i="10"/>
  <c r="AG2" i="10"/>
  <c r="P2" i="10"/>
  <c r="AJ2" i="10"/>
  <c r="K2" i="10"/>
  <c r="AD2" i="10"/>
  <c r="I2" i="10"/>
  <c r="AC2" i="10"/>
  <c r="X2" i="10"/>
  <c r="AB2" i="10"/>
  <c r="H2" i="10"/>
  <c r="AA2" i="10"/>
  <c r="W2" i="10"/>
  <c r="J2" i="10"/>
  <c r="G2" i="10"/>
  <c r="Y2" i="10"/>
  <c r="F2" i="10"/>
  <c r="AF2" i="10"/>
  <c r="AE2" i="10"/>
  <c r="T2" i="10"/>
  <c r="N2" i="10"/>
  <c r="AI2" i="10"/>
  <c r="AG2" i="12"/>
  <c r="Q2" i="12"/>
  <c r="AE2" i="12"/>
  <c r="O2" i="12"/>
  <c r="AC2" i="12"/>
  <c r="M2" i="12"/>
  <c r="W2" i="12"/>
  <c r="D2" i="12"/>
  <c r="V2" i="12"/>
  <c r="C2" i="12"/>
  <c r="AL2" i="12"/>
  <c r="S2" i="12"/>
  <c r="AF2" i="12"/>
  <c r="AK2" i="12"/>
  <c r="R2" i="12"/>
  <c r="AJ2" i="12"/>
  <c r="P2" i="12"/>
  <c r="AI2" i="12"/>
  <c r="N2" i="12"/>
  <c r="AH2" i="12"/>
  <c r="L2" i="12"/>
  <c r="K2" i="12"/>
  <c r="AD2" i="12"/>
  <c r="J2" i="12"/>
  <c r="AB2" i="12"/>
  <c r="I2" i="12"/>
  <c r="U2" i="12"/>
  <c r="T2" i="12"/>
  <c r="H2" i="12"/>
  <c r="Z2" i="12"/>
  <c r="G2" i="12"/>
  <c r="F2" i="12"/>
  <c r="E2" i="12"/>
  <c r="AA2" i="12"/>
  <c r="Y2" i="12"/>
  <c r="X2" i="12"/>
  <c r="X5" i="12" l="1" a="1"/>
  <c r="X5" i="12" s="1"/>
  <c r="X13" i="12" a="1"/>
  <c r="X13" i="12" s="1"/>
  <c r="X8" i="12" a="1"/>
  <c r="X8" i="12" s="1"/>
  <c r="X16" i="12" a="1"/>
  <c r="X16" i="12" s="1"/>
  <c r="X3" i="12" a="1"/>
  <c r="X3" i="12" s="1"/>
  <c r="X11" i="12" a="1"/>
  <c r="X11" i="12" s="1"/>
  <c r="X19" i="12" a="1"/>
  <c r="X19" i="12" s="1"/>
  <c r="X4" i="12" a="1"/>
  <c r="X4" i="12" s="1"/>
  <c r="X24" i="12" a="1"/>
  <c r="X24" i="12" s="1"/>
  <c r="X7" i="12" a="1"/>
  <c r="X7" i="12" s="1"/>
  <c r="X22" i="12" a="1"/>
  <c r="X22" i="12" s="1"/>
  <c r="X14" i="12" a="1"/>
  <c r="X14" i="12" s="1"/>
  <c r="X12" i="12" a="1"/>
  <c r="X12" i="12" s="1"/>
  <c r="X17" i="12" a="1"/>
  <c r="X17" i="12" s="1"/>
  <c r="X21" i="12" a="1"/>
  <c r="X21" i="12" s="1"/>
  <c r="X25" i="12" a="1"/>
  <c r="X25" i="12" s="1"/>
  <c r="X9" i="12" a="1"/>
  <c r="X9" i="12" s="1"/>
  <c r="X10" i="12" a="1"/>
  <c r="X10" i="12" s="1"/>
  <c r="X15" i="12" a="1"/>
  <c r="X15" i="12" s="1"/>
  <c r="X18" i="12" a="1"/>
  <c r="X18" i="12" s="1"/>
  <c r="X20" i="12" a="1"/>
  <c r="X20" i="12" s="1"/>
  <c r="X23" i="12" a="1"/>
  <c r="X23" i="12" s="1"/>
  <c r="X6" i="12" a="1"/>
  <c r="X6" i="12" s="1"/>
  <c r="Y10" i="12" a="1"/>
  <c r="Y10" i="12" s="1"/>
  <c r="Y18" i="12" a="1"/>
  <c r="Y18" i="12" s="1"/>
  <c r="Y5" i="12" a="1"/>
  <c r="Y5" i="12" s="1"/>
  <c r="Y13" i="12" a="1"/>
  <c r="Y13" i="12" s="1"/>
  <c r="Y8" i="12" a="1"/>
  <c r="Y8" i="12" s="1"/>
  <c r="Y16" i="12" a="1"/>
  <c r="Y16" i="12" s="1"/>
  <c r="Y9" i="12" a="1"/>
  <c r="Y9" i="12" s="1"/>
  <c r="Y19" i="12" a="1"/>
  <c r="Y19" i="12" s="1"/>
  <c r="Y6" i="12" a="1"/>
  <c r="Y6" i="12" s="1"/>
  <c r="Y24" i="12" a="1"/>
  <c r="Y24" i="12" s="1"/>
  <c r="Y7" i="12" a="1"/>
  <c r="Y7" i="12" s="1"/>
  <c r="Y3" i="12" a="1"/>
  <c r="Y3" i="12" s="1"/>
  <c r="Y11" i="12" a="1"/>
  <c r="Y11" i="12" s="1"/>
  <c r="Y22" i="12" a="1"/>
  <c r="Y22" i="12" s="1"/>
  <c r="Y14" i="12" a="1"/>
  <c r="Y14" i="12" s="1"/>
  <c r="Y21" i="12" a="1"/>
  <c r="Y21" i="12" s="1"/>
  <c r="Y12" i="12" a="1"/>
  <c r="Y12" i="12" s="1"/>
  <c r="Y17" i="12" a="1"/>
  <c r="Y17" i="12" s="1"/>
  <c r="Y25" i="12" a="1"/>
  <c r="Y25" i="12" s="1"/>
  <c r="Y15" i="12" a="1"/>
  <c r="Y15" i="12" s="1"/>
  <c r="Y20" i="12" a="1"/>
  <c r="Y20" i="12" s="1"/>
  <c r="Y23" i="12" a="1"/>
  <c r="Y23" i="12" s="1"/>
  <c r="Y4" i="12" a="1"/>
  <c r="Y4" i="12" s="1"/>
  <c r="AA4" i="12" a="1"/>
  <c r="AA4" i="12" s="1"/>
  <c r="AA12" i="12" a="1"/>
  <c r="AA12" i="12" s="1"/>
  <c r="AA7" i="12" a="1"/>
  <c r="AA7" i="12" s="1"/>
  <c r="AA15" i="12" a="1"/>
  <c r="AA15" i="12" s="1"/>
  <c r="AA10" i="12" a="1"/>
  <c r="AA10" i="12" s="1"/>
  <c r="AA18" i="12" a="1"/>
  <c r="AA18" i="12" s="1"/>
  <c r="AA3" i="12" a="1"/>
  <c r="AA3" i="12" s="1"/>
  <c r="AA6" i="12" a="1"/>
  <c r="AA6" i="12" s="1"/>
  <c r="AA8" i="12" a="1"/>
  <c r="AA8" i="12" s="1"/>
  <c r="AA23" i="12" a="1"/>
  <c r="AA23" i="12" s="1"/>
  <c r="AA19" i="12" a="1"/>
  <c r="AA19" i="12" s="1"/>
  <c r="AA24" i="12" a="1"/>
  <c r="AA24" i="12" s="1"/>
  <c r="AA5" i="12" a="1"/>
  <c r="AA5" i="12" s="1"/>
  <c r="AA13" i="12" a="1"/>
  <c r="AA13" i="12" s="1"/>
  <c r="AA11" i="12" a="1"/>
  <c r="AA11" i="12" s="1"/>
  <c r="AA16" i="12" a="1"/>
  <c r="AA16" i="12" s="1"/>
  <c r="AA21" i="12" a="1"/>
  <c r="AA21" i="12" s="1"/>
  <c r="AA22" i="12" a="1"/>
  <c r="AA22" i="12" s="1"/>
  <c r="AA14" i="12" a="1"/>
  <c r="AA14" i="12" s="1"/>
  <c r="AA9" i="12" a="1"/>
  <c r="AA9" i="12" s="1"/>
  <c r="AA17" i="12" a="1"/>
  <c r="AA17" i="12" s="1"/>
  <c r="AA25" i="12" a="1"/>
  <c r="AA25" i="12" s="1"/>
  <c r="AA20" i="12" a="1"/>
  <c r="AA20" i="12" s="1"/>
  <c r="E6" i="12" a="1"/>
  <c r="E6" i="12" s="1"/>
  <c r="E14" i="12" a="1"/>
  <c r="E14" i="12" s="1"/>
  <c r="E9" i="12" a="1"/>
  <c r="E9" i="12" s="1"/>
  <c r="E17" i="12" a="1"/>
  <c r="E17" i="12" s="1"/>
  <c r="E4" i="12" a="1"/>
  <c r="E4" i="12" s="1"/>
  <c r="E12" i="12" a="1"/>
  <c r="E12" i="12" s="1"/>
  <c r="E20" i="12" a="1"/>
  <c r="E20" i="12" s="1"/>
  <c r="E5" i="12" a="1"/>
  <c r="E5" i="12" s="1"/>
  <c r="E11" i="12" a="1"/>
  <c r="E11" i="12" s="1"/>
  <c r="E16" i="12" a="1"/>
  <c r="E16" i="12" s="1"/>
  <c r="E19" i="12" a="1"/>
  <c r="E19" i="12" s="1"/>
  <c r="E25" i="12" a="1"/>
  <c r="E25" i="12" s="1"/>
  <c r="E3" i="12" a="1"/>
  <c r="E3" i="12" s="1"/>
  <c r="E22" i="12" a="1"/>
  <c r="E22" i="12" s="1"/>
  <c r="E7" i="12" a="1"/>
  <c r="E7" i="12" s="1"/>
  <c r="E21" i="12" a="1"/>
  <c r="E21" i="12" s="1"/>
  <c r="E23" i="12" a="1"/>
  <c r="E23" i="12" s="1"/>
  <c r="E8" i="12" a="1"/>
  <c r="E8" i="12" s="1"/>
  <c r="E24" i="12" a="1"/>
  <c r="E24" i="12" s="1"/>
  <c r="E10" i="12" a="1"/>
  <c r="E10" i="12" s="1"/>
  <c r="E15" i="12" a="1"/>
  <c r="E15" i="12" s="1"/>
  <c r="E13" i="12" a="1"/>
  <c r="E13" i="12" s="1"/>
  <c r="E18" i="12" a="1"/>
  <c r="E18" i="12" s="1"/>
  <c r="F3" i="12" a="1"/>
  <c r="F3" i="12" s="1"/>
  <c r="F11" i="12" a="1"/>
  <c r="F11" i="12" s="1"/>
  <c r="F6" i="12" a="1"/>
  <c r="F6" i="12" s="1"/>
  <c r="F14" i="12" a="1"/>
  <c r="F14" i="12" s="1"/>
  <c r="F9" i="12" a="1"/>
  <c r="F9" i="12" s="1"/>
  <c r="F17" i="12" a="1"/>
  <c r="F17" i="12" s="1"/>
  <c r="F7" i="12" a="1"/>
  <c r="F7" i="12" s="1"/>
  <c r="F16" i="12" a="1"/>
  <c r="F16" i="12" s="1"/>
  <c r="F5" i="12" a="1"/>
  <c r="F5" i="12" s="1"/>
  <c r="F19" i="12" a="1"/>
  <c r="F19" i="12" s="1"/>
  <c r="F25" i="12" a="1"/>
  <c r="F25" i="12" s="1"/>
  <c r="F22" i="12" a="1"/>
  <c r="F22" i="12" s="1"/>
  <c r="F21" i="12" a="1"/>
  <c r="F21" i="12" s="1"/>
  <c r="F23" i="12" a="1"/>
  <c r="F23" i="12" s="1"/>
  <c r="F8" i="12" a="1"/>
  <c r="F8" i="12" s="1"/>
  <c r="F10" i="12" a="1"/>
  <c r="F10" i="12" s="1"/>
  <c r="F15" i="12" a="1"/>
  <c r="F15" i="12" s="1"/>
  <c r="F4" i="12" a="1"/>
  <c r="F4" i="12" s="1"/>
  <c r="F20" i="12" a="1"/>
  <c r="F20" i="12" s="1"/>
  <c r="F12" i="12" a="1"/>
  <c r="F12" i="12" s="1"/>
  <c r="F24" i="12" a="1"/>
  <c r="F24" i="12" s="1"/>
  <c r="F18" i="12" a="1"/>
  <c r="F18" i="12" s="1"/>
  <c r="F13" i="12" a="1"/>
  <c r="F13" i="12" s="1"/>
  <c r="G8" i="12" a="1"/>
  <c r="G8" i="12" s="1"/>
  <c r="G16" i="12" a="1"/>
  <c r="G16" i="12" s="1"/>
  <c r="G3" i="12" a="1"/>
  <c r="G3" i="12" s="1"/>
  <c r="G11" i="12" a="1"/>
  <c r="G11" i="12" s="1"/>
  <c r="G6" i="12" a="1"/>
  <c r="G6" i="12" s="1"/>
  <c r="G14" i="12" a="1"/>
  <c r="G14" i="12" s="1"/>
  <c r="G7" i="12" a="1"/>
  <c r="G7" i="12" s="1"/>
  <c r="G10" i="12" a="1"/>
  <c r="G10" i="12" s="1"/>
  <c r="G15" i="12" a="1"/>
  <c r="G15" i="12" s="1"/>
  <c r="G13" i="12" a="1"/>
  <c r="G13" i="12" s="1"/>
  <c r="G18" i="12" a="1"/>
  <c r="G18" i="12" s="1"/>
  <c r="G9" i="12" a="1"/>
  <c r="G9" i="12" s="1"/>
  <c r="G5" i="12" a="1"/>
  <c r="G5" i="12" s="1"/>
  <c r="G19" i="12" a="1"/>
  <c r="G19" i="12" s="1"/>
  <c r="G22" i="12" a="1"/>
  <c r="G22" i="12" s="1"/>
  <c r="G25" i="12" a="1"/>
  <c r="G25" i="12" s="1"/>
  <c r="G21" i="12" a="1"/>
  <c r="G21" i="12" s="1"/>
  <c r="G23" i="12" a="1"/>
  <c r="G23" i="12" s="1"/>
  <c r="G4" i="12" a="1"/>
  <c r="G4" i="12" s="1"/>
  <c r="G20" i="12" a="1"/>
  <c r="G20" i="12" s="1"/>
  <c r="G24" i="12" a="1"/>
  <c r="G24" i="12" s="1"/>
  <c r="G12" i="12" a="1"/>
  <c r="G12" i="12" s="1"/>
  <c r="G17" i="12" a="1"/>
  <c r="G17" i="12" s="1"/>
  <c r="Z7" i="12" a="1"/>
  <c r="Z7" i="12" s="1"/>
  <c r="Z15" i="12" a="1"/>
  <c r="Z15" i="12" s="1"/>
  <c r="Z10" i="12" a="1"/>
  <c r="Z10" i="12" s="1"/>
  <c r="Z18" i="12" a="1"/>
  <c r="Z18" i="12" s="1"/>
  <c r="Z5" i="12" a="1"/>
  <c r="Z5" i="12" s="1"/>
  <c r="Z13" i="12" a="1"/>
  <c r="Z13" i="12" s="1"/>
  <c r="Z6" i="12" a="1"/>
  <c r="Z6" i="12" s="1"/>
  <c r="Z4" i="12" a="1"/>
  <c r="Z4" i="12" s="1"/>
  <c r="Z19" i="12" a="1"/>
  <c r="Z19" i="12" s="1"/>
  <c r="Z24" i="12" a="1"/>
  <c r="Z24" i="12" s="1"/>
  <c r="Z3" i="12" a="1"/>
  <c r="Z3" i="12" s="1"/>
  <c r="Z11" i="12" a="1"/>
  <c r="Z11" i="12" s="1"/>
  <c r="Z16" i="12" a="1"/>
  <c r="Z16" i="12" s="1"/>
  <c r="Z21" i="12" a="1"/>
  <c r="Z21" i="12" s="1"/>
  <c r="Z22" i="12" a="1"/>
  <c r="Z22" i="12" s="1"/>
  <c r="Z14" i="12" a="1"/>
  <c r="Z14" i="12" s="1"/>
  <c r="Z9" i="12" a="1"/>
  <c r="Z9" i="12" s="1"/>
  <c r="Z12" i="12" a="1"/>
  <c r="Z12" i="12" s="1"/>
  <c r="Z17" i="12" a="1"/>
  <c r="Z17" i="12" s="1"/>
  <c r="Z25" i="12" a="1"/>
  <c r="Z25" i="12" s="1"/>
  <c r="Z20" i="12" a="1"/>
  <c r="Z20" i="12" s="1"/>
  <c r="Z8" i="12" a="1"/>
  <c r="Z8" i="12" s="1"/>
  <c r="Z23" i="12" a="1"/>
  <c r="Z23" i="12" s="1"/>
  <c r="H5" i="12" a="1"/>
  <c r="H5" i="12" s="1"/>
  <c r="H13" i="12" a="1"/>
  <c r="H13" i="12" s="1"/>
  <c r="H8" i="12" a="1"/>
  <c r="H8" i="12" s="1"/>
  <c r="H16" i="12" a="1"/>
  <c r="H16" i="12" s="1"/>
  <c r="H3" i="12" a="1"/>
  <c r="H3" i="12" s="1"/>
  <c r="H11" i="12" a="1"/>
  <c r="H11" i="12" s="1"/>
  <c r="H19" i="12" a="1"/>
  <c r="H19" i="12" s="1"/>
  <c r="H4" i="12" a="1"/>
  <c r="H4" i="12" s="1"/>
  <c r="H14" i="12" a="1"/>
  <c r="H14" i="12" s="1"/>
  <c r="H12" i="12" a="1"/>
  <c r="H12" i="12" s="1"/>
  <c r="H17" i="12" a="1"/>
  <c r="H17" i="12" s="1"/>
  <c r="H24" i="12" a="1"/>
  <c r="H24" i="12" s="1"/>
  <c r="H7" i="12" a="1"/>
  <c r="H7" i="12" s="1"/>
  <c r="H10" i="12" a="1"/>
  <c r="H10" i="12" s="1"/>
  <c r="H15" i="12" a="1"/>
  <c r="H15" i="12" s="1"/>
  <c r="H18" i="12" a="1"/>
  <c r="H18" i="12" s="1"/>
  <c r="H9" i="12" a="1"/>
  <c r="H9" i="12" s="1"/>
  <c r="H22" i="12" a="1"/>
  <c r="H22" i="12" s="1"/>
  <c r="H25" i="12" a="1"/>
  <c r="H25" i="12" s="1"/>
  <c r="H6" i="12" a="1"/>
  <c r="H6" i="12" s="1"/>
  <c r="H21" i="12" a="1"/>
  <c r="H21" i="12" s="1"/>
  <c r="H23" i="12" a="1"/>
  <c r="H23" i="12" s="1"/>
  <c r="H20" i="12" a="1"/>
  <c r="H20" i="12" s="1"/>
  <c r="T9" i="12" a="1"/>
  <c r="T9" i="12" s="1"/>
  <c r="T17" i="12" a="1"/>
  <c r="T17" i="12" s="1"/>
  <c r="T4" i="12" a="1"/>
  <c r="T4" i="12" s="1"/>
  <c r="T12" i="12" a="1"/>
  <c r="T12" i="12" s="1"/>
  <c r="T7" i="12" a="1"/>
  <c r="T7" i="12" s="1"/>
  <c r="T15" i="12" a="1"/>
  <c r="T15" i="12" s="1"/>
  <c r="T8" i="12" a="1"/>
  <c r="T8" i="12" s="1"/>
  <c r="T10" i="12" a="1"/>
  <c r="T10" i="12" s="1"/>
  <c r="T5" i="12" a="1"/>
  <c r="T5" i="12" s="1"/>
  <c r="T13" i="12" a="1"/>
  <c r="T13" i="12" s="1"/>
  <c r="T18" i="12" a="1"/>
  <c r="T18" i="12" s="1"/>
  <c r="T3" i="12" a="1"/>
  <c r="T3" i="12" s="1"/>
  <c r="T11" i="12" a="1"/>
  <c r="T11" i="12" s="1"/>
  <c r="T16" i="12" a="1"/>
  <c r="T16" i="12" s="1"/>
  <c r="T20" i="12" a="1"/>
  <c r="T20" i="12" s="1"/>
  <c r="T14" i="12" a="1"/>
  <c r="T14" i="12" s="1"/>
  <c r="T23" i="12" a="1"/>
  <c r="T23" i="12" s="1"/>
  <c r="T6" i="12" a="1"/>
  <c r="T6" i="12" s="1"/>
  <c r="T19" i="12" a="1"/>
  <c r="T19" i="12" s="1"/>
  <c r="T24" i="12" a="1"/>
  <c r="T24" i="12" s="1"/>
  <c r="T22" i="12" a="1"/>
  <c r="T22" i="12" s="1"/>
  <c r="T25" i="12" a="1"/>
  <c r="T25" i="12" s="1"/>
  <c r="T21" i="12" a="1"/>
  <c r="T21" i="12" s="1"/>
  <c r="U6" i="12" a="1"/>
  <c r="U6" i="12" s="1"/>
  <c r="U14" i="12" a="1"/>
  <c r="U14" i="12" s="1"/>
  <c r="U9" i="12" a="1"/>
  <c r="U9" i="12" s="1"/>
  <c r="U17" i="12" a="1"/>
  <c r="U17" i="12" s="1"/>
  <c r="U4" i="12" a="1"/>
  <c r="U4" i="12" s="1"/>
  <c r="U12" i="12" a="1"/>
  <c r="U12" i="12" s="1"/>
  <c r="U5" i="12" a="1"/>
  <c r="U5" i="12" s="1"/>
  <c r="U7" i="12" a="1"/>
  <c r="U7" i="12" s="1"/>
  <c r="U21" i="12" a="1"/>
  <c r="U21" i="12" s="1"/>
  <c r="U25" i="12" a="1"/>
  <c r="U25" i="12" s="1"/>
  <c r="U10" i="12" a="1"/>
  <c r="U10" i="12" s="1"/>
  <c r="U15" i="12" a="1"/>
  <c r="U15" i="12" s="1"/>
  <c r="U13" i="12" a="1"/>
  <c r="U13" i="12" s="1"/>
  <c r="U18" i="12" a="1"/>
  <c r="U18" i="12" s="1"/>
  <c r="U20" i="12" a="1"/>
  <c r="U20" i="12" s="1"/>
  <c r="U3" i="12" a="1"/>
  <c r="U3" i="12" s="1"/>
  <c r="U11" i="12" a="1"/>
  <c r="U11" i="12" s="1"/>
  <c r="U16" i="12" a="1"/>
  <c r="U16" i="12" s="1"/>
  <c r="U23" i="12" a="1"/>
  <c r="U23" i="12" s="1"/>
  <c r="U8" i="12" a="1"/>
  <c r="U8" i="12" s="1"/>
  <c r="U19" i="12" a="1"/>
  <c r="U19" i="12" s="1"/>
  <c r="U24" i="12" a="1"/>
  <c r="U24" i="12" s="1"/>
  <c r="U22" i="12" a="1"/>
  <c r="U22" i="12" s="1"/>
  <c r="I10" i="12" a="1"/>
  <c r="I10" i="12" s="1"/>
  <c r="I18" i="12" a="1"/>
  <c r="I18" i="12" s="1"/>
  <c r="I5" i="12" a="1"/>
  <c r="I5" i="12" s="1"/>
  <c r="I13" i="12" a="1"/>
  <c r="I13" i="12" s="1"/>
  <c r="I8" i="12" a="1"/>
  <c r="I8" i="12" s="1"/>
  <c r="I16" i="12" a="1"/>
  <c r="I16" i="12" s="1"/>
  <c r="I9" i="12" a="1"/>
  <c r="I9" i="12" s="1"/>
  <c r="I20" i="12" a="1"/>
  <c r="I20" i="12" s="1"/>
  <c r="I11" i="12" a="1"/>
  <c r="I11" i="12" s="1"/>
  <c r="I14" i="12" a="1"/>
  <c r="I14" i="12" s="1"/>
  <c r="I12" i="12" a="1"/>
  <c r="I12" i="12" s="1"/>
  <c r="I17" i="12" a="1"/>
  <c r="I17" i="12" s="1"/>
  <c r="I24" i="12" a="1"/>
  <c r="I24" i="12" s="1"/>
  <c r="I7" i="12" a="1"/>
  <c r="I7" i="12" s="1"/>
  <c r="I15" i="12" a="1"/>
  <c r="I15" i="12" s="1"/>
  <c r="I3" i="12" a="1"/>
  <c r="I3" i="12" s="1"/>
  <c r="I19" i="12" a="1"/>
  <c r="I19" i="12" s="1"/>
  <c r="I22" i="12" a="1"/>
  <c r="I22" i="12" s="1"/>
  <c r="I25" i="12" a="1"/>
  <c r="I25" i="12" s="1"/>
  <c r="I6" i="12" a="1"/>
  <c r="I6" i="12" s="1"/>
  <c r="I21" i="12" a="1"/>
  <c r="I21" i="12" s="1"/>
  <c r="I4" i="12" a="1"/>
  <c r="I4" i="12" s="1"/>
  <c r="I23" i="12" a="1"/>
  <c r="I23" i="12" s="1"/>
  <c r="AB9" i="12" a="1"/>
  <c r="AB9" i="12" s="1"/>
  <c r="AB17" i="12" a="1"/>
  <c r="AB17" i="12" s="1"/>
  <c r="AB4" i="12" a="1"/>
  <c r="AB4" i="12" s="1"/>
  <c r="AB12" i="12" a="1"/>
  <c r="AB12" i="12" s="1"/>
  <c r="AB7" i="12" a="1"/>
  <c r="AB7" i="12" s="1"/>
  <c r="AB15" i="12" a="1"/>
  <c r="AB15" i="12" s="1"/>
  <c r="AB8" i="12" a="1"/>
  <c r="AB8" i="12" s="1"/>
  <c r="AB20" i="12" a="1"/>
  <c r="AB20" i="12" s="1"/>
  <c r="AB14" i="12" a="1"/>
  <c r="AB14" i="12" s="1"/>
  <c r="AB6" i="12" a="1"/>
  <c r="AB6" i="12" s="1"/>
  <c r="AB23" i="12" a="1"/>
  <c r="AB23" i="12" s="1"/>
  <c r="AB19" i="12" a="1"/>
  <c r="AB19" i="12" s="1"/>
  <c r="AB24" i="12" a="1"/>
  <c r="AB24" i="12" s="1"/>
  <c r="AB5" i="12" a="1"/>
  <c r="AB5" i="12" s="1"/>
  <c r="AB3" i="12" a="1"/>
  <c r="AB3" i="12" s="1"/>
  <c r="AB10" i="12" a="1"/>
  <c r="AB10" i="12" s="1"/>
  <c r="AB13" i="12" a="1"/>
  <c r="AB13" i="12" s="1"/>
  <c r="AB18" i="12" a="1"/>
  <c r="AB18" i="12" s="1"/>
  <c r="AB11" i="12" a="1"/>
  <c r="AB11" i="12" s="1"/>
  <c r="AB16" i="12" a="1"/>
  <c r="AB16" i="12" s="1"/>
  <c r="AB21" i="12" a="1"/>
  <c r="AB21" i="12" s="1"/>
  <c r="AB22" i="12" a="1"/>
  <c r="AB22" i="12" s="1"/>
  <c r="AB25" i="12" a="1"/>
  <c r="AB25" i="12" s="1"/>
  <c r="J7" i="12" a="1"/>
  <c r="J7" i="12" s="1"/>
  <c r="J15" i="12" a="1"/>
  <c r="J15" i="12" s="1"/>
  <c r="J10" i="12" a="1"/>
  <c r="J10" i="12" s="1"/>
  <c r="J18" i="12" a="1"/>
  <c r="J18" i="12" s="1"/>
  <c r="J5" i="12" a="1"/>
  <c r="J5" i="12" s="1"/>
  <c r="J13" i="12" a="1"/>
  <c r="J13" i="12" s="1"/>
  <c r="J6" i="12" a="1"/>
  <c r="J6" i="12" s="1"/>
  <c r="J20" i="12" a="1"/>
  <c r="J20" i="12" s="1"/>
  <c r="J11" i="12" a="1"/>
  <c r="J11" i="12" s="1"/>
  <c r="J16" i="12" a="1"/>
  <c r="J16" i="12" s="1"/>
  <c r="J14" i="12" a="1"/>
  <c r="J14" i="12" s="1"/>
  <c r="J12" i="12" a="1"/>
  <c r="J12" i="12" s="1"/>
  <c r="J17" i="12" a="1"/>
  <c r="J17" i="12" s="1"/>
  <c r="J24" i="12" a="1"/>
  <c r="J24" i="12" s="1"/>
  <c r="J3" i="12" a="1"/>
  <c r="J3" i="12" s="1"/>
  <c r="J9" i="12" a="1"/>
  <c r="J9" i="12" s="1"/>
  <c r="J19" i="12" a="1"/>
  <c r="J19" i="12" s="1"/>
  <c r="J8" i="12" a="1"/>
  <c r="J8" i="12" s="1"/>
  <c r="J22" i="12" a="1"/>
  <c r="J22" i="12" s="1"/>
  <c r="J25" i="12" a="1"/>
  <c r="J25" i="12" s="1"/>
  <c r="J21" i="12" a="1"/>
  <c r="J21" i="12" s="1"/>
  <c r="J4" i="12" a="1"/>
  <c r="J4" i="12" s="1"/>
  <c r="J23" i="12" a="1"/>
  <c r="J23" i="12" s="1"/>
  <c r="AD3" i="12" a="1"/>
  <c r="AD3" i="12" s="1"/>
  <c r="AD11" i="12" a="1"/>
  <c r="AD11" i="12" s="1"/>
  <c r="AD6" i="12" a="1"/>
  <c r="AD6" i="12" s="1"/>
  <c r="AD14" i="12" a="1"/>
  <c r="AD14" i="12" s="1"/>
  <c r="AD9" i="12" a="1"/>
  <c r="AD9" i="12" s="1"/>
  <c r="AD17" i="12" a="1"/>
  <c r="AD17" i="12" s="1"/>
  <c r="AD13" i="12" a="1"/>
  <c r="AD13" i="12" s="1"/>
  <c r="AD18" i="12" a="1"/>
  <c r="AD18" i="12" s="1"/>
  <c r="AD16" i="12" a="1"/>
  <c r="AD16" i="12" s="1"/>
  <c r="AD21" i="12" a="1"/>
  <c r="AD21" i="12" s="1"/>
  <c r="AD22" i="12" a="1"/>
  <c r="AD22" i="12" s="1"/>
  <c r="AD20" i="12" a="1"/>
  <c r="AD20" i="12" s="1"/>
  <c r="AD25" i="12" a="1"/>
  <c r="AD25" i="12" s="1"/>
  <c r="AD4" i="12" a="1"/>
  <c r="AD4" i="12" s="1"/>
  <c r="AD8" i="12" a="1"/>
  <c r="AD8" i="12" s="1"/>
  <c r="AD23" i="12" a="1"/>
  <c r="AD23" i="12" s="1"/>
  <c r="AD12" i="12" a="1"/>
  <c r="AD12" i="12" s="1"/>
  <c r="AD19" i="12" a="1"/>
  <c r="AD19" i="12" s="1"/>
  <c r="AD7" i="12" a="1"/>
  <c r="AD7" i="12" s="1"/>
  <c r="AD5" i="12" a="1"/>
  <c r="AD5" i="12" s="1"/>
  <c r="AD24" i="12" a="1"/>
  <c r="AD24" i="12" s="1"/>
  <c r="AD10" i="12" a="1"/>
  <c r="AD10" i="12" s="1"/>
  <c r="AD15" i="12" a="1"/>
  <c r="AD15" i="12" s="1"/>
  <c r="K4" i="12" a="1"/>
  <c r="K4" i="12" s="1"/>
  <c r="K12" i="12" a="1"/>
  <c r="K12" i="12" s="1"/>
  <c r="K7" i="12" a="1"/>
  <c r="K7" i="12" s="1"/>
  <c r="K15" i="12" a="1"/>
  <c r="K15" i="12" s="1"/>
  <c r="K10" i="12" a="1"/>
  <c r="K10" i="12" s="1"/>
  <c r="K18" i="12" a="1"/>
  <c r="K18" i="12" s="1"/>
  <c r="K3" i="12" a="1"/>
  <c r="K3" i="12" s="1"/>
  <c r="K23" i="12" a="1"/>
  <c r="K23" i="12" s="1"/>
  <c r="K6" i="12" a="1"/>
  <c r="K6" i="12" s="1"/>
  <c r="K13" i="12" a="1"/>
  <c r="K13" i="12" s="1"/>
  <c r="K20" i="12" a="1"/>
  <c r="K20" i="12" s="1"/>
  <c r="K11" i="12" a="1"/>
  <c r="K11" i="12" s="1"/>
  <c r="K16" i="12" a="1"/>
  <c r="K16" i="12" s="1"/>
  <c r="K5" i="12" a="1"/>
  <c r="K5" i="12" s="1"/>
  <c r="K14" i="12" a="1"/>
  <c r="K14" i="12" s="1"/>
  <c r="K17" i="12" a="1"/>
  <c r="K17" i="12" s="1"/>
  <c r="K24" i="12" a="1"/>
  <c r="K24" i="12" s="1"/>
  <c r="K9" i="12" a="1"/>
  <c r="K9" i="12" s="1"/>
  <c r="K19" i="12" a="1"/>
  <c r="K19" i="12" s="1"/>
  <c r="K8" i="12" a="1"/>
  <c r="K8" i="12" s="1"/>
  <c r="K22" i="12" a="1"/>
  <c r="K22" i="12" s="1"/>
  <c r="K25" i="12" a="1"/>
  <c r="K25" i="12" s="1"/>
  <c r="K21" i="12" a="1"/>
  <c r="K21" i="12" s="1"/>
  <c r="L9" i="12" a="1"/>
  <c r="L9" i="12" s="1"/>
  <c r="L17" i="12" a="1"/>
  <c r="L17" i="12" s="1"/>
  <c r="L4" i="12" a="1"/>
  <c r="L4" i="12" s="1"/>
  <c r="L12" i="12" a="1"/>
  <c r="L12" i="12" s="1"/>
  <c r="L7" i="12" a="1"/>
  <c r="L7" i="12" s="1"/>
  <c r="L15" i="12" a="1"/>
  <c r="L15" i="12" s="1"/>
  <c r="L8" i="12" a="1"/>
  <c r="L8" i="12" s="1"/>
  <c r="L6" i="12" a="1"/>
  <c r="L6" i="12" s="1"/>
  <c r="L21" i="12" a="1"/>
  <c r="L21" i="12" s="1"/>
  <c r="L23" i="12" a="1"/>
  <c r="L23" i="12" s="1"/>
  <c r="L10" i="12" a="1"/>
  <c r="L10" i="12" s="1"/>
  <c r="L20" i="12" a="1"/>
  <c r="L20" i="12" s="1"/>
  <c r="L13" i="12" a="1"/>
  <c r="L13" i="12" s="1"/>
  <c r="L18" i="12" a="1"/>
  <c r="L18" i="12" s="1"/>
  <c r="L11" i="12" a="1"/>
  <c r="L11" i="12" s="1"/>
  <c r="L16" i="12" a="1"/>
  <c r="L16" i="12" s="1"/>
  <c r="L5" i="12" a="1"/>
  <c r="L5" i="12" s="1"/>
  <c r="L14" i="12" a="1"/>
  <c r="L14" i="12" s="1"/>
  <c r="L3" i="12" a="1"/>
  <c r="L3" i="12" s="1"/>
  <c r="L24" i="12" a="1"/>
  <c r="L24" i="12" s="1"/>
  <c r="L19" i="12" a="1"/>
  <c r="L19" i="12" s="1"/>
  <c r="L22" i="12" a="1"/>
  <c r="L22" i="12" s="1"/>
  <c r="L25" i="12" a="1"/>
  <c r="L25" i="12" s="1"/>
  <c r="AH7" i="12" a="1"/>
  <c r="AH7" i="12" s="1"/>
  <c r="AH15" i="12" a="1"/>
  <c r="AH15" i="12" s="1"/>
  <c r="AH10" i="12" a="1"/>
  <c r="AH10" i="12" s="1"/>
  <c r="AH5" i="12" a="1"/>
  <c r="AH5" i="12" s="1"/>
  <c r="AH13" i="12" a="1"/>
  <c r="AH13" i="12" s="1"/>
  <c r="AH6" i="12" a="1"/>
  <c r="AH6" i="12" s="1"/>
  <c r="AH3" i="12" a="1"/>
  <c r="AH3" i="12" s="1"/>
  <c r="AH11" i="12" a="1"/>
  <c r="AH11" i="12" s="1"/>
  <c r="AH16" i="12" a="1"/>
  <c r="AH16" i="12" s="1"/>
  <c r="AH9" i="12" a="1"/>
  <c r="AH9" i="12" s="1"/>
  <c r="AH14" i="12" a="1"/>
  <c r="AH14" i="12" s="1"/>
  <c r="AH24" i="12" a="1"/>
  <c r="AH24" i="12" s="1"/>
  <c r="AH12" i="12" a="1"/>
  <c r="AH12" i="12" s="1"/>
  <c r="AH17" i="12" a="1"/>
  <c r="AH17" i="12" s="1"/>
  <c r="AH18" i="12" a="1"/>
  <c r="AH18" i="12" s="1"/>
  <c r="AH21" i="12" a="1"/>
  <c r="AH21" i="12" s="1"/>
  <c r="AH8" i="12" a="1"/>
  <c r="AH8" i="12" s="1"/>
  <c r="AH22" i="12" a="1"/>
  <c r="AH22" i="12" s="1"/>
  <c r="AH4" i="12" a="1"/>
  <c r="AH4" i="12" s="1"/>
  <c r="AH20" i="12" a="1"/>
  <c r="AH20" i="12" s="1"/>
  <c r="AH25" i="12" a="1"/>
  <c r="AH25" i="12" s="1"/>
  <c r="AH19" i="12" a="1"/>
  <c r="AH19" i="12" s="1"/>
  <c r="AH23" i="12" a="1"/>
  <c r="AH23" i="12" s="1"/>
  <c r="N3" i="12" a="1"/>
  <c r="N3" i="12" s="1"/>
  <c r="N11" i="12" a="1"/>
  <c r="N11" i="12" s="1"/>
  <c r="N6" i="12" a="1"/>
  <c r="N6" i="12" s="1"/>
  <c r="N14" i="12" a="1"/>
  <c r="N14" i="12" s="1"/>
  <c r="N9" i="12" a="1"/>
  <c r="N9" i="12" s="1"/>
  <c r="N17" i="12" a="1"/>
  <c r="N17" i="12" s="1"/>
  <c r="N19" i="12" a="1"/>
  <c r="N19" i="12" s="1"/>
  <c r="N8" i="12" a="1"/>
  <c r="N8" i="12" s="1"/>
  <c r="N4" i="12" a="1"/>
  <c r="N4" i="12" s="1"/>
  <c r="N22" i="12" a="1"/>
  <c r="N22" i="12" s="1"/>
  <c r="N25" i="12" a="1"/>
  <c r="N25" i="12" s="1"/>
  <c r="N21" i="12" a="1"/>
  <c r="N21" i="12" s="1"/>
  <c r="N20" i="12" a="1"/>
  <c r="N20" i="12" s="1"/>
  <c r="N23" i="12" a="1"/>
  <c r="N23" i="12" s="1"/>
  <c r="N12" i="12" a="1"/>
  <c r="N12" i="12" s="1"/>
  <c r="N7" i="12" a="1"/>
  <c r="N7" i="12" s="1"/>
  <c r="N10" i="12" a="1"/>
  <c r="N10" i="12" s="1"/>
  <c r="N15" i="12" a="1"/>
  <c r="N15" i="12" s="1"/>
  <c r="N5" i="12" a="1"/>
  <c r="N5" i="12" s="1"/>
  <c r="N13" i="12" a="1"/>
  <c r="N13" i="12" s="1"/>
  <c r="N18" i="12" a="1"/>
  <c r="N18" i="12" s="1"/>
  <c r="N16" i="12" a="1"/>
  <c r="N16" i="12" s="1"/>
  <c r="N24" i="12" a="1"/>
  <c r="N24" i="12" s="1"/>
  <c r="AI4" i="12" a="1"/>
  <c r="AI4" i="12" s="1"/>
  <c r="AI12" i="12" a="1"/>
  <c r="AI12" i="12" s="1"/>
  <c r="AI7" i="12" a="1"/>
  <c r="AI7" i="12" s="1"/>
  <c r="AI15" i="12" a="1"/>
  <c r="AI15" i="12" s="1"/>
  <c r="AI10" i="12" a="1"/>
  <c r="AI10" i="12" s="1"/>
  <c r="AI18" i="12" a="1"/>
  <c r="AI18" i="12" s="1"/>
  <c r="AI3" i="12" a="1"/>
  <c r="AI3" i="12" s="1"/>
  <c r="AI5" i="12" a="1"/>
  <c r="AI5" i="12" s="1"/>
  <c r="AI19" i="12" a="1"/>
  <c r="AI19" i="12" s="1"/>
  <c r="AI23" i="12" a="1"/>
  <c r="AI23" i="12" s="1"/>
  <c r="AI13" i="12" a="1"/>
  <c r="AI13" i="12" s="1"/>
  <c r="AI11" i="12" a="1"/>
  <c r="AI11" i="12" s="1"/>
  <c r="AI16" i="12" a="1"/>
  <c r="AI16" i="12" s="1"/>
  <c r="AI9" i="12" a="1"/>
  <c r="AI9" i="12" s="1"/>
  <c r="AI14" i="12" a="1"/>
  <c r="AI14" i="12" s="1"/>
  <c r="AI24" i="12" a="1"/>
  <c r="AI24" i="12" s="1"/>
  <c r="AI17" i="12" a="1"/>
  <c r="AI17" i="12" s="1"/>
  <c r="AI6" i="12" a="1"/>
  <c r="AI6" i="12" s="1"/>
  <c r="AI21" i="12" a="1"/>
  <c r="AI21" i="12" s="1"/>
  <c r="AI8" i="12" a="1"/>
  <c r="AI8" i="12" s="1"/>
  <c r="AI22" i="12" a="1"/>
  <c r="AI22" i="12" s="1"/>
  <c r="AI20" i="12" a="1"/>
  <c r="AI20" i="12" s="1"/>
  <c r="AI25" i="12" a="1"/>
  <c r="AI25" i="12" s="1"/>
  <c r="P5" i="12" a="1"/>
  <c r="P5" i="12" s="1"/>
  <c r="P13" i="12" a="1"/>
  <c r="P13" i="12" s="1"/>
  <c r="P8" i="12" a="1"/>
  <c r="P8" i="12" s="1"/>
  <c r="P16" i="12" a="1"/>
  <c r="P16" i="12" s="1"/>
  <c r="P3" i="12" a="1"/>
  <c r="P3" i="12" s="1"/>
  <c r="P11" i="12" a="1"/>
  <c r="P11" i="12" s="1"/>
  <c r="P19" i="12" a="1"/>
  <c r="P19" i="12" s="1"/>
  <c r="P4" i="12" a="1"/>
  <c r="P4" i="12" s="1"/>
  <c r="P9" i="12" a="1"/>
  <c r="P9" i="12" s="1"/>
  <c r="P24" i="12" a="1"/>
  <c r="P24" i="12" s="1"/>
  <c r="P6" i="12" a="1"/>
  <c r="P6" i="12" s="1"/>
  <c r="P22" i="12" a="1"/>
  <c r="P22" i="12" s="1"/>
  <c r="P25" i="12" a="1"/>
  <c r="P25" i="12" s="1"/>
  <c r="P21" i="12" a="1"/>
  <c r="P21" i="12" s="1"/>
  <c r="P7" i="12" a="1"/>
  <c r="P7" i="12" s="1"/>
  <c r="P14" i="12" a="1"/>
  <c r="P14" i="12" s="1"/>
  <c r="P20" i="12" a="1"/>
  <c r="P20" i="12" s="1"/>
  <c r="P23" i="12" a="1"/>
  <c r="P23" i="12" s="1"/>
  <c r="P12" i="12" a="1"/>
  <c r="P12" i="12" s="1"/>
  <c r="P17" i="12" a="1"/>
  <c r="P17" i="12" s="1"/>
  <c r="P10" i="12" a="1"/>
  <c r="P10" i="12" s="1"/>
  <c r="P15" i="12" a="1"/>
  <c r="P15" i="12" s="1"/>
  <c r="P18" i="12" a="1"/>
  <c r="P18" i="12" s="1"/>
  <c r="AJ9" i="12" a="1"/>
  <c r="AJ9" i="12" s="1"/>
  <c r="AJ17" i="12" a="1"/>
  <c r="AJ17" i="12" s="1"/>
  <c r="AJ4" i="12" a="1"/>
  <c r="AJ4" i="12" s="1"/>
  <c r="AJ12" i="12" a="1"/>
  <c r="AJ12" i="12" s="1"/>
  <c r="AJ7" i="12" a="1"/>
  <c r="AJ7" i="12" s="1"/>
  <c r="AJ15" i="12" a="1"/>
  <c r="AJ15" i="12" s="1"/>
  <c r="AJ8" i="12" a="1"/>
  <c r="AJ8" i="12" s="1"/>
  <c r="AJ5" i="12" a="1"/>
  <c r="AJ5" i="12" s="1"/>
  <c r="AJ19" i="12" a="1"/>
  <c r="AJ19" i="12" s="1"/>
  <c r="AJ23" i="12" a="1"/>
  <c r="AJ23" i="12" s="1"/>
  <c r="AJ3" i="12" a="1"/>
  <c r="AJ3" i="12" s="1"/>
  <c r="AJ10" i="12" a="1"/>
  <c r="AJ10" i="12" s="1"/>
  <c r="AJ13" i="12" a="1"/>
  <c r="AJ13" i="12" s="1"/>
  <c r="AJ11" i="12" a="1"/>
  <c r="AJ11" i="12" s="1"/>
  <c r="AJ16" i="12" a="1"/>
  <c r="AJ16" i="12" s="1"/>
  <c r="AJ14" i="12" a="1"/>
  <c r="AJ14" i="12" s="1"/>
  <c r="AJ18" i="12" a="1"/>
  <c r="AJ18" i="12" s="1"/>
  <c r="AJ24" i="12" a="1"/>
  <c r="AJ24" i="12" s="1"/>
  <c r="AJ6" i="12" a="1"/>
  <c r="AJ6" i="12" s="1"/>
  <c r="AJ21" i="12" a="1"/>
  <c r="AJ21" i="12" s="1"/>
  <c r="AJ22" i="12" a="1"/>
  <c r="AJ22" i="12" s="1"/>
  <c r="AJ25" i="12" a="1"/>
  <c r="AJ25" i="12" s="1"/>
  <c r="AJ20" i="12" a="1"/>
  <c r="AJ20" i="12" s="1"/>
  <c r="R7" i="12" a="1"/>
  <c r="R7" i="12" s="1"/>
  <c r="R15" i="12" a="1"/>
  <c r="R15" i="12" s="1"/>
  <c r="R10" i="12" a="1"/>
  <c r="R10" i="12" s="1"/>
  <c r="R18" i="12" a="1"/>
  <c r="R18" i="12" s="1"/>
  <c r="R5" i="12" a="1"/>
  <c r="R5" i="12" s="1"/>
  <c r="R13" i="12" a="1"/>
  <c r="R13" i="12" s="1"/>
  <c r="R6" i="12" a="1"/>
  <c r="R6" i="12" s="1"/>
  <c r="R3" i="12" a="1"/>
  <c r="R3" i="12" s="1"/>
  <c r="R12" i="12" a="1"/>
  <c r="R12" i="12" s="1"/>
  <c r="R17" i="12" a="1"/>
  <c r="R17" i="12" s="1"/>
  <c r="R9" i="12" a="1"/>
  <c r="R9" i="12" s="1"/>
  <c r="R8" i="12" a="1"/>
  <c r="R8" i="12" s="1"/>
  <c r="R19" i="12" a="1"/>
  <c r="R19" i="12" s="1"/>
  <c r="R24" i="12" a="1"/>
  <c r="R24" i="12" s="1"/>
  <c r="R4" i="12" a="1"/>
  <c r="R4" i="12" s="1"/>
  <c r="R11" i="12" a="1"/>
  <c r="R11" i="12" s="1"/>
  <c r="R16" i="12" a="1"/>
  <c r="R16" i="12" s="1"/>
  <c r="R22" i="12" a="1"/>
  <c r="R22" i="12" s="1"/>
  <c r="R21" i="12" a="1"/>
  <c r="R21" i="12" s="1"/>
  <c r="R25" i="12" a="1"/>
  <c r="R25" i="12" s="1"/>
  <c r="R14" i="12" a="1"/>
  <c r="R14" i="12" s="1"/>
  <c r="R20" i="12" a="1"/>
  <c r="R20" i="12" s="1"/>
  <c r="R23" i="12" a="1"/>
  <c r="R23" i="12" s="1"/>
  <c r="AK6" i="12" a="1"/>
  <c r="AK6" i="12" s="1"/>
  <c r="AK14" i="12" a="1"/>
  <c r="AK14" i="12" s="1"/>
  <c r="AK9" i="12" a="1"/>
  <c r="AK9" i="12" s="1"/>
  <c r="AK17" i="12" a="1"/>
  <c r="AK17" i="12" s="1"/>
  <c r="AK4" i="12" a="1"/>
  <c r="AK4" i="12" s="1"/>
  <c r="AK12" i="12" a="1"/>
  <c r="AK12" i="12" s="1"/>
  <c r="AK5" i="12" a="1"/>
  <c r="AK5" i="12" s="1"/>
  <c r="AK25" i="12" a="1"/>
  <c r="AK25" i="12" s="1"/>
  <c r="AK7" i="12" a="1"/>
  <c r="AK7" i="12" s="1"/>
  <c r="AK19" i="12" a="1"/>
  <c r="AK19" i="12" s="1"/>
  <c r="AK23" i="12" a="1"/>
  <c r="AK23" i="12" s="1"/>
  <c r="AK3" i="12" a="1"/>
  <c r="AK3" i="12" s="1"/>
  <c r="AK10" i="12" a="1"/>
  <c r="AK10" i="12" s="1"/>
  <c r="AK15" i="12" a="1"/>
  <c r="AK15" i="12" s="1"/>
  <c r="AK13" i="12" a="1"/>
  <c r="AK13" i="12" s="1"/>
  <c r="AK11" i="12" a="1"/>
  <c r="AK11" i="12" s="1"/>
  <c r="AK16" i="12" a="1"/>
  <c r="AK16" i="12" s="1"/>
  <c r="AK18" i="12" a="1"/>
  <c r="AK18" i="12" s="1"/>
  <c r="AK24" i="12" a="1"/>
  <c r="AK24" i="12" s="1"/>
  <c r="AK8" i="12" a="1"/>
  <c r="AK8" i="12" s="1"/>
  <c r="AK21" i="12" a="1"/>
  <c r="AK21" i="12" s="1"/>
  <c r="AK20" i="12" a="1"/>
  <c r="AK20" i="12" s="1"/>
  <c r="AK22" i="12" a="1"/>
  <c r="AK22" i="12" s="1"/>
  <c r="AF5" i="12" a="1"/>
  <c r="AF5" i="12" s="1"/>
  <c r="AF13" i="12" a="1"/>
  <c r="AF13" i="12" s="1"/>
  <c r="AF8" i="12" a="1"/>
  <c r="AF8" i="12" s="1"/>
  <c r="AF16" i="12" a="1"/>
  <c r="AF16" i="12" s="1"/>
  <c r="AF3" i="12" a="1"/>
  <c r="AF3" i="12" s="1"/>
  <c r="AF11" i="12" a="1"/>
  <c r="AF11" i="12" s="1"/>
  <c r="AF19" i="12" a="1"/>
  <c r="AF19" i="12" s="1"/>
  <c r="AF4" i="12" a="1"/>
  <c r="AF4" i="12" s="1"/>
  <c r="AF14" i="12" a="1"/>
  <c r="AF14" i="12" s="1"/>
  <c r="AF24" i="12" a="1"/>
  <c r="AF24" i="12" s="1"/>
  <c r="AF9" i="12" a="1"/>
  <c r="AF9" i="12" s="1"/>
  <c r="AF12" i="12" a="1"/>
  <c r="AF12" i="12" s="1"/>
  <c r="AF17" i="12" a="1"/>
  <c r="AF17" i="12" s="1"/>
  <c r="AF10" i="12" a="1"/>
  <c r="AF10" i="12" s="1"/>
  <c r="AF15" i="12" a="1"/>
  <c r="AF15" i="12" s="1"/>
  <c r="AF18" i="12" a="1"/>
  <c r="AF18" i="12" s="1"/>
  <c r="AF6" i="12" a="1"/>
  <c r="AF6" i="12" s="1"/>
  <c r="AF21" i="12" a="1"/>
  <c r="AF21" i="12" s="1"/>
  <c r="AF22" i="12" a="1"/>
  <c r="AF22" i="12" s="1"/>
  <c r="AF20" i="12" a="1"/>
  <c r="AF20" i="12" s="1"/>
  <c r="AF25" i="12" a="1"/>
  <c r="AF25" i="12" s="1"/>
  <c r="AF23" i="12" a="1"/>
  <c r="AF23" i="12" s="1"/>
  <c r="AF7" i="12" a="1"/>
  <c r="AF7" i="12" s="1"/>
  <c r="S4" i="12" a="1"/>
  <c r="S4" i="12" s="1"/>
  <c r="S12" i="12" a="1"/>
  <c r="S12" i="12" s="1"/>
  <c r="S7" i="12" a="1"/>
  <c r="S7" i="12" s="1"/>
  <c r="S15" i="12" a="1"/>
  <c r="S15" i="12" s="1"/>
  <c r="S10" i="12" a="1"/>
  <c r="S10" i="12" s="1"/>
  <c r="S18" i="12" a="1"/>
  <c r="S18" i="12" s="1"/>
  <c r="S3" i="12" a="1"/>
  <c r="S3" i="12" s="1"/>
  <c r="S11" i="12" a="1"/>
  <c r="S11" i="12" s="1"/>
  <c r="S16" i="12" a="1"/>
  <c r="S16" i="12" s="1"/>
  <c r="S14" i="12" a="1"/>
  <c r="S14" i="12" s="1"/>
  <c r="S20" i="12" a="1"/>
  <c r="S20" i="12" s="1"/>
  <c r="S23" i="12" a="1"/>
  <c r="S23" i="12" s="1"/>
  <c r="S17" i="12" a="1"/>
  <c r="S17" i="12" s="1"/>
  <c r="S9" i="12" a="1"/>
  <c r="S9" i="12" s="1"/>
  <c r="S8" i="12" a="1"/>
  <c r="S8" i="12" s="1"/>
  <c r="S6" i="12" a="1"/>
  <c r="S6" i="12" s="1"/>
  <c r="S19" i="12" a="1"/>
  <c r="S19" i="12" s="1"/>
  <c r="S24" i="12" a="1"/>
  <c r="S24" i="12" s="1"/>
  <c r="S22" i="12" a="1"/>
  <c r="S22" i="12" s="1"/>
  <c r="S21" i="12" a="1"/>
  <c r="S21" i="12" s="1"/>
  <c r="S25" i="12" a="1"/>
  <c r="S25" i="12" s="1"/>
  <c r="S5" i="12" a="1"/>
  <c r="S5" i="12" s="1"/>
  <c r="S13" i="12" a="1"/>
  <c r="S13" i="12" s="1"/>
  <c r="AL3" i="12" a="1"/>
  <c r="AL3" i="12" s="1"/>
  <c r="AL11" i="12" a="1"/>
  <c r="AL11" i="12" s="1"/>
  <c r="AL6" i="12" a="1"/>
  <c r="AL6" i="12" s="1"/>
  <c r="AL14" i="12" a="1"/>
  <c r="AL14" i="12" s="1"/>
  <c r="AL9" i="12" a="1"/>
  <c r="AL9" i="12" s="1"/>
  <c r="AL17" i="12" a="1"/>
  <c r="AL17" i="12" s="1"/>
  <c r="AL20" i="12" a="1"/>
  <c r="AL20" i="12" s="1"/>
  <c r="AL22" i="12" a="1"/>
  <c r="AL22" i="12" s="1"/>
  <c r="AL25" i="12" a="1"/>
  <c r="AL25" i="12" s="1"/>
  <c r="AL7" i="12" a="1"/>
  <c r="AL7" i="12" s="1"/>
  <c r="AL5" i="12" a="1"/>
  <c r="AL5" i="12" s="1"/>
  <c r="AL19" i="12" a="1"/>
  <c r="AL19" i="12" s="1"/>
  <c r="AL23" i="12" a="1"/>
  <c r="AL23" i="12" s="1"/>
  <c r="AL12" i="12" a="1"/>
  <c r="AL12" i="12" s="1"/>
  <c r="AL10" i="12" a="1"/>
  <c r="AL10" i="12" s="1"/>
  <c r="AL15" i="12" a="1"/>
  <c r="AL15" i="12" s="1"/>
  <c r="AL13" i="12" a="1"/>
  <c r="AL13" i="12" s="1"/>
  <c r="AL16" i="12" a="1"/>
  <c r="AL16" i="12" s="1"/>
  <c r="AL4" i="12" a="1"/>
  <c r="AL4" i="12" s="1"/>
  <c r="AL18" i="12" a="1"/>
  <c r="AL18" i="12" s="1"/>
  <c r="AL24" i="12" a="1"/>
  <c r="AL24" i="12" s="1"/>
  <c r="AL21" i="12" a="1"/>
  <c r="AL21" i="12" s="1"/>
  <c r="AL8" i="12" a="1"/>
  <c r="AL8" i="12" s="1"/>
  <c r="V3" i="12" a="1"/>
  <c r="V3" i="12" s="1"/>
  <c r="V11" i="12" a="1"/>
  <c r="V11" i="12" s="1"/>
  <c r="V6" i="12" a="1"/>
  <c r="V6" i="12" s="1"/>
  <c r="V14" i="12" a="1"/>
  <c r="V14" i="12" s="1"/>
  <c r="V9" i="12" a="1"/>
  <c r="V9" i="12" s="1"/>
  <c r="V17" i="12" a="1"/>
  <c r="V17" i="12" s="1"/>
  <c r="V22" i="12" a="1"/>
  <c r="V22" i="12" s="1"/>
  <c r="V7" i="12" a="1"/>
  <c r="V7" i="12" s="1"/>
  <c r="V5" i="12" a="1"/>
  <c r="V5" i="12" s="1"/>
  <c r="V12" i="12" a="1"/>
  <c r="V12" i="12" s="1"/>
  <c r="V21" i="12" a="1"/>
  <c r="V21" i="12" s="1"/>
  <c r="V25" i="12" a="1"/>
  <c r="V25" i="12" s="1"/>
  <c r="V10" i="12" a="1"/>
  <c r="V10" i="12" s="1"/>
  <c r="V15" i="12" a="1"/>
  <c r="V15" i="12" s="1"/>
  <c r="V13" i="12" a="1"/>
  <c r="V13" i="12" s="1"/>
  <c r="V18" i="12" a="1"/>
  <c r="V18" i="12" s="1"/>
  <c r="V20" i="12" a="1"/>
  <c r="V20" i="12" s="1"/>
  <c r="V16" i="12" a="1"/>
  <c r="V16" i="12" s="1"/>
  <c r="V23" i="12" a="1"/>
  <c r="V23" i="12" s="1"/>
  <c r="V4" i="12" a="1"/>
  <c r="V4" i="12" s="1"/>
  <c r="V8" i="12" a="1"/>
  <c r="V8" i="12" s="1"/>
  <c r="V19" i="12" a="1"/>
  <c r="V19" i="12" s="1"/>
  <c r="V24" i="12" a="1"/>
  <c r="V24" i="12" s="1"/>
  <c r="D9" i="12" a="1"/>
  <c r="D9" i="12" s="1"/>
  <c r="D17" i="12" a="1"/>
  <c r="D17" i="12" s="1"/>
  <c r="D4" i="12" a="1"/>
  <c r="D4" i="12" s="1"/>
  <c r="D12" i="12" a="1"/>
  <c r="D12" i="12" s="1"/>
  <c r="D7" i="12" a="1"/>
  <c r="D7" i="12" s="1"/>
  <c r="D15" i="12" a="1"/>
  <c r="D15" i="12" s="1"/>
  <c r="D8" i="12" a="1"/>
  <c r="D8" i="12" s="1"/>
  <c r="D3" i="12" a="1"/>
  <c r="D3" i="12" s="1"/>
  <c r="D22" i="12" a="1"/>
  <c r="D22" i="12" s="1"/>
  <c r="D21" i="12" a="1"/>
  <c r="D21" i="12" s="1"/>
  <c r="D23" i="12" a="1"/>
  <c r="D23" i="12" s="1"/>
  <c r="D6" i="12" a="1"/>
  <c r="D6" i="12" s="1"/>
  <c r="D20" i="12" a="1"/>
  <c r="D20" i="12" s="1"/>
  <c r="D24" i="12" a="1"/>
  <c r="D24" i="12" s="1"/>
  <c r="D10" i="12" a="1"/>
  <c r="D10" i="12" s="1"/>
  <c r="D13" i="12" a="1"/>
  <c r="D13" i="12" s="1"/>
  <c r="D18" i="12" a="1"/>
  <c r="D18" i="12" s="1"/>
  <c r="D11" i="12" a="1"/>
  <c r="D11" i="12" s="1"/>
  <c r="D16" i="12" a="1"/>
  <c r="D16" i="12" s="1"/>
  <c r="D14" i="12" a="1"/>
  <c r="D14" i="12" s="1"/>
  <c r="D5" i="12" a="1"/>
  <c r="D5" i="12" s="1"/>
  <c r="D19" i="12" a="1"/>
  <c r="D19" i="12" s="1"/>
  <c r="D25" i="12" a="1"/>
  <c r="D25" i="12" s="1"/>
  <c r="W8" i="12" a="1"/>
  <c r="W8" i="12" s="1"/>
  <c r="W16" i="12" a="1"/>
  <c r="W16" i="12" s="1"/>
  <c r="W3" i="12" a="1"/>
  <c r="W3" i="12" s="1"/>
  <c r="W11" i="12" a="1"/>
  <c r="W11" i="12" s="1"/>
  <c r="W6" i="12" a="1"/>
  <c r="W6" i="12" s="1"/>
  <c r="W14" i="12" a="1"/>
  <c r="W14" i="12" s="1"/>
  <c r="W7" i="12" a="1"/>
  <c r="W7" i="12" s="1"/>
  <c r="W22" i="12" a="1"/>
  <c r="W22" i="12" s="1"/>
  <c r="W5" i="12" a="1"/>
  <c r="W5" i="12" s="1"/>
  <c r="W12" i="12" a="1"/>
  <c r="W12" i="12" s="1"/>
  <c r="W17" i="12" a="1"/>
  <c r="W17" i="12" s="1"/>
  <c r="W21" i="12" a="1"/>
  <c r="W21" i="12" s="1"/>
  <c r="W25" i="12" a="1"/>
  <c r="W25" i="12" s="1"/>
  <c r="W9" i="12" a="1"/>
  <c r="W9" i="12" s="1"/>
  <c r="W10" i="12" a="1"/>
  <c r="W10" i="12" s="1"/>
  <c r="W15" i="12" a="1"/>
  <c r="W15" i="12" s="1"/>
  <c r="W13" i="12" a="1"/>
  <c r="W13" i="12" s="1"/>
  <c r="W18" i="12" a="1"/>
  <c r="W18" i="12" s="1"/>
  <c r="W20" i="12" a="1"/>
  <c r="W20" i="12" s="1"/>
  <c r="W23" i="12" a="1"/>
  <c r="W23" i="12" s="1"/>
  <c r="W4" i="12" a="1"/>
  <c r="W4" i="12" s="1"/>
  <c r="W24" i="12" a="1"/>
  <c r="W24" i="12" s="1"/>
  <c r="W19" i="12" a="1"/>
  <c r="W19" i="12" s="1"/>
  <c r="M6" i="12" a="1"/>
  <c r="M6" i="12" s="1"/>
  <c r="M14" i="12" a="1"/>
  <c r="M14" i="12" s="1"/>
  <c r="M9" i="12" a="1"/>
  <c r="M9" i="12" s="1"/>
  <c r="M17" i="12" a="1"/>
  <c r="M17" i="12" s="1"/>
  <c r="M4" i="12" a="1"/>
  <c r="M4" i="12" s="1"/>
  <c r="M12" i="12" a="1"/>
  <c r="M12" i="12" s="1"/>
  <c r="M20" i="12" a="1"/>
  <c r="M20" i="12" s="1"/>
  <c r="M5" i="12" a="1"/>
  <c r="M5" i="12" s="1"/>
  <c r="M22" i="12" a="1"/>
  <c r="M22" i="12" s="1"/>
  <c r="M25" i="12" a="1"/>
  <c r="M25" i="12" s="1"/>
  <c r="M21" i="12" a="1"/>
  <c r="M21" i="12" s="1"/>
  <c r="M23" i="12" a="1"/>
  <c r="M23" i="12" s="1"/>
  <c r="M7" i="12" a="1"/>
  <c r="M7" i="12" s="1"/>
  <c r="M10" i="12" a="1"/>
  <c r="M10" i="12" s="1"/>
  <c r="M15" i="12" a="1"/>
  <c r="M15" i="12" s="1"/>
  <c r="M13" i="12" a="1"/>
  <c r="M13" i="12" s="1"/>
  <c r="M18" i="12" a="1"/>
  <c r="M18" i="12" s="1"/>
  <c r="M11" i="12" a="1"/>
  <c r="M11" i="12" s="1"/>
  <c r="M16" i="12" a="1"/>
  <c r="M16" i="12" s="1"/>
  <c r="M3" i="12" a="1"/>
  <c r="M3" i="12" s="1"/>
  <c r="M24" i="12" a="1"/>
  <c r="M24" i="12" s="1"/>
  <c r="M8" i="12" a="1"/>
  <c r="M8" i="12" s="1"/>
  <c r="M19" i="12" a="1"/>
  <c r="M19" i="12" s="1"/>
  <c r="AC6" i="12" a="1"/>
  <c r="AC6" i="12" s="1"/>
  <c r="AC14" i="12" a="1"/>
  <c r="AC14" i="12" s="1"/>
  <c r="AC9" i="12" a="1"/>
  <c r="AC9" i="12" s="1"/>
  <c r="AC17" i="12" a="1"/>
  <c r="AC17" i="12" s="1"/>
  <c r="AC4" i="12" a="1"/>
  <c r="AC4" i="12" s="1"/>
  <c r="AC12" i="12" a="1"/>
  <c r="AC12" i="12" s="1"/>
  <c r="AC5" i="12" a="1"/>
  <c r="AC5" i="12" s="1"/>
  <c r="AC13" i="12" a="1"/>
  <c r="AC13" i="12" s="1"/>
  <c r="AC20" i="12" a="1"/>
  <c r="AC20" i="12" s="1"/>
  <c r="AC25" i="12" a="1"/>
  <c r="AC25" i="12" s="1"/>
  <c r="AC8" i="12" a="1"/>
  <c r="AC8" i="12" s="1"/>
  <c r="AC23" i="12" a="1"/>
  <c r="AC23" i="12" s="1"/>
  <c r="AC19" i="12" a="1"/>
  <c r="AC19" i="12" s="1"/>
  <c r="AC7" i="12" a="1"/>
  <c r="AC7" i="12" s="1"/>
  <c r="AC24" i="12" a="1"/>
  <c r="AC24" i="12" s="1"/>
  <c r="AC3" i="12" a="1"/>
  <c r="AC3" i="12" s="1"/>
  <c r="AC10" i="12" a="1"/>
  <c r="AC10" i="12" s="1"/>
  <c r="AC15" i="12" a="1"/>
  <c r="AC15" i="12" s="1"/>
  <c r="AC22" i="12" a="1"/>
  <c r="AC22" i="12" s="1"/>
  <c r="AC18" i="12" a="1"/>
  <c r="AC18" i="12" s="1"/>
  <c r="AC11" i="12" a="1"/>
  <c r="AC11" i="12" s="1"/>
  <c r="AC16" i="12" a="1"/>
  <c r="AC16" i="12" s="1"/>
  <c r="AC21" i="12" a="1"/>
  <c r="AC21" i="12" s="1"/>
  <c r="O8" i="12" a="1"/>
  <c r="O8" i="12" s="1"/>
  <c r="O16" i="12" a="1"/>
  <c r="O16" i="12" s="1"/>
  <c r="O3" i="12" a="1"/>
  <c r="O3" i="12" s="1"/>
  <c r="O11" i="12" a="1"/>
  <c r="O11" i="12" s="1"/>
  <c r="O6" i="12" a="1"/>
  <c r="O6" i="12" s="1"/>
  <c r="O14" i="12" a="1"/>
  <c r="O14" i="12" s="1"/>
  <c r="O7" i="12" a="1"/>
  <c r="O7" i="12" s="1"/>
  <c r="O19" i="12" a="1"/>
  <c r="O19" i="12" s="1"/>
  <c r="O22" i="12" a="1"/>
  <c r="O22" i="12" s="1"/>
  <c r="O4" i="12" a="1"/>
  <c r="O4" i="12" s="1"/>
  <c r="O25" i="12" a="1"/>
  <c r="O25" i="12" s="1"/>
  <c r="O21" i="12" a="1"/>
  <c r="O21" i="12" s="1"/>
  <c r="O20" i="12" a="1"/>
  <c r="O20" i="12" s="1"/>
  <c r="O23" i="12" a="1"/>
  <c r="O23" i="12" s="1"/>
  <c r="O12" i="12" a="1"/>
  <c r="O12" i="12" s="1"/>
  <c r="O17" i="12" a="1"/>
  <c r="O17" i="12" s="1"/>
  <c r="O10" i="12" a="1"/>
  <c r="O10" i="12" s="1"/>
  <c r="O15" i="12" a="1"/>
  <c r="O15" i="12" s="1"/>
  <c r="O5" i="12" a="1"/>
  <c r="O5" i="12" s="1"/>
  <c r="O9" i="12" a="1"/>
  <c r="O9" i="12" s="1"/>
  <c r="O13" i="12" a="1"/>
  <c r="O13" i="12" s="1"/>
  <c r="O18" i="12" a="1"/>
  <c r="O18" i="12" s="1"/>
  <c r="O24" i="12" a="1"/>
  <c r="O24" i="12" s="1"/>
  <c r="AE8" i="12" a="1"/>
  <c r="AE8" i="12" s="1"/>
  <c r="AE16" i="12" a="1"/>
  <c r="AE16" i="12" s="1"/>
  <c r="AE3" i="12" a="1"/>
  <c r="AE3" i="12" s="1"/>
  <c r="AE11" i="12" a="1"/>
  <c r="AE11" i="12" s="1"/>
  <c r="AE6" i="12" a="1"/>
  <c r="AE6" i="12" s="1"/>
  <c r="AE14" i="12" a="1"/>
  <c r="AE14" i="12" s="1"/>
  <c r="AE7" i="12" a="1"/>
  <c r="AE7" i="12" s="1"/>
  <c r="AE9" i="12" a="1"/>
  <c r="AE9" i="12" s="1"/>
  <c r="AE12" i="12" a="1"/>
  <c r="AE12" i="12" s="1"/>
  <c r="AE17" i="12" a="1"/>
  <c r="AE17" i="12" s="1"/>
  <c r="AE10" i="12" a="1"/>
  <c r="AE10" i="12" s="1"/>
  <c r="AE15" i="12" a="1"/>
  <c r="AE15" i="12" s="1"/>
  <c r="AE13" i="12" a="1"/>
  <c r="AE13" i="12" s="1"/>
  <c r="AE18" i="12" a="1"/>
  <c r="AE18" i="12" s="1"/>
  <c r="AE21" i="12" a="1"/>
  <c r="AE21" i="12" s="1"/>
  <c r="AE22" i="12" a="1"/>
  <c r="AE22" i="12" s="1"/>
  <c r="AE20" i="12" a="1"/>
  <c r="AE20" i="12" s="1"/>
  <c r="AE25" i="12" a="1"/>
  <c r="AE25" i="12" s="1"/>
  <c r="AE4" i="12" a="1"/>
  <c r="AE4" i="12" s="1"/>
  <c r="AE5" i="12" a="1"/>
  <c r="AE5" i="12" s="1"/>
  <c r="AE23" i="12" a="1"/>
  <c r="AE23" i="12" s="1"/>
  <c r="AE19" i="12" a="1"/>
  <c r="AE19" i="12" s="1"/>
  <c r="AE24" i="12" a="1"/>
  <c r="AE24" i="12" s="1"/>
  <c r="Q10" i="12" a="1"/>
  <c r="Q10" i="12" s="1"/>
  <c r="Q18" i="12" a="1"/>
  <c r="Q18" i="12" s="1"/>
  <c r="Q5" i="12" a="1"/>
  <c r="Q5" i="12" s="1"/>
  <c r="Q13" i="12" a="1"/>
  <c r="Q13" i="12" s="1"/>
  <c r="Q8" i="12" a="1"/>
  <c r="Q8" i="12" s="1"/>
  <c r="Q16" i="12" a="1"/>
  <c r="Q16" i="12" s="1"/>
  <c r="Q9" i="12" a="1"/>
  <c r="Q9" i="12" s="1"/>
  <c r="Q12" i="12" a="1"/>
  <c r="Q12" i="12" s="1"/>
  <c r="Q19" i="12" a="1"/>
  <c r="Q19" i="12" s="1"/>
  <c r="Q24" i="12" a="1"/>
  <c r="Q24" i="12" s="1"/>
  <c r="Q6" i="12" a="1"/>
  <c r="Q6" i="12" s="1"/>
  <c r="Q4" i="12" a="1"/>
  <c r="Q4" i="12" s="1"/>
  <c r="Q22" i="12" a="1"/>
  <c r="Q22" i="12" s="1"/>
  <c r="Q25" i="12" a="1"/>
  <c r="Q25" i="12" s="1"/>
  <c r="Q21" i="12" a="1"/>
  <c r="Q21" i="12" s="1"/>
  <c r="Q11" i="12" a="1"/>
  <c r="Q11" i="12" s="1"/>
  <c r="Q7" i="12" a="1"/>
  <c r="Q7" i="12" s="1"/>
  <c r="Q14" i="12" a="1"/>
  <c r="Q14" i="12" s="1"/>
  <c r="Q20" i="12" a="1"/>
  <c r="Q20" i="12" s="1"/>
  <c r="Q23" i="12" a="1"/>
  <c r="Q23" i="12" s="1"/>
  <c r="Q3" i="12" a="1"/>
  <c r="Q3" i="12" s="1"/>
  <c r="Q15" i="12" a="1"/>
  <c r="Q15" i="12" s="1"/>
  <c r="Q17" i="12" a="1"/>
  <c r="Q17" i="12" s="1"/>
  <c r="AG10" i="12" a="1"/>
  <c r="AG10" i="12" s="1"/>
  <c r="AG5" i="12" a="1"/>
  <c r="AG5" i="12" s="1"/>
  <c r="AG13" i="12" a="1"/>
  <c r="AG13" i="12" s="1"/>
  <c r="AG8" i="12" a="1"/>
  <c r="AG8" i="12" s="1"/>
  <c r="AG16" i="12" a="1"/>
  <c r="AG16" i="12" s="1"/>
  <c r="AG9" i="12" a="1"/>
  <c r="AG9" i="12" s="1"/>
  <c r="AG3" i="12" a="1"/>
  <c r="AG3" i="12" s="1"/>
  <c r="AG11" i="12" a="1"/>
  <c r="AG11" i="12" s="1"/>
  <c r="AG14" i="12" a="1"/>
  <c r="AG14" i="12" s="1"/>
  <c r="AG24" i="12" a="1"/>
  <c r="AG24" i="12" s="1"/>
  <c r="AG12" i="12" a="1"/>
  <c r="AG12" i="12" s="1"/>
  <c r="AG17" i="12" a="1"/>
  <c r="AG17" i="12" s="1"/>
  <c r="AG15" i="12" a="1"/>
  <c r="AG15" i="12" s="1"/>
  <c r="AG18" i="12" a="1"/>
  <c r="AG18" i="12" s="1"/>
  <c r="AG21" i="12" a="1"/>
  <c r="AG21" i="12" s="1"/>
  <c r="AG6" i="12" a="1"/>
  <c r="AG6" i="12" s="1"/>
  <c r="AG22" i="12" a="1"/>
  <c r="AG22" i="12" s="1"/>
  <c r="AG4" i="12" a="1"/>
  <c r="AG4" i="12" s="1"/>
  <c r="AG20" i="12" a="1"/>
  <c r="AG20" i="12" s="1"/>
  <c r="AG25" i="12" a="1"/>
  <c r="AG25" i="12" s="1"/>
  <c r="AG19" i="12" a="1"/>
  <c r="AG19" i="12" s="1"/>
  <c r="AG23" i="12" a="1"/>
  <c r="AG23" i="12" s="1"/>
  <c r="AG7" i="12" a="1"/>
  <c r="AG7" i="12" s="1"/>
  <c r="C3" i="12" a="1"/>
  <c r="C3" i="12" s="1"/>
  <c r="C4" i="12" a="1"/>
  <c r="C4" i="12" s="1"/>
  <c r="C12" i="12" a="1"/>
  <c r="C12" i="12" s="1"/>
  <c r="C20" i="12" a="1"/>
  <c r="C20" i="12" s="1"/>
  <c r="C15" i="12" a="1"/>
  <c r="C15" i="12" s="1"/>
  <c r="C7" i="12" a="1"/>
  <c r="C7" i="12" s="1"/>
  <c r="C5" i="12" a="1"/>
  <c r="C5" i="12" s="1"/>
  <c r="C13" i="12" a="1"/>
  <c r="C13" i="12" s="1"/>
  <c r="C21" i="12" a="1"/>
  <c r="C21" i="12" s="1"/>
  <c r="C6" i="12" a="1"/>
  <c r="C6" i="12" s="1"/>
  <c r="C14" i="12" a="1"/>
  <c r="C14" i="12" s="1"/>
  <c r="C22" i="12" a="1"/>
  <c r="C22" i="12" s="1"/>
  <c r="C16" i="12" a="1"/>
  <c r="C16" i="12" s="1"/>
  <c r="C8" i="12" a="1"/>
  <c r="C8" i="12" s="1"/>
  <c r="C24" i="12" a="1"/>
  <c r="C24" i="12" s="1"/>
  <c r="C9" i="12" a="1"/>
  <c r="C9" i="12" s="1"/>
  <c r="C17" i="12" a="1"/>
  <c r="C17" i="12" s="1"/>
  <c r="C25" i="12" a="1"/>
  <c r="C25" i="12" s="1"/>
  <c r="C23" i="12" a="1"/>
  <c r="C23" i="12" s="1"/>
  <c r="C10" i="12" a="1"/>
  <c r="C10" i="12" s="1"/>
  <c r="C18" i="12" a="1"/>
  <c r="C18" i="12" s="1"/>
  <c r="C11" i="12" a="1"/>
  <c r="C11" i="12" s="1"/>
  <c r="C19" i="12" a="1"/>
  <c r="C19" i="12" s="1"/>
  <c r="AI17" i="10" a="1"/>
  <c r="AI17" i="10" s="1"/>
  <c r="AI8" i="10" a="1"/>
  <c r="AI8" i="10" s="1"/>
  <c r="AI21" i="10" a="1"/>
  <c r="AI21" i="10" s="1"/>
  <c r="AI12" i="10" a="1"/>
  <c r="AI12" i="10" s="1"/>
  <c r="AI11" i="10" a="1"/>
  <c r="AI11" i="10" s="1"/>
  <c r="AI25" i="10" a="1"/>
  <c r="AI25" i="10" s="1"/>
  <c r="AI18" i="10" a="1"/>
  <c r="AI18" i="10" s="1"/>
  <c r="AI5" i="10" a="1"/>
  <c r="AI5" i="10" s="1"/>
  <c r="AI3" i="10" a="1"/>
  <c r="AI3" i="10" s="1"/>
  <c r="AI20" i="10" a="1"/>
  <c r="AI20" i="10" s="1"/>
  <c r="AI13" i="10" a="1"/>
  <c r="AI13" i="10" s="1"/>
  <c r="AI6" i="10" a="1"/>
  <c r="AI6" i="10" s="1"/>
  <c r="AI15" i="10" a="1"/>
  <c r="AI15" i="10" s="1"/>
  <c r="AI19" i="10" a="1"/>
  <c r="AI19" i="10" s="1"/>
  <c r="AI22" i="10" a="1"/>
  <c r="AI22" i="10" s="1"/>
  <c r="AI9" i="10" a="1"/>
  <c r="AI9" i="10" s="1"/>
  <c r="AI7" i="10" a="1"/>
  <c r="AI7" i="10" s="1"/>
  <c r="AI16" i="10" a="1"/>
  <c r="AI16" i="10" s="1"/>
  <c r="AI23" i="10" a="1"/>
  <c r="AI23" i="10" s="1"/>
  <c r="AI4" i="10" a="1"/>
  <c r="AI4" i="10" s="1"/>
  <c r="AI10" i="10" a="1"/>
  <c r="AI10" i="10" s="1"/>
  <c r="AI14" i="10" a="1"/>
  <c r="AI14" i="10" s="1"/>
  <c r="AI24" i="10" a="1"/>
  <c r="AI24" i="10" s="1"/>
  <c r="N25" i="10" a="1"/>
  <c r="N25" i="10" s="1"/>
  <c r="N23" i="10" a="1"/>
  <c r="N23" i="10" s="1"/>
  <c r="N21" i="10" a="1"/>
  <c r="N21" i="10" s="1"/>
  <c r="N19" i="10" a="1"/>
  <c r="N19" i="10" s="1"/>
  <c r="N17" i="10" a="1"/>
  <c r="N17" i="10" s="1"/>
  <c r="N15" i="10" a="1"/>
  <c r="N15" i="10" s="1"/>
  <c r="N13" i="10" a="1"/>
  <c r="N13" i="10" s="1"/>
  <c r="N11" i="10" a="1"/>
  <c r="N11" i="10" s="1"/>
  <c r="N9" i="10" a="1"/>
  <c r="N9" i="10" s="1"/>
  <c r="N7" i="10" a="1"/>
  <c r="N7" i="10" s="1"/>
  <c r="N10" i="10" a="1"/>
  <c r="N10" i="10" s="1"/>
  <c r="N14" i="10" a="1"/>
  <c r="N14" i="10" s="1"/>
  <c r="N6" i="10" a="1"/>
  <c r="N6" i="10" s="1"/>
  <c r="N18" i="10" a="1"/>
  <c r="N18" i="10" s="1"/>
  <c r="N20" i="10" a="1"/>
  <c r="N20" i="10" s="1"/>
  <c r="N4" i="10" a="1"/>
  <c r="N4" i="10" s="1"/>
  <c r="N22" i="10" a="1"/>
  <c r="N22" i="10" s="1"/>
  <c r="N8" i="10" a="1"/>
  <c r="N8" i="10" s="1"/>
  <c r="N24" i="10" a="1"/>
  <c r="N24" i="10" s="1"/>
  <c r="N3" i="10" a="1"/>
  <c r="N3" i="10" s="1"/>
  <c r="N16" i="10" a="1"/>
  <c r="N16" i="10" s="1"/>
  <c r="N5" i="10" a="1"/>
  <c r="N5" i="10" s="1"/>
  <c r="N12" i="10" a="1"/>
  <c r="N12" i="10" s="1"/>
  <c r="T25" i="10" a="1"/>
  <c r="T25" i="10" s="1"/>
  <c r="T16" i="10" a="1"/>
  <c r="T16" i="10" s="1"/>
  <c r="T11" i="10" a="1"/>
  <c r="T11" i="10" s="1"/>
  <c r="T20" i="10" a="1"/>
  <c r="T20" i="10" s="1"/>
  <c r="T19" i="10" a="1"/>
  <c r="T19" i="10" s="1"/>
  <c r="T5" i="10" a="1"/>
  <c r="T5" i="10" s="1"/>
  <c r="T3" i="10" a="1"/>
  <c r="T3" i="10" s="1"/>
  <c r="T12" i="10" a="1"/>
  <c r="T12" i="10" s="1"/>
  <c r="T14" i="10" a="1"/>
  <c r="T14" i="10" s="1"/>
  <c r="T21" i="10" a="1"/>
  <c r="T21" i="10" s="1"/>
  <c r="T7" i="10" a="1"/>
  <c r="T7" i="10" s="1"/>
  <c r="T23" i="10" a="1"/>
  <c r="T23" i="10" s="1"/>
  <c r="T9" i="10" a="1"/>
  <c r="T9" i="10" s="1"/>
  <c r="T13" i="10" a="1"/>
  <c r="T13" i="10" s="1"/>
  <c r="T8" i="10" a="1"/>
  <c r="T8" i="10" s="1"/>
  <c r="T6" i="10" a="1"/>
  <c r="T6" i="10" s="1"/>
  <c r="T17" i="10" a="1"/>
  <c r="T17" i="10" s="1"/>
  <c r="T24" i="10" a="1"/>
  <c r="T24" i="10" s="1"/>
  <c r="T18" i="10" a="1"/>
  <c r="T18" i="10" s="1"/>
  <c r="T15" i="10" a="1"/>
  <c r="T15" i="10" s="1"/>
  <c r="T10" i="10" a="1"/>
  <c r="T10" i="10" s="1"/>
  <c r="T4" i="10" a="1"/>
  <c r="T4" i="10" s="1"/>
  <c r="T22" i="10" a="1"/>
  <c r="T22" i="10" s="1"/>
  <c r="AE10" i="10" a="1"/>
  <c r="AE10" i="10" s="1"/>
  <c r="AE6" i="10" a="1"/>
  <c r="AE6" i="10" s="1"/>
  <c r="AE19" i="10" a="1"/>
  <c r="AE19" i="10" s="1"/>
  <c r="AE14" i="10" a="1"/>
  <c r="AE14" i="10" s="1"/>
  <c r="AE12" i="10" a="1"/>
  <c r="AE12" i="10" s="1"/>
  <c r="AE4" i="10" a="1"/>
  <c r="AE4" i="10" s="1"/>
  <c r="AE21" i="10" a="1"/>
  <c r="AE21" i="10" s="1"/>
  <c r="AE7" i="10" a="1"/>
  <c r="AE7" i="10" s="1"/>
  <c r="AE23" i="10" a="1"/>
  <c r="AE23" i="10" s="1"/>
  <c r="AE9" i="10" a="1"/>
  <c r="AE9" i="10" s="1"/>
  <c r="AE16" i="10" a="1"/>
  <c r="AE16" i="10" s="1"/>
  <c r="AE25" i="10" a="1"/>
  <c r="AE25" i="10" s="1"/>
  <c r="AE20" i="10" a="1"/>
  <c r="AE20" i="10" s="1"/>
  <c r="AE18" i="10" a="1"/>
  <c r="AE18" i="10" s="1"/>
  <c r="AE5" i="10" a="1"/>
  <c r="AE5" i="10" s="1"/>
  <c r="AE24" i="10" a="1"/>
  <c r="AE24" i="10" s="1"/>
  <c r="AE22" i="10" a="1"/>
  <c r="AE22" i="10" s="1"/>
  <c r="AE15" i="10" a="1"/>
  <c r="AE15" i="10" s="1"/>
  <c r="AE8" i="10" a="1"/>
  <c r="AE8" i="10" s="1"/>
  <c r="AE13" i="10" a="1"/>
  <c r="AE13" i="10" s="1"/>
  <c r="AE3" i="10" a="1"/>
  <c r="AE3" i="10" s="1"/>
  <c r="AE17" i="10" a="1"/>
  <c r="AE17" i="10" s="1"/>
  <c r="AE11" i="10" a="1"/>
  <c r="AE11" i="10" s="1"/>
  <c r="AF14" i="10" a="1"/>
  <c r="AF14" i="10" s="1"/>
  <c r="AF23" i="10" a="1"/>
  <c r="AF23" i="10" s="1"/>
  <c r="AF18" i="10" a="1"/>
  <c r="AF18" i="10" s="1"/>
  <c r="AF9" i="10" a="1"/>
  <c r="AF9" i="10" s="1"/>
  <c r="AF19" i="10" a="1"/>
  <c r="AF19" i="10" s="1"/>
  <c r="AF4" i="10" a="1"/>
  <c r="AF4" i="10" s="1"/>
  <c r="AF21" i="10" a="1"/>
  <c r="AF21" i="10" s="1"/>
  <c r="AF7" i="10" a="1"/>
  <c r="AF7" i="10" s="1"/>
  <c r="AF16" i="10" a="1"/>
  <c r="AF16" i="10" s="1"/>
  <c r="AF22" i="10" a="1"/>
  <c r="AF22" i="10" s="1"/>
  <c r="AF5" i="10" a="1"/>
  <c r="AF5" i="10" s="1"/>
  <c r="AF25" i="10" a="1"/>
  <c r="AF25" i="10" s="1"/>
  <c r="AF24" i="10" a="1"/>
  <c r="AF24" i="10" s="1"/>
  <c r="AF10" i="10" a="1"/>
  <c r="AF10" i="10" s="1"/>
  <c r="AF15" i="10" a="1"/>
  <c r="AF15" i="10" s="1"/>
  <c r="AF8" i="10" a="1"/>
  <c r="AF8" i="10" s="1"/>
  <c r="AF13" i="10" a="1"/>
  <c r="AF13" i="10" s="1"/>
  <c r="AF20" i="10" a="1"/>
  <c r="AF20" i="10" s="1"/>
  <c r="AF6" i="10" a="1"/>
  <c r="AF6" i="10" s="1"/>
  <c r="AF3" i="10" a="1"/>
  <c r="AF3" i="10" s="1"/>
  <c r="AF17" i="10" a="1"/>
  <c r="AF17" i="10" s="1"/>
  <c r="AF12" i="10" a="1"/>
  <c r="AF12" i="10" s="1"/>
  <c r="AF11" i="10" a="1"/>
  <c r="AF11" i="10" s="1"/>
  <c r="F25" i="10" a="1"/>
  <c r="F25" i="10" s="1"/>
  <c r="F23" i="10" a="1"/>
  <c r="F23" i="10" s="1"/>
  <c r="F21" i="10" a="1"/>
  <c r="F21" i="10" s="1"/>
  <c r="F19" i="10" a="1"/>
  <c r="F19" i="10" s="1"/>
  <c r="F17" i="10" a="1"/>
  <c r="F17" i="10" s="1"/>
  <c r="F15" i="10" a="1"/>
  <c r="F15" i="10" s="1"/>
  <c r="F13" i="10" a="1"/>
  <c r="F13" i="10" s="1"/>
  <c r="F11" i="10" a="1"/>
  <c r="F11" i="10" s="1"/>
  <c r="F9" i="10" a="1"/>
  <c r="F9" i="10" s="1"/>
  <c r="F14" i="10" a="1"/>
  <c r="F14" i="10" s="1"/>
  <c r="F20" i="10" a="1"/>
  <c r="F20" i="10" s="1"/>
  <c r="F22" i="10" a="1"/>
  <c r="F22" i="10" s="1"/>
  <c r="F8" i="10" a="1"/>
  <c r="F8" i="10" s="1"/>
  <c r="F6" i="10" a="1"/>
  <c r="F6" i="10" s="1"/>
  <c r="F4" i="10" a="1"/>
  <c r="F4" i="10" s="1"/>
  <c r="F24" i="10" a="1"/>
  <c r="F24" i="10" s="1"/>
  <c r="F10" i="10" a="1"/>
  <c r="F10" i="10" s="1"/>
  <c r="F18" i="10" a="1"/>
  <c r="F18" i="10" s="1"/>
  <c r="F12" i="10" a="1"/>
  <c r="F12" i="10" s="1"/>
  <c r="F5" i="10" a="1"/>
  <c r="F5" i="10" s="1"/>
  <c r="F16" i="10" a="1"/>
  <c r="F16" i="10" s="1"/>
  <c r="F3" i="10" a="1"/>
  <c r="F3" i="10" s="1"/>
  <c r="F7" i="10" a="1"/>
  <c r="F7" i="10" s="1"/>
  <c r="Y22" i="10" a="1"/>
  <c r="Y22" i="10" s="1"/>
  <c r="Y13" i="10" a="1"/>
  <c r="Y13" i="10" s="1"/>
  <c r="Y8" i="10" a="1"/>
  <c r="Y8" i="10" s="1"/>
  <c r="Y11" i="10" a="1"/>
  <c r="Y11" i="10" s="1"/>
  <c r="Y25" i="10" a="1"/>
  <c r="Y25" i="10" s="1"/>
  <c r="Y18" i="10" a="1"/>
  <c r="Y18" i="10" s="1"/>
  <c r="Y20" i="10" a="1"/>
  <c r="Y20" i="10" s="1"/>
  <c r="Y15" i="10" a="1"/>
  <c r="Y15" i="10" s="1"/>
  <c r="Y6" i="10" a="1"/>
  <c r="Y6" i="10" s="1"/>
  <c r="Y19" i="10" a="1"/>
  <c r="Y19" i="10" s="1"/>
  <c r="Y17" i="10" a="1"/>
  <c r="Y17" i="10" s="1"/>
  <c r="Y12" i="10" a="1"/>
  <c r="Y12" i="10" s="1"/>
  <c r="Y4" i="10" a="1"/>
  <c r="Y4" i="10" s="1"/>
  <c r="Y3" i="10" a="1"/>
  <c r="Y3" i="10" s="1"/>
  <c r="Y21" i="10" a="1"/>
  <c r="Y21" i="10" s="1"/>
  <c r="Y24" i="10" a="1"/>
  <c r="Y24" i="10" s="1"/>
  <c r="Y14" i="10" a="1"/>
  <c r="Y14" i="10" s="1"/>
  <c r="Y10" i="10" a="1"/>
  <c r="Y10" i="10" s="1"/>
  <c r="Y5" i="10" a="1"/>
  <c r="Y5" i="10" s="1"/>
  <c r="Y9" i="10" a="1"/>
  <c r="Y9" i="10" s="1"/>
  <c r="Y16" i="10" a="1"/>
  <c r="Y16" i="10" s="1"/>
  <c r="Y7" i="10" a="1"/>
  <c r="Y7" i="10" s="1"/>
  <c r="Y23" i="10" a="1"/>
  <c r="Y23" i="10" s="1"/>
  <c r="G23" i="10" a="1"/>
  <c r="G23" i="10" s="1"/>
  <c r="G18" i="10" a="1"/>
  <c r="G18" i="10" s="1"/>
  <c r="G9" i="10" a="1"/>
  <c r="G9" i="10" s="1"/>
  <c r="G15" i="10" a="1"/>
  <c r="G15" i="10" s="1"/>
  <c r="G17" i="10" a="1"/>
  <c r="G17" i="10" s="1"/>
  <c r="G4" i="10" a="1"/>
  <c r="G4" i="10" s="1"/>
  <c r="G24" i="10" a="1"/>
  <c r="G24" i="10" s="1"/>
  <c r="G10" i="10" a="1"/>
  <c r="G10" i="10" s="1"/>
  <c r="G6" i="10" a="1"/>
  <c r="G6" i="10" s="1"/>
  <c r="G12" i="10" a="1"/>
  <c r="G12" i="10" s="1"/>
  <c r="G16" i="10" a="1"/>
  <c r="G16" i="10" s="1"/>
  <c r="G25" i="10" a="1"/>
  <c r="G25" i="10" s="1"/>
  <c r="G5" i="10" a="1"/>
  <c r="G5" i="10" s="1"/>
  <c r="G21" i="10" a="1"/>
  <c r="G21" i="10" s="1"/>
  <c r="G13" i="10" a="1"/>
  <c r="G13" i="10" s="1"/>
  <c r="G22" i="10" a="1"/>
  <c r="G22" i="10" s="1"/>
  <c r="G14" i="10" a="1"/>
  <c r="G14" i="10" s="1"/>
  <c r="G11" i="10" a="1"/>
  <c r="G11" i="10" s="1"/>
  <c r="G19" i="10" a="1"/>
  <c r="G19" i="10" s="1"/>
  <c r="G3" i="10" a="1"/>
  <c r="G3" i="10" s="1"/>
  <c r="G8" i="10" a="1"/>
  <c r="G8" i="10" s="1"/>
  <c r="G7" i="10" a="1"/>
  <c r="G7" i="10" s="1"/>
  <c r="G20" i="10" a="1"/>
  <c r="G20" i="10" s="1"/>
  <c r="J24" i="10" a="1"/>
  <c r="J24" i="10" s="1"/>
  <c r="J22" i="10" a="1"/>
  <c r="J22" i="10" s="1"/>
  <c r="J20" i="10" a="1"/>
  <c r="J20" i="10" s="1"/>
  <c r="J18" i="10" a="1"/>
  <c r="J18" i="10" s="1"/>
  <c r="J16" i="10" a="1"/>
  <c r="J16" i="10" s="1"/>
  <c r="J14" i="10" a="1"/>
  <c r="J14" i="10" s="1"/>
  <c r="J12" i="10" a="1"/>
  <c r="J12" i="10" s="1"/>
  <c r="J10" i="10" a="1"/>
  <c r="J10" i="10" s="1"/>
  <c r="J8" i="10" a="1"/>
  <c r="J8" i="10" s="1"/>
  <c r="J21" i="10" a="1"/>
  <c r="J21" i="10" s="1"/>
  <c r="J7" i="10" a="1"/>
  <c r="J7" i="10" s="1"/>
  <c r="J19" i="10" a="1"/>
  <c r="J19" i="10" s="1"/>
  <c r="J25" i="10" a="1"/>
  <c r="J25" i="10" s="1"/>
  <c r="J5" i="10" a="1"/>
  <c r="J5" i="10" s="1"/>
  <c r="J3" i="10" a="1"/>
  <c r="J3" i="10" s="1"/>
  <c r="J23" i="10" a="1"/>
  <c r="J23" i="10" s="1"/>
  <c r="J9" i="10" a="1"/>
  <c r="J9" i="10" s="1"/>
  <c r="J11" i="10" a="1"/>
  <c r="J11" i="10" s="1"/>
  <c r="J6" i="10" a="1"/>
  <c r="J6" i="10" s="1"/>
  <c r="J15" i="10" a="1"/>
  <c r="J15" i="10" s="1"/>
  <c r="J4" i="10" a="1"/>
  <c r="J4" i="10" s="1"/>
  <c r="J13" i="10" a="1"/>
  <c r="J13" i="10" s="1"/>
  <c r="J17" i="10" a="1"/>
  <c r="J17" i="10" s="1"/>
  <c r="W19" i="10" a="1"/>
  <c r="W19" i="10" s="1"/>
  <c r="W6" i="10" a="1"/>
  <c r="W6" i="10" s="1"/>
  <c r="W14" i="10" a="1"/>
  <c r="W14" i="10" s="1"/>
  <c r="W23" i="10" a="1"/>
  <c r="W23" i="10" s="1"/>
  <c r="W9" i="10" a="1"/>
  <c r="W9" i="10" s="1"/>
  <c r="W16" i="10" a="1"/>
  <c r="W16" i="10" s="1"/>
  <c r="W18" i="10" a="1"/>
  <c r="W18" i="10" s="1"/>
  <c r="W4" i="10" a="1"/>
  <c r="W4" i="10" s="1"/>
  <c r="W11" i="10" a="1"/>
  <c r="W11" i="10" s="1"/>
  <c r="W25" i="10" a="1"/>
  <c r="W25" i="10" s="1"/>
  <c r="W13" i="10" a="1"/>
  <c r="W13" i="10" s="1"/>
  <c r="W15" i="10" a="1"/>
  <c r="W15" i="10" s="1"/>
  <c r="W17" i="10" a="1"/>
  <c r="W17" i="10" s="1"/>
  <c r="W20" i="10" a="1"/>
  <c r="W20" i="10" s="1"/>
  <c r="W7" i="10" a="1"/>
  <c r="W7" i="10" s="1"/>
  <c r="W12" i="10" a="1"/>
  <c r="W12" i="10" s="1"/>
  <c r="W24" i="10" a="1"/>
  <c r="W24" i="10" s="1"/>
  <c r="W3" i="10" a="1"/>
  <c r="W3" i="10" s="1"/>
  <c r="W21" i="10" a="1"/>
  <c r="W21" i="10" s="1"/>
  <c r="W22" i="10" a="1"/>
  <c r="W22" i="10" s="1"/>
  <c r="W10" i="10" a="1"/>
  <c r="W10" i="10" s="1"/>
  <c r="W8" i="10" a="1"/>
  <c r="W8" i="10" s="1"/>
  <c r="W5" i="10" a="1"/>
  <c r="W5" i="10" s="1"/>
  <c r="AA21" i="10" a="1"/>
  <c r="AA21" i="10" s="1"/>
  <c r="AA12" i="10" a="1"/>
  <c r="AA12" i="10" s="1"/>
  <c r="AA7" i="10" a="1"/>
  <c r="AA7" i="10" s="1"/>
  <c r="AA13" i="10" a="1"/>
  <c r="AA13" i="10" s="1"/>
  <c r="AA15" i="10" a="1"/>
  <c r="AA15" i="10" s="1"/>
  <c r="AA6" i="10" a="1"/>
  <c r="AA6" i="10" s="1"/>
  <c r="AA5" i="10" a="1"/>
  <c r="AA5" i="10" s="1"/>
  <c r="AA3" i="10" a="1"/>
  <c r="AA3" i="10" s="1"/>
  <c r="AA22" i="10" a="1"/>
  <c r="AA22" i="10" s="1"/>
  <c r="AA8" i="10" a="1"/>
  <c r="AA8" i="10" s="1"/>
  <c r="AA24" i="10" a="1"/>
  <c r="AA24" i="10" s="1"/>
  <c r="AA10" i="10" a="1"/>
  <c r="AA10" i="10" s="1"/>
  <c r="AA17" i="10" a="1"/>
  <c r="AA17" i="10" s="1"/>
  <c r="AA14" i="10" a="1"/>
  <c r="AA14" i="10" s="1"/>
  <c r="AA16" i="10" a="1"/>
  <c r="AA16" i="10" s="1"/>
  <c r="AA25" i="10" a="1"/>
  <c r="AA25" i="10" s="1"/>
  <c r="AA11" i="10" a="1"/>
  <c r="AA11" i="10" s="1"/>
  <c r="AA4" i="10" a="1"/>
  <c r="AA4" i="10" s="1"/>
  <c r="AA18" i="10" a="1"/>
  <c r="AA18" i="10" s="1"/>
  <c r="AA9" i="10" a="1"/>
  <c r="AA9" i="10" s="1"/>
  <c r="AA19" i="10" a="1"/>
  <c r="AA19" i="10" s="1"/>
  <c r="AA23" i="10" a="1"/>
  <c r="AA23" i="10" s="1"/>
  <c r="AA20" i="10" a="1"/>
  <c r="AA20" i="10" s="1"/>
  <c r="H22" i="10" a="1"/>
  <c r="H22" i="10" s="1"/>
  <c r="H13" i="10" a="1"/>
  <c r="H13" i="10" s="1"/>
  <c r="H8" i="10" a="1"/>
  <c r="H8" i="10" s="1"/>
  <c r="H17" i="10" a="1"/>
  <c r="H17" i="10" s="1"/>
  <c r="H4" i="10" a="1"/>
  <c r="H4" i="10" s="1"/>
  <c r="H24" i="10" a="1"/>
  <c r="H24" i="10" s="1"/>
  <c r="H10" i="10" a="1"/>
  <c r="H10" i="10" s="1"/>
  <c r="H6" i="10" a="1"/>
  <c r="H6" i="10" s="1"/>
  <c r="H12" i="10" a="1"/>
  <c r="H12" i="10" s="1"/>
  <c r="H19" i="10" a="1"/>
  <c r="H19" i="10" s="1"/>
  <c r="H21" i="10" a="1"/>
  <c r="H21" i="10" s="1"/>
  <c r="H7" i="10" a="1"/>
  <c r="H7" i="10" s="1"/>
  <c r="H23" i="10" a="1"/>
  <c r="H23" i="10" s="1"/>
  <c r="H25" i="10" a="1"/>
  <c r="H25" i="10" s="1"/>
  <c r="H14" i="10" a="1"/>
  <c r="H14" i="10" s="1"/>
  <c r="H11" i="10" a="1"/>
  <c r="H11" i="10" s="1"/>
  <c r="H18" i="10" a="1"/>
  <c r="H18" i="10" s="1"/>
  <c r="H3" i="10" a="1"/>
  <c r="H3" i="10" s="1"/>
  <c r="H15" i="10" a="1"/>
  <c r="H15" i="10" s="1"/>
  <c r="H16" i="10" a="1"/>
  <c r="H16" i="10" s="1"/>
  <c r="H9" i="10" a="1"/>
  <c r="H9" i="10" s="1"/>
  <c r="H20" i="10" a="1"/>
  <c r="H20" i="10" s="1"/>
  <c r="H5" i="10" a="1"/>
  <c r="H5" i="10" s="1"/>
  <c r="AB7" i="10" a="1"/>
  <c r="AB7" i="10" s="1"/>
  <c r="AB25" i="10" a="1"/>
  <c r="AB25" i="10" s="1"/>
  <c r="AB16" i="10" a="1"/>
  <c r="AB16" i="10" s="1"/>
  <c r="AB11" i="10" a="1"/>
  <c r="AB11" i="10" s="1"/>
  <c r="AB5" i="10" a="1"/>
  <c r="AB5" i="10" s="1"/>
  <c r="AB3" i="10" a="1"/>
  <c r="AB3" i="10" s="1"/>
  <c r="AB22" i="10" a="1"/>
  <c r="AB22" i="10" s="1"/>
  <c r="AB8" i="10" a="1"/>
  <c r="AB8" i="10" s="1"/>
  <c r="AB24" i="10" a="1"/>
  <c r="AB24" i="10" s="1"/>
  <c r="AB10" i="10" a="1"/>
  <c r="AB10" i="10" s="1"/>
  <c r="AB17" i="10" a="1"/>
  <c r="AB17" i="10" s="1"/>
  <c r="AB19" i="10" a="1"/>
  <c r="AB19" i="10" s="1"/>
  <c r="AB23" i="10" a="1"/>
  <c r="AB23" i="10" s="1"/>
  <c r="AB14" i="10" a="1"/>
  <c r="AB14" i="10" s="1"/>
  <c r="AB21" i="10" a="1"/>
  <c r="AB21" i="10" s="1"/>
  <c r="AB4" i="10" a="1"/>
  <c r="AB4" i="10" s="1"/>
  <c r="AB18" i="10" a="1"/>
  <c r="AB18" i="10" s="1"/>
  <c r="AB9" i="10" a="1"/>
  <c r="AB9" i="10" s="1"/>
  <c r="AB15" i="10" a="1"/>
  <c r="AB15" i="10" s="1"/>
  <c r="AB20" i="10" a="1"/>
  <c r="AB20" i="10" s="1"/>
  <c r="AB12" i="10" a="1"/>
  <c r="AB12" i="10" s="1"/>
  <c r="AB13" i="10" a="1"/>
  <c r="AB13" i="10" s="1"/>
  <c r="AB6" i="10" a="1"/>
  <c r="AB6" i="10" s="1"/>
  <c r="X23" i="10" a="1"/>
  <c r="X23" i="10" s="1"/>
  <c r="X18" i="10" a="1"/>
  <c r="X18" i="10" s="1"/>
  <c r="X9" i="10" a="1"/>
  <c r="X9" i="10" s="1"/>
  <c r="X4" i="10" a="1"/>
  <c r="X4" i="10" s="1"/>
  <c r="X11" i="10" a="1"/>
  <c r="X11" i="10" s="1"/>
  <c r="X25" i="10" a="1"/>
  <c r="X25" i="10" s="1"/>
  <c r="X13" i="10" a="1"/>
  <c r="X13" i="10" s="1"/>
  <c r="X20" i="10" a="1"/>
  <c r="X20" i="10" s="1"/>
  <c r="X22" i="10" a="1"/>
  <c r="X22" i="10" s="1"/>
  <c r="X8" i="10" a="1"/>
  <c r="X8" i="10" s="1"/>
  <c r="X24" i="10" a="1"/>
  <c r="X24" i="10" s="1"/>
  <c r="X6" i="10" a="1"/>
  <c r="X6" i="10" s="1"/>
  <c r="X17" i="10" a="1"/>
  <c r="X17" i="10" s="1"/>
  <c r="X12" i="10" a="1"/>
  <c r="X12" i="10" s="1"/>
  <c r="X3" i="10" a="1"/>
  <c r="X3" i="10" s="1"/>
  <c r="X21" i="10" a="1"/>
  <c r="X21" i="10" s="1"/>
  <c r="X14" i="10" a="1"/>
  <c r="X14" i="10" s="1"/>
  <c r="X10" i="10" a="1"/>
  <c r="X10" i="10" s="1"/>
  <c r="X15" i="10" a="1"/>
  <c r="X15" i="10" s="1"/>
  <c r="X5" i="10" a="1"/>
  <c r="X5" i="10" s="1"/>
  <c r="X19" i="10" a="1"/>
  <c r="X19" i="10" s="1"/>
  <c r="X16" i="10" a="1"/>
  <c r="X16" i="10" s="1"/>
  <c r="X7" i="10" a="1"/>
  <c r="X7" i="10" s="1"/>
  <c r="AC11" i="10" a="1"/>
  <c r="AC11" i="10" s="1"/>
  <c r="AC20" i="10" a="1"/>
  <c r="AC20" i="10" s="1"/>
  <c r="AC15" i="10" a="1"/>
  <c r="AC15" i="10" s="1"/>
  <c r="AC24" i="10" a="1"/>
  <c r="AC24" i="10" s="1"/>
  <c r="AC10" i="10" a="1"/>
  <c r="AC10" i="10" s="1"/>
  <c r="AC17" i="10" a="1"/>
  <c r="AC17" i="10" s="1"/>
  <c r="AC19" i="10" a="1"/>
  <c r="AC19" i="10" s="1"/>
  <c r="AC12" i="10" a="1"/>
  <c r="AC12" i="10" s="1"/>
  <c r="AC14" i="10" a="1"/>
  <c r="AC14" i="10" s="1"/>
  <c r="AC16" i="10" a="1"/>
  <c r="AC16" i="10" s="1"/>
  <c r="AC18" i="10" a="1"/>
  <c r="AC18" i="10" s="1"/>
  <c r="AC25" i="10" a="1"/>
  <c r="AC25" i="10" s="1"/>
  <c r="AC21" i="10" a="1"/>
  <c r="AC21" i="10" s="1"/>
  <c r="AC4" i="10" a="1"/>
  <c r="AC4" i="10" s="1"/>
  <c r="AC3" i="10" a="1"/>
  <c r="AC3" i="10" s="1"/>
  <c r="AC9" i="10" a="1"/>
  <c r="AC9" i="10" s="1"/>
  <c r="AC5" i="10" a="1"/>
  <c r="AC5" i="10" s="1"/>
  <c r="AC22" i="10" a="1"/>
  <c r="AC22" i="10" s="1"/>
  <c r="AC7" i="10" a="1"/>
  <c r="AC7" i="10" s="1"/>
  <c r="AC23" i="10" a="1"/>
  <c r="AC23" i="10" s="1"/>
  <c r="AC8" i="10" a="1"/>
  <c r="AC8" i="10" s="1"/>
  <c r="AC13" i="10" a="1"/>
  <c r="AC13" i="10" s="1"/>
  <c r="AC6" i="10" a="1"/>
  <c r="AC6" i="10" s="1"/>
  <c r="I8" i="10" a="1"/>
  <c r="I8" i="10" s="1"/>
  <c r="I17" i="10" a="1"/>
  <c r="I17" i="10" s="1"/>
  <c r="I12" i="10" a="1"/>
  <c r="I12" i="10" s="1"/>
  <c r="I19" i="10" a="1"/>
  <c r="I19" i="10" s="1"/>
  <c r="I21" i="10" a="1"/>
  <c r="I21" i="10" s="1"/>
  <c r="I7" i="10" a="1"/>
  <c r="I7" i="10" s="1"/>
  <c r="I14" i="10" a="1"/>
  <c r="I14" i="10" s="1"/>
  <c r="I16" i="10" a="1"/>
  <c r="I16" i="10" s="1"/>
  <c r="I18" i="10" a="1"/>
  <c r="I18" i="10" s="1"/>
  <c r="I20" i="10" a="1"/>
  <c r="I20" i="10" s="1"/>
  <c r="I13" i="10" a="1"/>
  <c r="I13" i="10" s="1"/>
  <c r="I24" i="10" a="1"/>
  <c r="I24" i="10" s="1"/>
  <c r="I11" i="10" a="1"/>
  <c r="I11" i="10" s="1"/>
  <c r="I6" i="10" a="1"/>
  <c r="I6" i="10" s="1"/>
  <c r="I15" i="10" a="1"/>
  <c r="I15" i="10" s="1"/>
  <c r="I22" i="10" a="1"/>
  <c r="I22" i="10" s="1"/>
  <c r="I9" i="10" a="1"/>
  <c r="I9" i="10" s="1"/>
  <c r="I3" i="10" a="1"/>
  <c r="I3" i="10" s="1"/>
  <c r="I10" i="10" a="1"/>
  <c r="I10" i="10" s="1"/>
  <c r="I23" i="10" a="1"/>
  <c r="I23" i="10" s="1"/>
  <c r="I25" i="10" a="1"/>
  <c r="I25" i="10" s="1"/>
  <c r="I5" i="10" a="1"/>
  <c r="I5" i="10" s="1"/>
  <c r="I4" i="10" a="1"/>
  <c r="I4" i="10" s="1"/>
  <c r="AD25" i="10" a="1"/>
  <c r="AD25" i="10" s="1"/>
  <c r="AD23" i="10" a="1"/>
  <c r="AD23" i="10" s="1"/>
  <c r="AD21" i="10" a="1"/>
  <c r="AD21" i="10" s="1"/>
  <c r="AD19" i="10" a="1"/>
  <c r="AD19" i="10" s="1"/>
  <c r="AD17" i="10" a="1"/>
  <c r="AD17" i="10" s="1"/>
  <c r="AD15" i="10" a="1"/>
  <c r="AD15" i="10" s="1"/>
  <c r="AD13" i="10" a="1"/>
  <c r="AD13" i="10" s="1"/>
  <c r="AD11" i="10" a="1"/>
  <c r="AD11" i="10" s="1"/>
  <c r="AD9" i="10" a="1"/>
  <c r="AD9" i="10" s="1"/>
  <c r="AD7" i="10" a="1"/>
  <c r="AD7" i="10" s="1"/>
  <c r="AD24" i="10" a="1"/>
  <c r="AD24" i="10" s="1"/>
  <c r="AD10" i="10" a="1"/>
  <c r="AD10" i="10" s="1"/>
  <c r="AD6" i="10" a="1"/>
  <c r="AD6" i="10" s="1"/>
  <c r="AD12" i="10" a="1"/>
  <c r="AD12" i="10" s="1"/>
  <c r="AD14" i="10" a="1"/>
  <c r="AD14" i="10" s="1"/>
  <c r="AD4" i="10" a="1"/>
  <c r="AD4" i="10" s="1"/>
  <c r="AD18" i="10" a="1"/>
  <c r="AD18" i="10" s="1"/>
  <c r="AD22" i="10" a="1"/>
  <c r="AD22" i="10" s="1"/>
  <c r="AD5" i="10" a="1"/>
  <c r="AD5" i="10" s="1"/>
  <c r="AD8" i="10" a="1"/>
  <c r="AD8" i="10" s="1"/>
  <c r="AD16" i="10" a="1"/>
  <c r="AD16" i="10" s="1"/>
  <c r="AD20" i="10" a="1"/>
  <c r="AD20" i="10" s="1"/>
  <c r="AD3" i="10" a="1"/>
  <c r="AD3" i="10" s="1"/>
  <c r="K7" i="10" a="1"/>
  <c r="K7" i="10" s="1"/>
  <c r="K25" i="10" a="1"/>
  <c r="K25" i="10" s="1"/>
  <c r="K16" i="10" a="1"/>
  <c r="K16" i="10" s="1"/>
  <c r="K11" i="10" a="1"/>
  <c r="K11" i="10" s="1"/>
  <c r="K12" i="10" a="1"/>
  <c r="K12" i="10" s="1"/>
  <c r="K14" i="10" a="1"/>
  <c r="K14" i="10" s="1"/>
  <c r="K21" i="10" a="1"/>
  <c r="K21" i="10" s="1"/>
  <c r="K5" i="10" a="1"/>
  <c r="K5" i="10" s="1"/>
  <c r="K3" i="10" a="1"/>
  <c r="K3" i="10" s="1"/>
  <c r="K23" i="10" a="1"/>
  <c r="K23" i="10" s="1"/>
  <c r="K9" i="10" a="1"/>
  <c r="K9" i="10" s="1"/>
  <c r="K15" i="10" a="1"/>
  <c r="K15" i="10" s="1"/>
  <c r="K18" i="10" a="1"/>
  <c r="K18" i="10" s="1"/>
  <c r="K4" i="10" a="1"/>
  <c r="K4" i="10" s="1"/>
  <c r="K22" i="10" a="1"/>
  <c r="K22" i="10" s="1"/>
  <c r="K10" i="10" a="1"/>
  <c r="K10" i="10" s="1"/>
  <c r="K19" i="10" a="1"/>
  <c r="K19" i="10" s="1"/>
  <c r="K20" i="10" a="1"/>
  <c r="K20" i="10" s="1"/>
  <c r="K8" i="10" a="1"/>
  <c r="K8" i="10" s="1"/>
  <c r="K13" i="10" a="1"/>
  <c r="K13" i="10" s="1"/>
  <c r="K17" i="10" a="1"/>
  <c r="K17" i="10" s="1"/>
  <c r="K24" i="10" a="1"/>
  <c r="K24" i="10" s="1"/>
  <c r="K6" i="10" a="1"/>
  <c r="K6" i="10" s="1"/>
  <c r="AJ21" i="10" a="1"/>
  <c r="AJ21" i="10" s="1"/>
  <c r="AJ12" i="10" a="1"/>
  <c r="AJ12" i="10" s="1"/>
  <c r="AJ7" i="10" a="1"/>
  <c r="AJ7" i="10" s="1"/>
  <c r="AJ25" i="10" a="1"/>
  <c r="AJ25" i="10" s="1"/>
  <c r="AJ16" i="10" a="1"/>
  <c r="AJ16" i="10" s="1"/>
  <c r="AJ18" i="10" a="1"/>
  <c r="AJ18" i="10" s="1"/>
  <c r="AJ5" i="10" a="1"/>
  <c r="AJ5" i="10" s="1"/>
  <c r="AJ3" i="10" a="1"/>
  <c r="AJ3" i="10" s="1"/>
  <c r="AJ20" i="10" a="1"/>
  <c r="AJ20" i="10" s="1"/>
  <c r="AJ13" i="10" a="1"/>
  <c r="AJ13" i="10" s="1"/>
  <c r="AJ6" i="10" a="1"/>
  <c r="AJ6" i="10" s="1"/>
  <c r="AJ24" i="10" a="1"/>
  <c r="AJ24" i="10" s="1"/>
  <c r="AJ15" i="10" a="1"/>
  <c r="AJ15" i="10" s="1"/>
  <c r="AJ22" i="10" a="1"/>
  <c r="AJ22" i="10" s="1"/>
  <c r="AJ8" i="10" a="1"/>
  <c r="AJ8" i="10" s="1"/>
  <c r="AJ19" i="10" a="1"/>
  <c r="AJ19" i="10" s="1"/>
  <c r="AJ23" i="10" a="1"/>
  <c r="AJ23" i="10" s="1"/>
  <c r="AJ4" i="10" a="1"/>
  <c r="AJ4" i="10" s="1"/>
  <c r="AJ17" i="10" a="1"/>
  <c r="AJ17" i="10" s="1"/>
  <c r="AJ11" i="10" a="1"/>
  <c r="AJ11" i="10" s="1"/>
  <c r="AJ10" i="10" a="1"/>
  <c r="AJ10" i="10" s="1"/>
  <c r="AJ14" i="10" a="1"/>
  <c r="AJ14" i="10" s="1"/>
  <c r="AJ9" i="10" a="1"/>
  <c r="AJ9" i="10" s="1"/>
  <c r="P18" i="10" a="1"/>
  <c r="P18" i="10" s="1"/>
  <c r="P9" i="10" a="1"/>
  <c r="P9" i="10" s="1"/>
  <c r="P22" i="10" a="1"/>
  <c r="P22" i="10" s="1"/>
  <c r="P13" i="10" a="1"/>
  <c r="P13" i="10" s="1"/>
  <c r="P20" i="10" a="1"/>
  <c r="P20" i="10" s="1"/>
  <c r="P4" i="10" a="1"/>
  <c r="P4" i="10" s="1"/>
  <c r="P8" i="10" a="1"/>
  <c r="P8" i="10" s="1"/>
  <c r="P15" i="10" a="1"/>
  <c r="P15" i="10" s="1"/>
  <c r="P17" i="10" a="1"/>
  <c r="P17" i="10" s="1"/>
  <c r="P6" i="10" a="1"/>
  <c r="P6" i="10" s="1"/>
  <c r="P24" i="10" a="1"/>
  <c r="P24" i="10" s="1"/>
  <c r="P10" i="10" a="1"/>
  <c r="P10" i="10" s="1"/>
  <c r="P21" i="10" a="1"/>
  <c r="P21" i="10" s="1"/>
  <c r="P14" i="10" a="1"/>
  <c r="P14" i="10" s="1"/>
  <c r="P7" i="10" a="1"/>
  <c r="P7" i="10" s="1"/>
  <c r="P19" i="10" a="1"/>
  <c r="P19" i="10" s="1"/>
  <c r="P16" i="10" a="1"/>
  <c r="P16" i="10" s="1"/>
  <c r="P5" i="10" a="1"/>
  <c r="P5" i="10" s="1"/>
  <c r="P23" i="10" a="1"/>
  <c r="P23" i="10" s="1"/>
  <c r="P25" i="10" a="1"/>
  <c r="P25" i="10" s="1"/>
  <c r="P12" i="10" a="1"/>
  <c r="P12" i="10" s="1"/>
  <c r="P11" i="10" a="1"/>
  <c r="P11" i="10" s="1"/>
  <c r="P3" i="10" a="1"/>
  <c r="P3" i="10" s="1"/>
  <c r="AG18" i="10" a="1"/>
  <c r="AG18" i="10" s="1"/>
  <c r="AG9" i="10" a="1"/>
  <c r="AG9" i="10" s="1"/>
  <c r="AG22" i="10" a="1"/>
  <c r="AG22" i="10" s="1"/>
  <c r="AG13" i="10" a="1"/>
  <c r="AG13" i="10" s="1"/>
  <c r="AG14" i="10" a="1"/>
  <c r="AG14" i="10" s="1"/>
  <c r="AG16" i="10" a="1"/>
  <c r="AG16" i="10" s="1"/>
  <c r="AG25" i="10" a="1"/>
  <c r="AG25" i="10" s="1"/>
  <c r="AG23" i="10" a="1"/>
  <c r="AG23" i="10" s="1"/>
  <c r="AG11" i="10" a="1"/>
  <c r="AG11" i="10" s="1"/>
  <c r="AG15" i="10" a="1"/>
  <c r="AG15" i="10" s="1"/>
  <c r="AG17" i="10" a="1"/>
  <c r="AG17" i="10" s="1"/>
  <c r="AG24" i="10" a="1"/>
  <c r="AG24" i="10" s="1"/>
  <c r="AG8" i="10" a="1"/>
  <c r="AG8" i="10" s="1"/>
  <c r="AG19" i="10" a="1"/>
  <c r="AG19" i="10" s="1"/>
  <c r="AG6" i="10" a="1"/>
  <c r="AG6" i="10" s="1"/>
  <c r="AG7" i="10" a="1"/>
  <c r="AG7" i="10" s="1"/>
  <c r="AG20" i="10" a="1"/>
  <c r="AG20" i="10" s="1"/>
  <c r="AG3" i="10" a="1"/>
  <c r="AG3" i="10" s="1"/>
  <c r="AG12" i="10" a="1"/>
  <c r="AG12" i="10" s="1"/>
  <c r="AG5" i="10" a="1"/>
  <c r="AG5" i="10" s="1"/>
  <c r="AG4" i="10" a="1"/>
  <c r="AG4" i="10" s="1"/>
  <c r="AG21" i="10" a="1"/>
  <c r="AG21" i="10" s="1"/>
  <c r="AG10" i="10" a="1"/>
  <c r="AG10" i="10" s="1"/>
  <c r="E24" i="10" a="1"/>
  <c r="E24" i="10" s="1"/>
  <c r="E19" i="10" a="1"/>
  <c r="E19" i="10" s="1"/>
  <c r="E10" i="10" a="1"/>
  <c r="E10" i="10" s="1"/>
  <c r="E13" i="10" a="1"/>
  <c r="E13" i="10" s="1"/>
  <c r="E20" i="10" a="1"/>
  <c r="E20" i="10" s="1"/>
  <c r="E22" i="10" a="1"/>
  <c r="E22" i="10" s="1"/>
  <c r="E8" i="10" a="1"/>
  <c r="E8" i="10" s="1"/>
  <c r="E15" i="10" a="1"/>
  <c r="E15" i="10" s="1"/>
  <c r="E17" i="10" a="1"/>
  <c r="E17" i="10" s="1"/>
  <c r="E14" i="10" a="1"/>
  <c r="E14" i="10" s="1"/>
  <c r="E21" i="10" a="1"/>
  <c r="E21" i="10" s="1"/>
  <c r="E7" i="10" a="1"/>
  <c r="E7" i="10" s="1"/>
  <c r="E12" i="10" a="1"/>
  <c r="E12" i="10" s="1"/>
  <c r="E6" i="10" a="1"/>
  <c r="E6" i="10" s="1"/>
  <c r="E5" i="10" a="1"/>
  <c r="E5" i="10" s="1"/>
  <c r="E18" i="10" a="1"/>
  <c r="E18" i="10" s="1"/>
  <c r="E11" i="10" a="1"/>
  <c r="E11" i="10" s="1"/>
  <c r="E23" i="10" a="1"/>
  <c r="E23" i="10" s="1"/>
  <c r="E9" i="10" a="1"/>
  <c r="E9" i="10" s="1"/>
  <c r="E25" i="10" a="1"/>
  <c r="E25" i="10" s="1"/>
  <c r="E16" i="10" a="1"/>
  <c r="E16" i="10" s="1"/>
  <c r="E4" i="10" a="1"/>
  <c r="E4" i="10" s="1"/>
  <c r="E3" i="10" a="1"/>
  <c r="E3" i="10" s="1"/>
  <c r="Z24" i="10" a="1"/>
  <c r="Z24" i="10" s="1"/>
  <c r="Z22" i="10" a="1"/>
  <c r="Z22" i="10" s="1"/>
  <c r="Z20" i="10" a="1"/>
  <c r="Z20" i="10" s="1"/>
  <c r="Z18" i="10" a="1"/>
  <c r="Z18" i="10" s="1"/>
  <c r="Z16" i="10" a="1"/>
  <c r="Z16" i="10" s="1"/>
  <c r="Z14" i="10" a="1"/>
  <c r="Z14" i="10" s="1"/>
  <c r="Z12" i="10" a="1"/>
  <c r="Z12" i="10" s="1"/>
  <c r="Z10" i="10" a="1"/>
  <c r="Z10" i="10" s="1"/>
  <c r="Z8" i="10" a="1"/>
  <c r="Z8" i="10" s="1"/>
  <c r="Z17" i="10" a="1"/>
  <c r="Z17" i="10" s="1"/>
  <c r="Z13" i="10" a="1"/>
  <c r="Z13" i="10" s="1"/>
  <c r="Z15" i="10" a="1"/>
  <c r="Z15" i="10" s="1"/>
  <c r="Z6" i="10" a="1"/>
  <c r="Z6" i="10" s="1"/>
  <c r="Z5" i="10" a="1"/>
  <c r="Z5" i="10" s="1"/>
  <c r="Z3" i="10" a="1"/>
  <c r="Z3" i="10" s="1"/>
  <c r="Z21" i="10" a="1"/>
  <c r="Z21" i="10" s="1"/>
  <c r="Z25" i="10" a="1"/>
  <c r="Z25" i="10" s="1"/>
  <c r="Z11" i="10" a="1"/>
  <c r="Z11" i="10" s="1"/>
  <c r="Z4" i="10" a="1"/>
  <c r="Z4" i="10" s="1"/>
  <c r="Z9" i="10" a="1"/>
  <c r="Z9" i="10" s="1"/>
  <c r="Z19" i="10" a="1"/>
  <c r="Z19" i="10" s="1"/>
  <c r="Z7" i="10" a="1"/>
  <c r="Z7" i="10" s="1"/>
  <c r="Z23" i="10" a="1"/>
  <c r="Z23" i="10" s="1"/>
  <c r="Q22" i="10" a="1"/>
  <c r="Q22" i="10" s="1"/>
  <c r="Q13" i="10" a="1"/>
  <c r="Q13" i="10" s="1"/>
  <c r="Q8" i="10" a="1"/>
  <c r="Q8" i="10" s="1"/>
  <c r="Q17" i="10" a="1"/>
  <c r="Q17" i="10" s="1"/>
  <c r="Q15" i="10" a="1"/>
  <c r="Q15" i="10" s="1"/>
  <c r="Q6" i="10" a="1"/>
  <c r="Q6" i="10" s="1"/>
  <c r="Q24" i="10" a="1"/>
  <c r="Q24" i="10" s="1"/>
  <c r="Q10" i="10" a="1"/>
  <c r="Q10" i="10" s="1"/>
  <c r="Q12" i="10" a="1"/>
  <c r="Q12" i="10" s="1"/>
  <c r="Q16" i="10" a="1"/>
  <c r="Q16" i="10" s="1"/>
  <c r="Q25" i="10" a="1"/>
  <c r="Q25" i="10" s="1"/>
  <c r="Q19" i="10" a="1"/>
  <c r="Q19" i="10" s="1"/>
  <c r="Q9" i="10" a="1"/>
  <c r="Q9" i="10" s="1"/>
  <c r="Q5" i="10" a="1"/>
  <c r="Q5" i="10" s="1"/>
  <c r="Q4" i="10" a="1"/>
  <c r="Q4" i="10" s="1"/>
  <c r="Q23" i="10" a="1"/>
  <c r="Q23" i="10" s="1"/>
  <c r="Q7" i="10" a="1"/>
  <c r="Q7" i="10" s="1"/>
  <c r="Q20" i="10" a="1"/>
  <c r="Q20" i="10" s="1"/>
  <c r="Q21" i="10" a="1"/>
  <c r="Q21" i="10" s="1"/>
  <c r="Q14" i="10" a="1"/>
  <c r="Q14" i="10" s="1"/>
  <c r="Q11" i="10" a="1"/>
  <c r="Q11" i="10" s="1"/>
  <c r="Q3" i="10" a="1"/>
  <c r="Q3" i="10" s="1"/>
  <c r="Q18" i="10" a="1"/>
  <c r="Q18" i="10" s="1"/>
  <c r="C3" i="10" a="1"/>
  <c r="C3" i="10" s="1"/>
  <c r="C25" i="10" a="1"/>
  <c r="C25" i="10" s="1"/>
  <c r="C16" i="10" a="1"/>
  <c r="C16" i="10" s="1"/>
  <c r="C7" i="10" a="1"/>
  <c r="C7" i="10" s="1"/>
  <c r="C11" i="10" a="1"/>
  <c r="C11" i="10" s="1"/>
  <c r="C20" i="10" a="1"/>
  <c r="C20" i="10" s="1"/>
  <c r="C18" i="10" a="1"/>
  <c r="C18" i="10" s="1"/>
  <c r="C5" i="10" a="1"/>
  <c r="C5" i="10" s="1"/>
  <c r="C13" i="10" a="1"/>
  <c r="C13" i="10" s="1"/>
  <c r="C15" i="10" a="1"/>
  <c r="C15" i="10" s="1"/>
  <c r="C17" i="10" a="1"/>
  <c r="C17" i="10" s="1"/>
  <c r="C19" i="10" a="1"/>
  <c r="C19" i="10" s="1"/>
  <c r="C4" i="10" a="1"/>
  <c r="C4" i="10" s="1"/>
  <c r="C24" i="10" a="1"/>
  <c r="C24" i="10" s="1"/>
  <c r="C14" i="10" a="1"/>
  <c r="C14" i="10" s="1"/>
  <c r="C21" i="10" a="1"/>
  <c r="C21" i="10" s="1"/>
  <c r="C12" i="10" a="1"/>
  <c r="C12" i="10" s="1"/>
  <c r="C6" i="10" a="1"/>
  <c r="C6" i="10" s="1"/>
  <c r="C22" i="10" a="1"/>
  <c r="C22" i="10" s="1"/>
  <c r="C10" i="10" a="1"/>
  <c r="C10" i="10" s="1"/>
  <c r="C23" i="10" a="1"/>
  <c r="C23" i="10" s="1"/>
  <c r="C9" i="10" a="1"/>
  <c r="C9" i="10" s="1"/>
  <c r="C8" i="10" a="1"/>
  <c r="C8" i="10" s="1"/>
  <c r="L11" i="10" a="1"/>
  <c r="L11" i="10" s="1"/>
  <c r="L20" i="10" a="1"/>
  <c r="L20" i="10" s="1"/>
  <c r="L15" i="10" a="1"/>
  <c r="L15" i="10" s="1"/>
  <c r="L21" i="10" a="1"/>
  <c r="L21" i="10" s="1"/>
  <c r="L7" i="10" a="1"/>
  <c r="L7" i="10" s="1"/>
  <c r="L5" i="10" a="1"/>
  <c r="L5" i="10" s="1"/>
  <c r="L3" i="10" a="1"/>
  <c r="L3" i="10" s="1"/>
  <c r="L23" i="10" a="1"/>
  <c r="L23" i="10" s="1"/>
  <c r="L9" i="10" a="1"/>
  <c r="L9" i="10" s="1"/>
  <c r="L16" i="10" a="1"/>
  <c r="L16" i="10" s="1"/>
  <c r="L18" i="10" a="1"/>
  <c r="L18" i="10" s="1"/>
  <c r="L25" i="10" a="1"/>
  <c r="L25" i="10" s="1"/>
  <c r="L22" i="10" a="1"/>
  <c r="L22" i="10" s="1"/>
  <c r="L24" i="10" a="1"/>
  <c r="L24" i="10" s="1"/>
  <c r="L12" i="10" a="1"/>
  <c r="L12" i="10" s="1"/>
  <c r="L10" i="10" a="1"/>
  <c r="L10" i="10" s="1"/>
  <c r="L19" i="10" a="1"/>
  <c r="L19" i="10" s="1"/>
  <c r="L4" i="10" a="1"/>
  <c r="L4" i="10" s="1"/>
  <c r="L8" i="10" a="1"/>
  <c r="L8" i="10" s="1"/>
  <c r="L13" i="10" a="1"/>
  <c r="L13" i="10" s="1"/>
  <c r="L17" i="10" a="1"/>
  <c r="L17" i="10" s="1"/>
  <c r="L6" i="10" a="1"/>
  <c r="L6" i="10" s="1"/>
  <c r="L14" i="10" a="1"/>
  <c r="L14" i="10" s="1"/>
  <c r="U25" i="10" a="1"/>
  <c r="U25" i="10" s="1"/>
  <c r="U20" i="10" a="1"/>
  <c r="U20" i="10" s="1"/>
  <c r="U15" i="10" a="1"/>
  <c r="U15" i="10" s="1"/>
  <c r="U24" i="10" a="1"/>
  <c r="U24" i="10" s="1"/>
  <c r="U12" i="10" a="1"/>
  <c r="U12" i="10" s="1"/>
  <c r="U14" i="10" a="1"/>
  <c r="U14" i="10" s="1"/>
  <c r="U21" i="10" a="1"/>
  <c r="U21" i="10" s="1"/>
  <c r="U7" i="10" a="1"/>
  <c r="U7" i="10" s="1"/>
  <c r="U23" i="10" a="1"/>
  <c r="U23" i="10" s="1"/>
  <c r="U9" i="10" a="1"/>
  <c r="U9" i="10" s="1"/>
  <c r="U16" i="10" a="1"/>
  <c r="U16" i="10" s="1"/>
  <c r="U5" i="10" a="1"/>
  <c r="U5" i="10" s="1"/>
  <c r="U13" i="10" a="1"/>
  <c r="U13" i="10" s="1"/>
  <c r="U6" i="10" a="1"/>
  <c r="U6" i="10" s="1"/>
  <c r="U17" i="10" a="1"/>
  <c r="U17" i="10" s="1"/>
  <c r="U11" i="10" a="1"/>
  <c r="U11" i="10" s="1"/>
  <c r="U18" i="10" a="1"/>
  <c r="U18" i="10" s="1"/>
  <c r="U10" i="10" a="1"/>
  <c r="U10" i="10" s="1"/>
  <c r="U4" i="10" a="1"/>
  <c r="U4" i="10" s="1"/>
  <c r="U3" i="10" a="1"/>
  <c r="U3" i="10" s="1"/>
  <c r="U22" i="10" a="1"/>
  <c r="U22" i="10" s="1"/>
  <c r="U19" i="10" a="1"/>
  <c r="U19" i="10" s="1"/>
  <c r="U8" i="10" a="1"/>
  <c r="U8" i="10" s="1"/>
  <c r="V25" i="10" a="1"/>
  <c r="V25" i="10" s="1"/>
  <c r="V23" i="10" a="1"/>
  <c r="V23" i="10" s="1"/>
  <c r="V21" i="10" a="1"/>
  <c r="V21" i="10" s="1"/>
  <c r="V19" i="10" a="1"/>
  <c r="V19" i="10" s="1"/>
  <c r="V17" i="10" a="1"/>
  <c r="V17" i="10" s="1"/>
  <c r="V15" i="10" a="1"/>
  <c r="V15" i="10" s="1"/>
  <c r="V13" i="10" a="1"/>
  <c r="V13" i="10" s="1"/>
  <c r="V11" i="10" a="1"/>
  <c r="V11" i="10" s="1"/>
  <c r="V9" i="10" a="1"/>
  <c r="V9" i="10" s="1"/>
  <c r="V7" i="10" a="1"/>
  <c r="V7" i="10" s="1"/>
  <c r="V24" i="10" a="1"/>
  <c r="V24" i="10" s="1"/>
  <c r="V10" i="10" a="1"/>
  <c r="V10" i="10" s="1"/>
  <c r="V6" i="10" a="1"/>
  <c r="V6" i="10" s="1"/>
  <c r="V16" i="10" a="1"/>
  <c r="V16" i="10" s="1"/>
  <c r="V18" i="10" a="1"/>
  <c r="V18" i="10" s="1"/>
  <c r="V4" i="10" a="1"/>
  <c r="V4" i="10" s="1"/>
  <c r="V22" i="10" a="1"/>
  <c r="V22" i="10" s="1"/>
  <c r="V20" i="10" a="1"/>
  <c r="V20" i="10" s="1"/>
  <c r="V3" i="10" a="1"/>
  <c r="V3" i="10" s="1"/>
  <c r="V12" i="10" a="1"/>
  <c r="V12" i="10" s="1"/>
  <c r="V14" i="10" a="1"/>
  <c r="V14" i="10" s="1"/>
  <c r="V8" i="10" a="1"/>
  <c r="V8" i="10" s="1"/>
  <c r="V5" i="10" a="1"/>
  <c r="V5" i="10" s="1"/>
  <c r="AK25" i="10" a="1"/>
  <c r="AK25" i="10" s="1"/>
  <c r="AK16" i="10" a="1"/>
  <c r="AK16" i="10" s="1"/>
  <c r="AK11" i="10" a="1"/>
  <c r="AK11" i="10" s="1"/>
  <c r="AK20" i="10" a="1"/>
  <c r="AK20" i="10" s="1"/>
  <c r="AK13" i="10" a="1"/>
  <c r="AK13" i="10" s="1"/>
  <c r="AK6" i="10" a="1"/>
  <c r="AK6" i="10" s="1"/>
  <c r="AK15" i="10" a="1"/>
  <c r="AK15" i="10" s="1"/>
  <c r="AK22" i="10" a="1"/>
  <c r="AK22" i="10" s="1"/>
  <c r="AK8" i="10" a="1"/>
  <c r="AK8" i="10" s="1"/>
  <c r="AK24" i="10" a="1"/>
  <c r="AK24" i="10" s="1"/>
  <c r="AK10" i="10" a="1"/>
  <c r="AK10" i="10" s="1"/>
  <c r="AK17" i="10" a="1"/>
  <c r="AK17" i="10" s="1"/>
  <c r="AK14" i="10" a="1"/>
  <c r="AK14" i="10" s="1"/>
  <c r="AK21" i="10" a="1"/>
  <c r="AK21" i="10" s="1"/>
  <c r="AK19" i="10" a="1"/>
  <c r="AK19" i="10" s="1"/>
  <c r="AK7" i="10" a="1"/>
  <c r="AK7" i="10" s="1"/>
  <c r="AK23" i="10" a="1"/>
  <c r="AK23" i="10" s="1"/>
  <c r="AK12" i="10" a="1"/>
  <c r="AK12" i="10" s="1"/>
  <c r="AK3" i="10" a="1"/>
  <c r="AK3" i="10" s="1"/>
  <c r="AK4" i="10" a="1"/>
  <c r="AK4" i="10" s="1"/>
  <c r="AK5" i="10" a="1"/>
  <c r="AK5" i="10" s="1"/>
  <c r="AK9" i="10" a="1"/>
  <c r="AK9" i="10" s="1"/>
  <c r="AK18" i="10" a="1"/>
  <c r="AK18" i="10" s="1"/>
  <c r="AL25" i="10" a="1"/>
  <c r="AL25" i="10" s="1"/>
  <c r="AL23" i="10" a="1"/>
  <c r="AL23" i="10" s="1"/>
  <c r="AL21" i="10" a="1"/>
  <c r="AL21" i="10" s="1"/>
  <c r="AL19" i="10" a="1"/>
  <c r="AL19" i="10" s="1"/>
  <c r="AL17" i="10" a="1"/>
  <c r="AL17" i="10" s="1"/>
  <c r="AL15" i="10" a="1"/>
  <c r="AL15" i="10" s="1"/>
  <c r="AL13" i="10" a="1"/>
  <c r="AL13" i="10" s="1"/>
  <c r="AL11" i="10" a="1"/>
  <c r="AL11" i="10" s="1"/>
  <c r="AL9" i="10" a="1"/>
  <c r="AL9" i="10" s="1"/>
  <c r="AL7" i="10" a="1"/>
  <c r="AL7" i="10" s="1"/>
  <c r="AL20" i="10" a="1"/>
  <c r="AL20" i="10" s="1"/>
  <c r="AL24" i="10" a="1"/>
  <c r="AL24" i="10" s="1"/>
  <c r="AL6" i="10" a="1"/>
  <c r="AL6" i="10" s="1"/>
  <c r="AL22" i="10" a="1"/>
  <c r="AL22" i="10" s="1"/>
  <c r="AL8" i="10" a="1"/>
  <c r="AL8" i="10" s="1"/>
  <c r="AL10" i="10" a="1"/>
  <c r="AL10" i="10" s="1"/>
  <c r="AL4" i="10" a="1"/>
  <c r="AL4" i="10" s="1"/>
  <c r="AL16" i="10" a="1"/>
  <c r="AL16" i="10" s="1"/>
  <c r="AL12" i="10" a="1"/>
  <c r="AL12" i="10" s="1"/>
  <c r="AL3" i="10" a="1"/>
  <c r="AL3" i="10" s="1"/>
  <c r="AL14" i="10" a="1"/>
  <c r="AL14" i="10" s="1"/>
  <c r="AL5" i="10" a="1"/>
  <c r="AL5" i="10" s="1"/>
  <c r="AL18" i="10" a="1"/>
  <c r="AL18" i="10" s="1"/>
  <c r="AH24" i="10" a="1"/>
  <c r="AH24" i="10" s="1"/>
  <c r="AH22" i="10" a="1"/>
  <c r="AH22" i="10" s="1"/>
  <c r="AH20" i="10" a="1"/>
  <c r="AH20" i="10" s="1"/>
  <c r="AH18" i="10" a="1"/>
  <c r="AH18" i="10" s="1"/>
  <c r="AH16" i="10" a="1"/>
  <c r="AH16" i="10" s="1"/>
  <c r="AH14" i="10" a="1"/>
  <c r="AH14" i="10" s="1"/>
  <c r="AH12" i="10" a="1"/>
  <c r="AH12" i="10" s="1"/>
  <c r="AH10" i="10" a="1"/>
  <c r="AH10" i="10" s="1"/>
  <c r="AH8" i="10" a="1"/>
  <c r="AH8" i="10" s="1"/>
  <c r="AH13" i="10" a="1"/>
  <c r="AH13" i="10" s="1"/>
  <c r="AH17" i="10" a="1"/>
  <c r="AH17" i="10" s="1"/>
  <c r="AH23" i="10" a="1"/>
  <c r="AH23" i="10" s="1"/>
  <c r="AH9" i="10" a="1"/>
  <c r="AH9" i="10" s="1"/>
  <c r="AH11" i="10" a="1"/>
  <c r="AH11" i="10" s="1"/>
  <c r="AH25" i="10" a="1"/>
  <c r="AH25" i="10" s="1"/>
  <c r="AH5" i="10" a="1"/>
  <c r="AH5" i="10" s="1"/>
  <c r="AH3" i="10" a="1"/>
  <c r="AH3" i="10" s="1"/>
  <c r="AH15" i="10" a="1"/>
  <c r="AH15" i="10" s="1"/>
  <c r="AH19" i="10" a="1"/>
  <c r="AH19" i="10" s="1"/>
  <c r="AH7" i="10" a="1"/>
  <c r="AH7" i="10" s="1"/>
  <c r="AH6" i="10" a="1"/>
  <c r="AH6" i="10" s="1"/>
  <c r="AH4" i="10" a="1"/>
  <c r="AH4" i="10" s="1"/>
  <c r="AH21" i="10" a="1"/>
  <c r="AH21" i="10" s="1"/>
  <c r="S21" i="10" a="1"/>
  <c r="S21" i="10" s="1"/>
  <c r="S12" i="10" a="1"/>
  <c r="S12" i="10" s="1"/>
  <c r="S7" i="10" a="1"/>
  <c r="S7" i="10" s="1"/>
  <c r="S25" i="10" a="1"/>
  <c r="S25" i="10" s="1"/>
  <c r="S16" i="10" a="1"/>
  <c r="S16" i="10" s="1"/>
  <c r="S24" i="10" a="1"/>
  <c r="S24" i="10" s="1"/>
  <c r="S10" i="10" a="1"/>
  <c r="S10" i="10" s="1"/>
  <c r="S17" i="10" a="1"/>
  <c r="S17" i="10" s="1"/>
  <c r="S19" i="10" a="1"/>
  <c r="S19" i="10" s="1"/>
  <c r="S5" i="10" a="1"/>
  <c r="S5" i="10" s="1"/>
  <c r="S3" i="10" a="1"/>
  <c r="S3" i="10" s="1"/>
  <c r="S14" i="10" a="1"/>
  <c r="S14" i="10" s="1"/>
  <c r="S18" i="10" a="1"/>
  <c r="S18" i="10" s="1"/>
  <c r="S23" i="10" a="1"/>
  <c r="S23" i="10" s="1"/>
  <c r="S20" i="10" a="1"/>
  <c r="S20" i="10" s="1"/>
  <c r="S8" i="10" a="1"/>
  <c r="S8" i="10" s="1"/>
  <c r="S13" i="10" a="1"/>
  <c r="S13" i="10" s="1"/>
  <c r="S11" i="10" a="1"/>
  <c r="S11" i="10" s="1"/>
  <c r="S6" i="10" a="1"/>
  <c r="S6" i="10" s="1"/>
  <c r="S15" i="10" a="1"/>
  <c r="S15" i="10" s="1"/>
  <c r="S9" i="10" a="1"/>
  <c r="S9" i="10" s="1"/>
  <c r="S4" i="10" a="1"/>
  <c r="S4" i="10" s="1"/>
  <c r="S22" i="10" a="1"/>
  <c r="S22" i="10" s="1"/>
  <c r="D20" i="10" a="1"/>
  <c r="D20" i="10" s="1"/>
  <c r="D15" i="10" a="1"/>
  <c r="D15" i="10" s="1"/>
  <c r="D24" i="10" a="1"/>
  <c r="D24" i="10" s="1"/>
  <c r="D18" i="10" a="1"/>
  <c r="D18" i="10" s="1"/>
  <c r="D5" i="10" a="1"/>
  <c r="D5" i="10" s="1"/>
  <c r="D3" i="10" a="1"/>
  <c r="D3" i="10" s="1"/>
  <c r="D25" i="10" a="1"/>
  <c r="D25" i="10" s="1"/>
  <c r="D11" i="10" a="1"/>
  <c r="D11" i="10" s="1"/>
  <c r="D13" i="10" a="1"/>
  <c r="D13" i="10" s="1"/>
  <c r="D22" i="10" a="1"/>
  <c r="D22" i="10" s="1"/>
  <c r="D8" i="10" a="1"/>
  <c r="D8" i="10" s="1"/>
  <c r="D4" i="10" a="1"/>
  <c r="D4" i="10" s="1"/>
  <c r="D17" i="10" a="1"/>
  <c r="D17" i="10" s="1"/>
  <c r="D14" i="10" a="1"/>
  <c r="D14" i="10" s="1"/>
  <c r="D7" i="10" a="1"/>
  <c r="D7" i="10" s="1"/>
  <c r="D21" i="10" a="1"/>
  <c r="D21" i="10" s="1"/>
  <c r="D12" i="10" a="1"/>
  <c r="D12" i="10" s="1"/>
  <c r="D6" i="10" a="1"/>
  <c r="D6" i="10" s="1"/>
  <c r="D10" i="10" a="1"/>
  <c r="D10" i="10" s="1"/>
  <c r="D19" i="10" a="1"/>
  <c r="D19" i="10" s="1"/>
  <c r="D9" i="10" a="1"/>
  <c r="D9" i="10" s="1"/>
  <c r="D23" i="10" a="1"/>
  <c r="D23" i="10" s="1"/>
  <c r="D16" i="10" a="1"/>
  <c r="D16" i="10" s="1"/>
  <c r="M15" i="10" a="1"/>
  <c r="M15" i="10" s="1"/>
  <c r="M24" i="10" a="1"/>
  <c r="M24" i="10" s="1"/>
  <c r="M19" i="10" a="1"/>
  <c r="M19" i="10" s="1"/>
  <c r="M10" i="10" a="1"/>
  <c r="M10" i="10" s="1"/>
  <c r="M16" i="10" a="1"/>
  <c r="M16" i="10" s="1"/>
  <c r="M18" i="10" a="1"/>
  <c r="M18" i="10" s="1"/>
  <c r="M25" i="10" a="1"/>
  <c r="M25" i="10" s="1"/>
  <c r="M11" i="10" a="1"/>
  <c r="M11" i="10" s="1"/>
  <c r="M13" i="10" a="1"/>
  <c r="M13" i="10" s="1"/>
  <c r="M17" i="10" a="1"/>
  <c r="M17" i="10" s="1"/>
  <c r="M9" i="10" a="1"/>
  <c r="M9" i="10" s="1"/>
  <c r="M8" i="10" a="1"/>
  <c r="M8" i="10" s="1"/>
  <c r="M22" i="10" a="1"/>
  <c r="M22" i="10" s="1"/>
  <c r="M23" i="10" a="1"/>
  <c r="M23" i="10" s="1"/>
  <c r="M4" i="10" a="1"/>
  <c r="M4" i="10" s="1"/>
  <c r="M3" i="10" a="1"/>
  <c r="M3" i="10" s="1"/>
  <c r="M20" i="10" a="1"/>
  <c r="M20" i="10" s="1"/>
  <c r="M7" i="10" a="1"/>
  <c r="M7" i="10" s="1"/>
  <c r="M5" i="10" a="1"/>
  <c r="M5" i="10" s="1"/>
  <c r="M6" i="10" a="1"/>
  <c r="M6" i="10" s="1"/>
  <c r="M14" i="10" a="1"/>
  <c r="M14" i="10" s="1"/>
  <c r="M21" i="10" a="1"/>
  <c r="M21" i="10" s="1"/>
  <c r="M12" i="10" a="1"/>
  <c r="M12" i="10" s="1"/>
  <c r="O14" i="10" a="1"/>
  <c r="O14" i="10" s="1"/>
  <c r="O6" i="10" a="1"/>
  <c r="O6" i="10" s="1"/>
  <c r="O23" i="10" a="1"/>
  <c r="O23" i="10" s="1"/>
  <c r="O18" i="10" a="1"/>
  <c r="O18" i="10" s="1"/>
  <c r="O9" i="10" a="1"/>
  <c r="O9" i="10" s="1"/>
  <c r="O25" i="10" a="1"/>
  <c r="O25" i="10" s="1"/>
  <c r="O11" i="10" a="1"/>
  <c r="O11" i="10" s="1"/>
  <c r="O13" i="10" a="1"/>
  <c r="O13" i="10" s="1"/>
  <c r="O20" i="10" a="1"/>
  <c r="O20" i="10" s="1"/>
  <c r="O4" i="10" a="1"/>
  <c r="O4" i="10" s="1"/>
  <c r="O22" i="10" a="1"/>
  <c r="O22" i="10" s="1"/>
  <c r="O8" i="10" a="1"/>
  <c r="O8" i="10" s="1"/>
  <c r="O15" i="10" a="1"/>
  <c r="O15" i="10" s="1"/>
  <c r="O19" i="10" a="1"/>
  <c r="O19" i="10" s="1"/>
  <c r="O3" i="10" a="1"/>
  <c r="O3" i="10" s="1"/>
  <c r="O16" i="10" a="1"/>
  <c r="O16" i="10" s="1"/>
  <c r="O5" i="10" a="1"/>
  <c r="O5" i="10" s="1"/>
  <c r="O7" i="10" a="1"/>
  <c r="O7" i="10" s="1"/>
  <c r="O17" i="10" a="1"/>
  <c r="O17" i="10" s="1"/>
  <c r="O12" i="10" a="1"/>
  <c r="O12" i="10" s="1"/>
  <c r="O24" i="10" a="1"/>
  <c r="O24" i="10" s="1"/>
  <c r="O21" i="10" a="1"/>
  <c r="O21" i="10" s="1"/>
  <c r="O10" i="10" a="1"/>
  <c r="O10" i="10" s="1"/>
  <c r="B1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<sst xmlns="http://schemas.openxmlformats.org/spreadsheetml/2006/main" count="3837" uniqueCount="276">
  <si>
    <t>1. back out volatility using BS</t>
  </si>
  <si>
    <t>2. Get delta</t>
  </si>
  <si>
    <t>JKM H26C20-ING</t>
  </si>
  <si>
    <t>JKM H26C5-ING</t>
  </si>
  <si>
    <t>JKM H26C9-ING</t>
  </si>
  <si>
    <t>JKM H26C9.5-ING</t>
  </si>
  <si>
    <t>JKM H26C10-ING</t>
  </si>
  <si>
    <t>JKM H26C10.5-ING</t>
  </si>
  <si>
    <t>JKM H26C11-ING</t>
  </si>
  <si>
    <t>JKM H26C12-ING</t>
  </si>
  <si>
    <t>JKM H26C12.5-ING</t>
  </si>
  <si>
    <t>JKM H26C13-ING</t>
  </si>
  <si>
    <t>JKM H26C14-ING</t>
  </si>
  <si>
    <t>JKM H26C15-ING</t>
  </si>
  <si>
    <t>JKM H26C16-ING</t>
  </si>
  <si>
    <t>JKM H26C16.5-ING</t>
  </si>
  <si>
    <t>JKM H26C19-ING</t>
  </si>
  <si>
    <t>Last</t>
  </si>
  <si>
    <t>Feb</t>
  </si>
  <si>
    <t>Mar</t>
  </si>
  <si>
    <t>Apr</t>
  </si>
  <si>
    <t>May</t>
  </si>
  <si>
    <t>Jun</t>
  </si>
  <si>
    <t>Jul</t>
  </si>
  <si>
    <t>Aug</t>
  </si>
  <si>
    <t>Sept</t>
  </si>
  <si>
    <t>Oct</t>
  </si>
  <si>
    <t>Nov</t>
  </si>
  <si>
    <t>Dec</t>
  </si>
  <si>
    <t>Jan</t>
  </si>
  <si>
    <t>F</t>
  </si>
  <si>
    <t>G</t>
  </si>
  <si>
    <t>H</t>
  </si>
  <si>
    <t>J</t>
  </si>
  <si>
    <t>M</t>
  </si>
  <si>
    <t>N</t>
  </si>
  <si>
    <t>Q</t>
  </si>
  <si>
    <t>U</t>
  </si>
  <si>
    <t>V</t>
  </si>
  <si>
    <t>X</t>
  </si>
  <si>
    <t>K</t>
  </si>
  <si>
    <t>Z</t>
  </si>
  <si>
    <t>Implied Volatility</t>
  </si>
  <si>
    <t>4. Able to calculate the delta and gamma based on impliedVol</t>
  </si>
  <si>
    <t>3. ICE already has impliedVol, is it same as BS? - does not publish it everyday, only every Friday</t>
  </si>
  <si>
    <t>Strike</t>
  </si>
  <si>
    <t>SR3 V25-CME</t>
  </si>
  <si>
    <t>SR3 X25-CME</t>
  </si>
  <si>
    <t>SR3 Z25-CME</t>
  </si>
  <si>
    <t>SR3 F26-CME</t>
  </si>
  <si>
    <t>SR3 G26-CME</t>
  </si>
  <si>
    <t>SR1 F26-CME</t>
  </si>
  <si>
    <t>SR1 G26-CME</t>
  </si>
  <si>
    <t>SR1 H26-CME</t>
  </si>
  <si>
    <t>SR1 J26-CME</t>
  </si>
  <si>
    <t>SR1 K26-CME</t>
  </si>
  <si>
    <t>Time to Maturity</t>
  </si>
  <si>
    <t>EXPIRATION DATE</t>
  </si>
  <si>
    <t>4/15/2026</t>
  </si>
  <si>
    <t>5/15/2026</t>
  </si>
  <si>
    <t>6/15/2026</t>
  </si>
  <si>
    <t>7/15/2026</t>
  </si>
  <si>
    <t>8/14/2026</t>
  </si>
  <si>
    <t>9/15/2026</t>
  </si>
  <si>
    <t>10/15/2026</t>
  </si>
  <si>
    <t>11/13/2026</t>
  </si>
  <si>
    <t>12/15/2026</t>
  </si>
  <si>
    <t>1/15/2027</t>
  </si>
  <si>
    <t>2/15/2027</t>
  </si>
  <si>
    <t>3/15/2027</t>
  </si>
  <si>
    <t>4/15/2027</t>
  </si>
  <si>
    <t>5/14/2027</t>
  </si>
  <si>
    <t>6/15/2027</t>
  </si>
  <si>
    <t>7/15/2027</t>
  </si>
  <si>
    <t>8/13/2027</t>
  </si>
  <si>
    <t>9/15/2027</t>
  </si>
  <si>
    <t>10/15/2027</t>
  </si>
  <si>
    <t>11/15/2027</t>
  </si>
  <si>
    <t>12/15/2027</t>
  </si>
  <si>
    <t>1/14/2028</t>
  </si>
  <si>
    <t>2/15/2028</t>
  </si>
  <si>
    <t>3/15/2028</t>
  </si>
  <si>
    <t>4/13/2028</t>
  </si>
  <si>
    <t>5/15/2028</t>
  </si>
  <si>
    <t>6/15/2028</t>
  </si>
  <si>
    <t>7/14/2028</t>
  </si>
  <si>
    <t>8/15/2028</t>
  </si>
  <si>
    <t>9/15/2028</t>
  </si>
  <si>
    <t>10/13/2028</t>
  </si>
  <si>
    <t>11/15/2028</t>
  </si>
  <si>
    <t>12/15/2028</t>
  </si>
  <si>
    <t>1/15/2029</t>
  </si>
  <si>
    <t>2/15/2029</t>
  </si>
  <si>
    <t>3/15/2029</t>
  </si>
  <si>
    <t>TRADE DATE</t>
  </si>
  <si>
    <t>HUB</t>
  </si>
  <si>
    <t>PRODUCT</t>
  </si>
  <si>
    <t>STRIP</t>
  </si>
  <si>
    <t>CONTRACT</t>
  </si>
  <si>
    <t>CONTRACT TYPE</t>
  </si>
  <si>
    <t>STRIKE</t>
  </si>
  <si>
    <t>SETTLEMENT PRICE</t>
  </si>
  <si>
    <t>NET CHANGE</t>
  </si>
  <si>
    <t>PRODUCT_ID</t>
  </si>
  <si>
    <t>OPTION_VOLATILITY</t>
  </si>
  <si>
    <t>DELTA_FACTOR</t>
  </si>
  <si>
    <t>3/17/2026</t>
  </si>
  <si>
    <t>JKM</t>
  </si>
  <si>
    <t>LNG Futures</t>
  </si>
  <si>
    <t>C</t>
  </si>
  <si>
    <t>P</t>
  </si>
  <si>
    <t>TIME TO MATURITY</t>
  </si>
  <si>
    <t>THREE MONTH SOFR FUTURES</t>
  </si>
  <si>
    <t>THREE MONTH SOFR</t>
  </si>
  <si>
    <t>ONE MONTH SOFR FUTURES</t>
  </si>
  <si>
    <t>ONE MONTH SOFR</t>
  </si>
  <si>
    <t>TIME TO MATURITY (YEARS/365)</t>
  </si>
  <si>
    <t>5/1/2026</t>
  </si>
  <si>
    <t>6/1/2026</t>
  </si>
  <si>
    <t>7/1/2026</t>
  </si>
  <si>
    <t>8/1/2026</t>
  </si>
  <si>
    <t>9/1/2026</t>
  </si>
  <si>
    <t>10/1/2026</t>
  </si>
  <si>
    <t>11/1/2026</t>
  </si>
  <si>
    <t>12/1/2026</t>
  </si>
  <si>
    <t>1/1/2027</t>
  </si>
  <si>
    <t>2/1/2027</t>
  </si>
  <si>
    <t>3/1/2027</t>
  </si>
  <si>
    <t>4/1/2027</t>
  </si>
  <si>
    <t>5/1/2027</t>
  </si>
  <si>
    <t>6/1/2027</t>
  </si>
  <si>
    <t>7/1/2027</t>
  </si>
  <si>
    <t>8/1/2027</t>
  </si>
  <si>
    <t>9/1/2027</t>
  </si>
  <si>
    <t>10/1/2027</t>
  </si>
  <si>
    <t>11/1/2027</t>
  </si>
  <si>
    <t>12/1/2027</t>
  </si>
  <si>
    <t>1/1/2028</t>
  </si>
  <si>
    <t>2/1/2028</t>
  </si>
  <si>
    <t>3/1/2028</t>
  </si>
  <si>
    <t>4/1/2028</t>
  </si>
  <si>
    <t>5/1/2028</t>
  </si>
  <si>
    <t>6/1/2028</t>
  </si>
  <si>
    <t>7/1/2028</t>
  </si>
  <si>
    <t>8/1/2028</t>
  </si>
  <si>
    <t>9/1/2028</t>
  </si>
  <si>
    <t>10/1/2028</t>
  </si>
  <si>
    <t>11/1/2028</t>
  </si>
  <si>
    <t>12/1/2028</t>
  </si>
  <si>
    <t>1/1/2029</t>
  </si>
  <si>
    <t>2/1/2029</t>
  </si>
  <si>
    <t>3/1/2029</t>
  </si>
  <si>
    <t>4/1/2029</t>
  </si>
  <si>
    <t>5/1/2029</t>
  </si>
  <si>
    <t>4/13/2029</t>
  </si>
  <si>
    <t>6/1/2029</t>
  </si>
  <si>
    <t>5/15/2029</t>
  </si>
  <si>
    <t>7/1/2029</t>
  </si>
  <si>
    <t>6/15/2029</t>
  </si>
  <si>
    <t>8/1/2029</t>
  </si>
  <si>
    <t>7/13/2029</t>
  </si>
  <si>
    <t>9/1/2029</t>
  </si>
  <si>
    <t>8/15/2029</t>
  </si>
  <si>
    <t>10/1/2029</t>
  </si>
  <si>
    <t>9/14/2029</t>
  </si>
  <si>
    <t>11/1/2029</t>
  </si>
  <si>
    <t>10/15/2029</t>
  </si>
  <si>
    <t>12/1/2029</t>
  </si>
  <si>
    <t>11/15/2029</t>
  </si>
  <si>
    <t>1/1/2030</t>
  </si>
  <si>
    <t>12/14/2029</t>
  </si>
  <si>
    <t>2/1/2030</t>
  </si>
  <si>
    <t>1/15/2030</t>
  </si>
  <si>
    <t>3/1/2030</t>
  </si>
  <si>
    <t>2/15/2030</t>
  </si>
  <si>
    <t>4/1/2030</t>
  </si>
  <si>
    <t>3/15/2030</t>
  </si>
  <si>
    <t>5/1/2030</t>
  </si>
  <si>
    <t>4/15/2030</t>
  </si>
  <si>
    <t>6/1/2030</t>
  </si>
  <si>
    <t>5/15/2030</t>
  </si>
  <si>
    <t>7/1/2030</t>
  </si>
  <si>
    <t>6/14/2030</t>
  </si>
  <si>
    <t>8/1/2030</t>
  </si>
  <si>
    <t>7/15/2030</t>
  </si>
  <si>
    <t>9/1/2030</t>
  </si>
  <si>
    <t>8/15/2030</t>
  </si>
  <si>
    <t>10/1/2030</t>
  </si>
  <si>
    <t>9/13/2030</t>
  </si>
  <si>
    <t>11/1/2030</t>
  </si>
  <si>
    <t>10/15/2030</t>
  </si>
  <si>
    <t>12/1/2030</t>
  </si>
  <si>
    <t>11/15/2030</t>
  </si>
  <si>
    <t>1/1/2031</t>
  </si>
  <si>
    <t>12/13/2030</t>
  </si>
  <si>
    <t>2/1/2031</t>
  </si>
  <si>
    <t>1/15/2031</t>
  </si>
  <si>
    <t>3/1/2031</t>
  </si>
  <si>
    <t>2/14/2031</t>
  </si>
  <si>
    <t>4/1/2031</t>
  </si>
  <si>
    <t>3/14/2031</t>
  </si>
  <si>
    <t>5/1/2031</t>
  </si>
  <si>
    <t>4/15/2031</t>
  </si>
  <si>
    <t>6/1/2031</t>
  </si>
  <si>
    <t>5/15/2031</t>
  </si>
  <si>
    <t>7/1/2031</t>
  </si>
  <si>
    <t>6/13/2031</t>
  </si>
  <si>
    <t>8/1/2031</t>
  </si>
  <si>
    <t>7/15/2031</t>
  </si>
  <si>
    <t>9/1/2031</t>
  </si>
  <si>
    <t>8/15/2031</t>
  </si>
  <si>
    <t>10/1/2031</t>
  </si>
  <si>
    <t>9/15/2031</t>
  </si>
  <si>
    <t>11/1/2031</t>
  </si>
  <si>
    <t>10/15/2031</t>
  </si>
  <si>
    <t>12/1/2031</t>
  </si>
  <si>
    <t>11/14/2031</t>
  </si>
  <si>
    <t>1/1/2032</t>
  </si>
  <si>
    <t>12/15/2031</t>
  </si>
  <si>
    <t>2/1/2032</t>
  </si>
  <si>
    <t>1/15/2032</t>
  </si>
  <si>
    <t>3/1/2032</t>
  </si>
  <si>
    <t>2/13/2032</t>
  </si>
  <si>
    <t>4/1/2032</t>
  </si>
  <si>
    <t>3/15/2032</t>
  </si>
  <si>
    <t>5/1/2032</t>
  </si>
  <si>
    <t>4/15/2032</t>
  </si>
  <si>
    <t>6/1/2032</t>
  </si>
  <si>
    <t>5/14/2032</t>
  </si>
  <si>
    <t>7/1/2032</t>
  </si>
  <si>
    <t>6/15/2032</t>
  </si>
  <si>
    <t>8/1/2032</t>
  </si>
  <si>
    <t>7/15/2032</t>
  </si>
  <si>
    <t>9/1/2032</t>
  </si>
  <si>
    <t>8/13/2032</t>
  </si>
  <si>
    <t>10/1/2032</t>
  </si>
  <si>
    <t>9/15/2032</t>
  </si>
  <si>
    <t>11/1/2032</t>
  </si>
  <si>
    <t>10/15/2032</t>
  </si>
  <si>
    <t>12/1/2032</t>
  </si>
  <si>
    <t>11/15/2032</t>
  </si>
  <si>
    <t>1/1/2033</t>
  </si>
  <si>
    <t>12/15/2032</t>
  </si>
  <si>
    <t>2/1/2033</t>
  </si>
  <si>
    <t>1/14/2033</t>
  </si>
  <si>
    <t>3/1/2033</t>
  </si>
  <si>
    <t>2/15/2033</t>
  </si>
  <si>
    <t>4/1/2033</t>
  </si>
  <si>
    <t>3/15/2033</t>
  </si>
  <si>
    <t>5/1/2033</t>
  </si>
  <si>
    <t>4/14/2033</t>
  </si>
  <si>
    <t>6/1/2033</t>
  </si>
  <si>
    <t>5/13/2033</t>
  </si>
  <si>
    <t>7/1/2033</t>
  </si>
  <si>
    <t>6/15/2033</t>
  </si>
  <si>
    <t>8/1/2033</t>
  </si>
  <si>
    <t>7/15/2033</t>
  </si>
  <si>
    <t>9/1/2033</t>
  </si>
  <si>
    <t>8/15/2033</t>
  </si>
  <si>
    <t>10/1/2033</t>
  </si>
  <si>
    <t>9/15/2033</t>
  </si>
  <si>
    <t>Month</t>
  </si>
  <si>
    <t>Day</t>
  </si>
  <si>
    <t>Year</t>
  </si>
  <si>
    <t>JKM Price</t>
  </si>
  <si>
    <t>Black76 d1</t>
  </si>
  <si>
    <t>Black76 d2</t>
  </si>
  <si>
    <t>BS d1</t>
  </si>
  <si>
    <t>BS d2</t>
  </si>
  <si>
    <t>r</t>
  </si>
  <si>
    <t>Black76</t>
  </si>
  <si>
    <t>Black Scholes</t>
  </si>
  <si>
    <t>Gamma BS</t>
  </si>
  <si>
    <t>BS Gamma</t>
  </si>
  <si>
    <t>Vega BS</t>
  </si>
  <si>
    <t>BS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</si>
</sst>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mm/dd/yyyy"/>
    <numFmt numFmtId="165" formatCode="0.000"/>
    <numFmt numFmtId="166" formatCode="_-* #,##0.000_-;\-* #,##0.000_-;_-* &quot;-&quot;??_-;_-@_-"/>
    <numFmt numFmtId="167" formatCode="_-* #,##0.0000_-;\-* #,##0.0000_-;_-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49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0" borderId="0" xfId="0"/>
    <xf numFmtId="0" fontId="4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0" fillId="5" borderId="0" xfId="0" applyFill="1"/>
    <xf numFmtId="0" fontId="3" fillId="5" borderId="0" xfId="0" applyFont="1" applyFill="1"/>
    <xf numFmtId="0" fontId="3" fillId="4" borderId="0" xfId="0" applyFont="1" applyFill="1"/>
    <xf numFmtId="0" fontId="3" fillId="2" borderId="0" xfId="0" applyFont="1" applyFill="1"/>
    <xf numFmtId="43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8F0BE4F8-1ED3-4882-9638-49D6A9B5349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47625</xdr:colOff>
      <xdr:row>3</xdr:row>
      <xdr:rowOff>161925</xdr:rowOff>
    </xdr:from>
    <xdr:to>
      <xdr:col>34</xdr:col>
      <xdr:colOff>47965</xdr:colOff>
      <xdr:row>15</xdr:row>
      <xdr:rowOff>66981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B2F58D-74F7-4A89-93B2-E6A59752A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35800" y="733425"/>
          <a:ext cx="2438740" cy="2191056"/>
        </a:xfrm>
        <a:prstGeom prst="rect">
          <a:avLst/>
        </a:prstGeom>
      </xdr:spPr>
    </xdr:pic>
    <xdr:clientData/>
  </xdr:twoCellAnchor>
  <xdr:twoCellAnchor editAs="oneCell">
    <xdr:from>
      <xdr:col>30</xdr:col>
      <xdr:colOff>9525</xdr:colOff>
      <xdr:row>19</xdr:row>
      <xdr:rowOff>76200</xdr:rowOff>
    </xdr:from>
    <xdr:to>
      <xdr:col>33</xdr:col>
      <xdr:colOff>409886</xdr:colOff>
      <xdr:row>28</xdr:row>
      <xdr:rowOff>105018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6CBFF4-4CE7-901F-2327-E40708F07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697700" y="3695700"/>
          <a:ext cx="2229161" cy="1743318"/>
        </a:xfrm>
        <a:prstGeom prst="rect">
          <a:avLst/>
        </a:prstGeom>
      </xdr:spPr>
    </xdr:pic>
    <xdr:clientData/>
  </xdr:twoCellAnchor>
  <xdr:twoCellAnchor editAs="oneCell">
    <xdr:from>
      <xdr:col>30</xdr:col>
      <xdr:colOff>9525</xdr:colOff>
      <xdr:row>31</xdr:row>
      <xdr:rowOff>66675</xdr:rowOff>
    </xdr:from>
    <xdr:to>
      <xdr:col>39</xdr:col>
      <xdr:colOff>19817</xdr:colOff>
      <xdr:row>39</xdr:row>
      <xdr:rowOff>66888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079DE9C-5838-324A-C58F-9ED3CFA43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745700" y="5972175"/>
          <a:ext cx="5496692" cy="1524213"/>
        </a:xfrm>
        <a:prstGeom prst="rect">
          <a:avLst/>
        </a:prstGeom>
      </xdr:spPr>
    </xdr:pic>
    <xdr:clientData/>
  </xdr:twoCellAnchor>
  <xdr:twoCellAnchor editAs="oneCell">
    <xdr:from>
      <xdr:col>30</xdr:col>
      <xdr:colOff>28575</xdr:colOff>
      <xdr:row>42</xdr:row>
      <xdr:rowOff>47625</xdr:rowOff>
    </xdr:from>
    <xdr:to>
      <xdr:col>39</xdr:col>
      <xdr:colOff>172236</xdr:colOff>
      <xdr:row>52</xdr:row>
      <xdr:rowOff>143154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6717F12-EC10-990F-77F7-723F9E256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764750" y="8048625"/>
          <a:ext cx="5630061" cy="20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717B-4C45-4505-8990-0BBB679FC35C}">
  <sheetPr codeName="Sheet1"/>
  <dimension ref="A1:A4"/>
  <sheetViews>
    <sheetView zoomScaleNormal="100" workbookViewId="0">
      <selection activeCell="C32" sqref="C32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44</v>
      </c>
    </row>
    <row r="4" spans="1:1" x14ac:dyDescent="0.25">
      <c r="A4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43AB5-F77A-4FFC-A552-F0614E51633D}">
  <sheetPr codeName="Sheet6"/>
  <dimension ref="A1:NE369"/>
  <sheetViews>
    <sheetView zoomScaleNormal="100" workbookViewId="0">
      <selection activeCell="C24" sqref="C24"/>
    </sheetView>
  </sheetViews>
  <sheetFormatPr defaultRowHeight="15" x14ac:dyDescent="0.25"/>
  <cols>
    <col min="1" max="1" width="17.42578125" bestFit="1" customWidth="1"/>
    <col min="2" max="2" width="16" bestFit="1" customWidth="1"/>
    <col min="3" max="3" width="26.42578125" customWidth="1"/>
    <col min="4" max="4" width="13" customWidth="1"/>
    <col min="5" max="5" width="15.140625" customWidth="1"/>
    <col min="6" max="369" width="11.140625" bestFit="1" customWidth="1"/>
  </cols>
  <sheetData>
    <row r="1" spans="1:369" x14ac:dyDescent="0.25">
      <c r="A1" t="str">
        <f ca="1">_xll.ICESeries(A2:A16,B2:B16,,EDATE(TODAY(),-12),TODAY(),,"Plot=Horizontal")</f>
        <v>Time Series</v>
      </c>
      <c r="D1" s="2">
        <f>DATE(2026,1,30)</f>
        <v>46052</v>
      </c>
      <c r="E1" s="2">
        <f>DATE(2026,1,29)</f>
        <v>46051</v>
      </c>
      <c r="F1" s="2">
        <f>DATE(2026,1,28)</f>
        <v>46050</v>
      </c>
      <c r="G1" s="2">
        <f>DATE(2026,1,27)</f>
        <v>46049</v>
      </c>
      <c r="H1" s="2">
        <f>DATE(2026,1,26)</f>
        <v>46048</v>
      </c>
      <c r="I1" s="2">
        <f>DATE(2026,1,25)</f>
        <v>46047</v>
      </c>
      <c r="J1" s="2">
        <f>DATE(2026,1,24)</f>
        <v>46046</v>
      </c>
      <c r="K1" s="2">
        <f>DATE(2026,1,23)</f>
        <v>46045</v>
      </c>
      <c r="L1" s="2">
        <f>DATE(2026,1,22)</f>
        <v>46044</v>
      </c>
      <c r="M1" s="2">
        <f>DATE(2026,1,21)</f>
        <v>46043</v>
      </c>
      <c r="N1" s="2">
        <f>DATE(2026,1,20)</f>
        <v>46042</v>
      </c>
      <c r="O1" s="2">
        <f>DATE(2026,1,19)</f>
        <v>46041</v>
      </c>
      <c r="P1" s="2">
        <f>DATE(2026,1,18)</f>
        <v>46040</v>
      </c>
      <c r="Q1" s="2">
        <f>DATE(2026,1,17)</f>
        <v>46039</v>
      </c>
      <c r="R1" s="2">
        <f>DATE(2026,1,16)</f>
        <v>46038</v>
      </c>
      <c r="S1" s="2">
        <f>DATE(2026,1,15)</f>
        <v>46037</v>
      </c>
      <c r="T1" s="2">
        <f>DATE(2026,1,14)</f>
        <v>46036</v>
      </c>
      <c r="U1" s="2">
        <f>DATE(2026,1,13)</f>
        <v>46035</v>
      </c>
      <c r="V1" s="2">
        <f>DATE(2026,1,12)</f>
        <v>46034</v>
      </c>
      <c r="W1" s="2">
        <f>DATE(2026,1,11)</f>
        <v>46033</v>
      </c>
      <c r="X1" s="2">
        <f>DATE(2026,1,10)</f>
        <v>46032</v>
      </c>
      <c r="Y1" s="2">
        <f>DATE(2026,1,9)</f>
        <v>46031</v>
      </c>
      <c r="Z1" s="2">
        <f>DATE(2026,1,8)</f>
        <v>46030</v>
      </c>
      <c r="AA1" s="2">
        <f>DATE(2026,1,7)</f>
        <v>46029</v>
      </c>
      <c r="AB1" s="2">
        <f>DATE(2026,1,6)</f>
        <v>46028</v>
      </c>
      <c r="AC1" s="2">
        <f>DATE(2026,1,5)</f>
        <v>46027</v>
      </c>
      <c r="AD1" s="2">
        <f>DATE(2026,1,4)</f>
        <v>46026</v>
      </c>
      <c r="AE1" s="2">
        <f>DATE(2026,1,3)</f>
        <v>46025</v>
      </c>
      <c r="AF1" s="2">
        <f>DATE(2026,1,2)</f>
        <v>46024</v>
      </c>
      <c r="AG1" s="2">
        <f>DATE(2026,1,1)</f>
        <v>46023</v>
      </c>
      <c r="AH1" s="2">
        <f>DATE(2025,12,31)</f>
        <v>46022</v>
      </c>
      <c r="AI1" s="2">
        <f>DATE(2025,12,30)</f>
        <v>46021</v>
      </c>
      <c r="AJ1" s="2">
        <f>DATE(2025,12,29)</f>
        <v>46020</v>
      </c>
      <c r="AK1" s="2">
        <f>DATE(2025,12,28)</f>
        <v>46019</v>
      </c>
      <c r="AL1" s="2">
        <f>DATE(2025,12,27)</f>
        <v>46018</v>
      </c>
      <c r="AM1" s="2">
        <f>DATE(2025,12,26)</f>
        <v>46017</v>
      </c>
      <c r="AN1" s="2">
        <f>DATE(2025,12,25)</f>
        <v>46016</v>
      </c>
      <c r="AO1" s="2">
        <f>DATE(2025,12,24)</f>
        <v>46015</v>
      </c>
      <c r="AP1" s="2">
        <f>DATE(2025,12,23)</f>
        <v>46014</v>
      </c>
      <c r="AQ1" s="2">
        <f>DATE(2025,12,22)</f>
        <v>46013</v>
      </c>
      <c r="AR1" s="2">
        <f>DATE(2025,12,21)</f>
        <v>46012</v>
      </c>
      <c r="AS1" s="2">
        <f>DATE(2025,12,20)</f>
        <v>46011</v>
      </c>
      <c r="AT1" s="2">
        <f>DATE(2025,12,19)</f>
        <v>46010</v>
      </c>
      <c r="AU1" s="2">
        <f>DATE(2025,12,18)</f>
        <v>46009</v>
      </c>
      <c r="AV1" s="2">
        <f>DATE(2025,12,17)</f>
        <v>46008</v>
      </c>
      <c r="AW1" s="2">
        <f>DATE(2025,12,16)</f>
        <v>46007</v>
      </c>
      <c r="AX1" s="2">
        <f>DATE(2025,12,15)</f>
        <v>46006</v>
      </c>
      <c r="AY1" s="2">
        <f>DATE(2025,12,14)</f>
        <v>46005</v>
      </c>
      <c r="AZ1" s="2">
        <f>DATE(2025,12,13)</f>
        <v>46004</v>
      </c>
      <c r="BA1" s="2">
        <f>DATE(2025,12,12)</f>
        <v>46003</v>
      </c>
      <c r="BB1" s="2">
        <f>DATE(2025,12,11)</f>
        <v>46002</v>
      </c>
      <c r="BC1" s="2">
        <f>DATE(2025,12,10)</f>
        <v>46001</v>
      </c>
      <c r="BD1" s="2">
        <f>DATE(2025,12,9)</f>
        <v>46000</v>
      </c>
      <c r="BE1" s="2">
        <f>DATE(2025,12,8)</f>
        <v>45999</v>
      </c>
      <c r="BF1" s="2">
        <f>DATE(2025,12,7)</f>
        <v>45998</v>
      </c>
      <c r="BG1" s="2">
        <f>DATE(2025,12,6)</f>
        <v>45997</v>
      </c>
      <c r="BH1" s="2">
        <f>DATE(2025,12,5)</f>
        <v>45996</v>
      </c>
      <c r="BI1" s="2">
        <f>DATE(2025,12,4)</f>
        <v>45995</v>
      </c>
      <c r="BJ1" s="2">
        <f>DATE(2025,12,3)</f>
        <v>45994</v>
      </c>
      <c r="BK1" s="2">
        <f>DATE(2025,12,2)</f>
        <v>45993</v>
      </c>
      <c r="BL1" s="2">
        <f>DATE(2025,12,1)</f>
        <v>45992</v>
      </c>
      <c r="BM1" s="2">
        <f>DATE(2025,11,30)</f>
        <v>45991</v>
      </c>
      <c r="BN1" s="2">
        <f>DATE(2025,11,29)</f>
        <v>45990</v>
      </c>
      <c r="BO1" s="2">
        <f>DATE(2025,11,28)</f>
        <v>45989</v>
      </c>
      <c r="BP1" s="2">
        <f>DATE(2025,11,27)</f>
        <v>45988</v>
      </c>
      <c r="BQ1" s="2">
        <f>DATE(2025,11,26)</f>
        <v>45987</v>
      </c>
      <c r="BR1" s="2">
        <f>DATE(2025,11,25)</f>
        <v>45986</v>
      </c>
      <c r="BS1" s="2">
        <f>DATE(2025,11,24)</f>
        <v>45985</v>
      </c>
      <c r="BT1" s="2">
        <f>DATE(2025,11,23)</f>
        <v>45984</v>
      </c>
      <c r="BU1" s="2">
        <f>DATE(2025,11,22)</f>
        <v>45983</v>
      </c>
      <c r="BV1" s="2">
        <f>DATE(2025,11,21)</f>
        <v>45982</v>
      </c>
      <c r="BW1" s="2">
        <f>DATE(2025,11,20)</f>
        <v>45981</v>
      </c>
      <c r="BX1" s="2">
        <f>DATE(2025,11,19)</f>
        <v>45980</v>
      </c>
      <c r="BY1" s="2">
        <f>DATE(2025,11,18)</f>
        <v>45979</v>
      </c>
      <c r="BZ1" s="2">
        <f>DATE(2025,11,17)</f>
        <v>45978</v>
      </c>
      <c r="CA1" s="2">
        <f>DATE(2025,11,16)</f>
        <v>45977</v>
      </c>
      <c r="CB1" s="2">
        <f>DATE(2025,11,15)</f>
        <v>45976</v>
      </c>
      <c r="CC1" s="2">
        <f>DATE(2025,11,14)</f>
        <v>45975</v>
      </c>
      <c r="CD1" s="2">
        <f>DATE(2025,11,13)</f>
        <v>45974</v>
      </c>
      <c r="CE1" s="2">
        <f>DATE(2025,11,12)</f>
        <v>45973</v>
      </c>
      <c r="CF1" s="2">
        <f>DATE(2025,11,11)</f>
        <v>45972</v>
      </c>
      <c r="CG1" s="2">
        <f>DATE(2025,11,10)</f>
        <v>45971</v>
      </c>
      <c r="CH1" s="2">
        <f>DATE(2025,11,9)</f>
        <v>45970</v>
      </c>
      <c r="CI1" s="2">
        <f>DATE(2025,11,8)</f>
        <v>45969</v>
      </c>
      <c r="CJ1" s="2">
        <f>DATE(2025,11,7)</f>
        <v>45968</v>
      </c>
      <c r="CK1" s="2">
        <f>DATE(2025,11,6)</f>
        <v>45967</v>
      </c>
      <c r="CL1" s="2">
        <f>DATE(2025,11,5)</f>
        <v>45966</v>
      </c>
      <c r="CM1" s="2">
        <f>DATE(2025,11,4)</f>
        <v>45965</v>
      </c>
      <c r="CN1" s="2">
        <f>DATE(2025,11,3)</f>
        <v>45964</v>
      </c>
      <c r="CO1" s="2">
        <f>DATE(2025,11,2)</f>
        <v>45963</v>
      </c>
      <c r="CP1" s="2">
        <f>DATE(2025,11,1)</f>
        <v>45962</v>
      </c>
      <c r="CQ1" s="2">
        <f>DATE(2025,10,31)</f>
        <v>45961</v>
      </c>
      <c r="CR1" s="2">
        <f>DATE(2025,10,30)</f>
        <v>45960</v>
      </c>
      <c r="CS1" s="2">
        <f>DATE(2025,10,29)</f>
        <v>45959</v>
      </c>
      <c r="CT1" s="2">
        <f>DATE(2025,10,28)</f>
        <v>45958</v>
      </c>
      <c r="CU1" s="2">
        <f>DATE(2025,10,27)</f>
        <v>45957</v>
      </c>
      <c r="CV1" s="2">
        <f>DATE(2025,10,26)</f>
        <v>45956</v>
      </c>
      <c r="CW1" s="2">
        <f>DATE(2025,10,25)</f>
        <v>45955</v>
      </c>
      <c r="CX1" s="2">
        <f>DATE(2025,10,24)</f>
        <v>45954</v>
      </c>
      <c r="CY1" s="2">
        <f>DATE(2025,10,23)</f>
        <v>45953</v>
      </c>
      <c r="CZ1" s="2">
        <f>DATE(2025,10,22)</f>
        <v>45952</v>
      </c>
      <c r="DA1" s="2">
        <f>DATE(2025,10,21)</f>
        <v>45951</v>
      </c>
      <c r="DB1" s="2">
        <f>DATE(2025,10,20)</f>
        <v>45950</v>
      </c>
      <c r="DC1" s="2">
        <f>DATE(2025,10,19)</f>
        <v>45949</v>
      </c>
      <c r="DD1" s="2">
        <f>DATE(2025,10,18)</f>
        <v>45948</v>
      </c>
      <c r="DE1" s="2">
        <f>DATE(2025,10,17)</f>
        <v>45947</v>
      </c>
      <c r="DF1" s="2">
        <f>DATE(2025,10,16)</f>
        <v>45946</v>
      </c>
      <c r="DG1" s="2">
        <f>DATE(2025,10,15)</f>
        <v>45945</v>
      </c>
      <c r="DH1" s="2">
        <f>DATE(2025,10,14)</f>
        <v>45944</v>
      </c>
      <c r="DI1" s="2">
        <f>DATE(2025,10,13)</f>
        <v>45943</v>
      </c>
      <c r="DJ1" s="2">
        <f>DATE(2025,10,12)</f>
        <v>45942</v>
      </c>
      <c r="DK1" s="2">
        <f>DATE(2025,10,11)</f>
        <v>45941</v>
      </c>
      <c r="DL1" s="2">
        <f>DATE(2025,10,10)</f>
        <v>45940</v>
      </c>
      <c r="DM1" s="2">
        <f>DATE(2025,10,9)</f>
        <v>45939</v>
      </c>
      <c r="DN1" s="2">
        <f>DATE(2025,10,8)</f>
        <v>45938</v>
      </c>
      <c r="DO1" s="2">
        <f>DATE(2025,10,7)</f>
        <v>45937</v>
      </c>
      <c r="DP1" s="2">
        <f>DATE(2025,10,6)</f>
        <v>45936</v>
      </c>
      <c r="DQ1" s="2">
        <f>DATE(2025,10,5)</f>
        <v>45935</v>
      </c>
      <c r="DR1" s="2">
        <f>DATE(2025,10,4)</f>
        <v>45934</v>
      </c>
      <c r="DS1" s="2">
        <f>DATE(2025,10,3)</f>
        <v>45933</v>
      </c>
      <c r="DT1" s="2">
        <f>DATE(2025,10,2)</f>
        <v>45932</v>
      </c>
      <c r="DU1" s="2">
        <f>DATE(2025,10,1)</f>
        <v>45931</v>
      </c>
      <c r="DV1" s="2">
        <f>DATE(2025,9,30)</f>
        <v>45930</v>
      </c>
      <c r="DW1" s="2">
        <f>DATE(2025,9,29)</f>
        <v>45929</v>
      </c>
      <c r="DX1" s="2">
        <f>DATE(2025,9,28)</f>
        <v>45928</v>
      </c>
      <c r="DY1" s="2">
        <f>DATE(2025,9,27)</f>
        <v>45927</v>
      </c>
      <c r="DZ1" s="2">
        <f>DATE(2025,9,26)</f>
        <v>45926</v>
      </c>
      <c r="EA1" s="2">
        <f>DATE(2025,9,25)</f>
        <v>45925</v>
      </c>
      <c r="EB1" s="2">
        <f>DATE(2025,9,24)</f>
        <v>45924</v>
      </c>
      <c r="EC1" s="2">
        <f>DATE(2025,9,23)</f>
        <v>45923</v>
      </c>
      <c r="ED1" s="2">
        <f>DATE(2025,9,22)</f>
        <v>45922</v>
      </c>
      <c r="EE1" s="2">
        <f>DATE(2025,9,21)</f>
        <v>45921</v>
      </c>
      <c r="EF1" s="2">
        <f>DATE(2025,9,20)</f>
        <v>45920</v>
      </c>
      <c r="EG1" s="2">
        <f>DATE(2025,9,19)</f>
        <v>45919</v>
      </c>
      <c r="EH1" s="2">
        <f>DATE(2025,9,18)</f>
        <v>45918</v>
      </c>
      <c r="EI1" s="2">
        <f>DATE(2025,9,17)</f>
        <v>45917</v>
      </c>
      <c r="EJ1" s="2">
        <f>DATE(2025,9,16)</f>
        <v>45916</v>
      </c>
      <c r="EK1" s="2">
        <f>DATE(2025,9,15)</f>
        <v>45915</v>
      </c>
      <c r="EL1" s="2">
        <f>DATE(2025,9,14)</f>
        <v>45914</v>
      </c>
      <c r="EM1" s="2">
        <f>DATE(2025,9,13)</f>
        <v>45913</v>
      </c>
      <c r="EN1" s="2">
        <f>DATE(2025,9,12)</f>
        <v>45912</v>
      </c>
      <c r="EO1" s="2">
        <f>DATE(2025,9,11)</f>
        <v>45911</v>
      </c>
      <c r="EP1" s="2">
        <f>DATE(2025,9,10)</f>
        <v>45910</v>
      </c>
      <c r="EQ1" s="2">
        <f>DATE(2025,9,9)</f>
        <v>45909</v>
      </c>
      <c r="ER1" s="2">
        <f>DATE(2025,9,8)</f>
        <v>45908</v>
      </c>
      <c r="ES1" s="2">
        <f>DATE(2025,9,7)</f>
        <v>45907</v>
      </c>
      <c r="ET1" s="2">
        <f>DATE(2025,9,6)</f>
        <v>45906</v>
      </c>
      <c r="EU1" s="2">
        <f>DATE(2025,9,5)</f>
        <v>45905</v>
      </c>
      <c r="EV1" s="2">
        <f>DATE(2025,9,4)</f>
        <v>45904</v>
      </c>
      <c r="EW1" s="2">
        <f>DATE(2025,9,3)</f>
        <v>45903</v>
      </c>
      <c r="EX1" s="2">
        <f>DATE(2025,9,2)</f>
        <v>45902</v>
      </c>
      <c r="EY1" s="2">
        <f>DATE(2025,9,1)</f>
        <v>45901</v>
      </c>
      <c r="EZ1" s="2">
        <f>DATE(2025,8,31)</f>
        <v>45900</v>
      </c>
      <c r="FA1" s="2">
        <f>DATE(2025,8,30)</f>
        <v>45899</v>
      </c>
      <c r="FB1" s="2">
        <f>DATE(2025,8,29)</f>
        <v>45898</v>
      </c>
      <c r="FC1" s="2">
        <f>DATE(2025,8,28)</f>
        <v>45897</v>
      </c>
      <c r="FD1" s="2">
        <f>DATE(2025,8,27)</f>
        <v>45896</v>
      </c>
      <c r="FE1" s="2">
        <f>DATE(2025,8,26)</f>
        <v>45895</v>
      </c>
      <c r="FF1" s="2">
        <f>DATE(2025,8,25)</f>
        <v>45894</v>
      </c>
      <c r="FG1" s="2">
        <f>DATE(2025,8,24)</f>
        <v>45893</v>
      </c>
      <c r="FH1" s="2">
        <f>DATE(2025,8,23)</f>
        <v>45892</v>
      </c>
      <c r="FI1" s="2">
        <f>DATE(2025,8,22)</f>
        <v>45891</v>
      </c>
      <c r="FJ1" s="2">
        <f>DATE(2025,8,21)</f>
        <v>45890</v>
      </c>
      <c r="FK1" s="2">
        <f>DATE(2025,8,20)</f>
        <v>45889</v>
      </c>
      <c r="FL1" s="2">
        <f>DATE(2025,8,19)</f>
        <v>45888</v>
      </c>
      <c r="FM1" s="2">
        <f>DATE(2025,8,18)</f>
        <v>45887</v>
      </c>
      <c r="FN1" s="2">
        <f>DATE(2025,8,17)</f>
        <v>45886</v>
      </c>
      <c r="FO1" s="2">
        <f>DATE(2025,8,16)</f>
        <v>45885</v>
      </c>
      <c r="FP1" s="2">
        <f>DATE(2025,8,15)</f>
        <v>45884</v>
      </c>
      <c r="FQ1" s="2">
        <f>DATE(2025,8,14)</f>
        <v>45883</v>
      </c>
      <c r="FR1" s="2">
        <f>DATE(2025,8,13)</f>
        <v>45882</v>
      </c>
      <c r="FS1" s="2">
        <f>DATE(2025,8,12)</f>
        <v>45881</v>
      </c>
      <c r="FT1" s="2">
        <f>DATE(2025,8,11)</f>
        <v>45880</v>
      </c>
      <c r="FU1" s="2">
        <f>DATE(2025,8,10)</f>
        <v>45879</v>
      </c>
      <c r="FV1" s="2">
        <f>DATE(2025,8,9)</f>
        <v>45878</v>
      </c>
      <c r="FW1" s="2">
        <f>DATE(2025,8,8)</f>
        <v>45877</v>
      </c>
      <c r="FX1" s="2">
        <f>DATE(2025,8,7)</f>
        <v>45876</v>
      </c>
      <c r="FY1" s="2">
        <f>DATE(2025,8,6)</f>
        <v>45875</v>
      </c>
      <c r="FZ1" s="2">
        <f>DATE(2025,8,5)</f>
        <v>45874</v>
      </c>
      <c r="GA1" s="2">
        <f>DATE(2025,8,4)</f>
        <v>45873</v>
      </c>
      <c r="GB1" s="2">
        <f>DATE(2025,8,3)</f>
        <v>45872</v>
      </c>
      <c r="GC1" s="2">
        <f>DATE(2025,8,2)</f>
        <v>45871</v>
      </c>
      <c r="GD1" s="2">
        <f>DATE(2025,8,1)</f>
        <v>45870</v>
      </c>
      <c r="GE1" s="2">
        <f>DATE(2025,7,31)</f>
        <v>45869</v>
      </c>
      <c r="GF1" s="2">
        <f>DATE(2025,7,30)</f>
        <v>45868</v>
      </c>
      <c r="GG1" s="2">
        <f>DATE(2025,7,29)</f>
        <v>45867</v>
      </c>
      <c r="GH1" s="2">
        <f>DATE(2025,7,28)</f>
        <v>45866</v>
      </c>
      <c r="GI1" s="2">
        <f>DATE(2025,7,27)</f>
        <v>45865</v>
      </c>
      <c r="GJ1" s="2">
        <f>DATE(2025,7,26)</f>
        <v>45864</v>
      </c>
      <c r="GK1" s="2">
        <f>DATE(2025,7,25)</f>
        <v>45863</v>
      </c>
      <c r="GL1" s="2">
        <f>DATE(2025,7,24)</f>
        <v>45862</v>
      </c>
      <c r="GM1" s="2">
        <f>DATE(2025,7,23)</f>
        <v>45861</v>
      </c>
      <c r="GN1" s="2">
        <f>DATE(2025,7,22)</f>
        <v>45860</v>
      </c>
      <c r="GO1" s="2">
        <f>DATE(2025,7,21)</f>
        <v>45859</v>
      </c>
      <c r="GP1" s="2">
        <f>DATE(2025,7,20)</f>
        <v>45858</v>
      </c>
      <c r="GQ1" s="2">
        <f>DATE(2025,7,19)</f>
        <v>45857</v>
      </c>
      <c r="GR1" s="2">
        <f>DATE(2025,7,18)</f>
        <v>45856</v>
      </c>
      <c r="GS1" s="2">
        <f>DATE(2025,7,17)</f>
        <v>45855</v>
      </c>
      <c r="GT1" s="2">
        <f>DATE(2025,7,16)</f>
        <v>45854</v>
      </c>
      <c r="GU1" s="2">
        <f>DATE(2025,7,15)</f>
        <v>45853</v>
      </c>
      <c r="GV1" s="2">
        <f>DATE(2025,7,14)</f>
        <v>45852</v>
      </c>
      <c r="GW1" s="2">
        <f>DATE(2025,7,13)</f>
        <v>45851</v>
      </c>
      <c r="GX1" s="2">
        <f>DATE(2025,7,12)</f>
        <v>45850</v>
      </c>
      <c r="GY1" s="2">
        <f>DATE(2025,7,11)</f>
        <v>45849</v>
      </c>
      <c r="GZ1" s="2">
        <f>DATE(2025,7,10)</f>
        <v>45848</v>
      </c>
      <c r="HA1" s="2">
        <f>DATE(2025,7,9)</f>
        <v>45847</v>
      </c>
      <c r="HB1" s="2">
        <f>DATE(2025,7,8)</f>
        <v>45846</v>
      </c>
      <c r="HC1" s="2">
        <f>DATE(2025,7,7)</f>
        <v>45845</v>
      </c>
      <c r="HD1" s="2">
        <f>DATE(2025,7,6)</f>
        <v>45844</v>
      </c>
      <c r="HE1" s="2">
        <f>DATE(2025,7,5)</f>
        <v>45843</v>
      </c>
      <c r="HF1" s="2">
        <f>DATE(2025,7,4)</f>
        <v>45842</v>
      </c>
      <c r="HG1" s="2">
        <f>DATE(2025,7,3)</f>
        <v>45841</v>
      </c>
      <c r="HH1" s="2">
        <f>DATE(2025,7,2)</f>
        <v>45840</v>
      </c>
      <c r="HI1" s="2">
        <f>DATE(2025,7,1)</f>
        <v>45839</v>
      </c>
      <c r="HJ1" s="2">
        <f>DATE(2025,6,30)</f>
        <v>45838</v>
      </c>
      <c r="HK1" s="2">
        <f>DATE(2025,6,29)</f>
        <v>45837</v>
      </c>
      <c r="HL1" s="2">
        <f>DATE(2025,6,28)</f>
        <v>45836</v>
      </c>
      <c r="HM1" s="2">
        <f>DATE(2025,6,27)</f>
        <v>45835</v>
      </c>
      <c r="HN1" s="2">
        <f>DATE(2025,6,26)</f>
        <v>45834</v>
      </c>
      <c r="HO1" s="2">
        <f>DATE(2025,6,25)</f>
        <v>45833</v>
      </c>
      <c r="HP1" s="2">
        <f>DATE(2025,6,24)</f>
        <v>45832</v>
      </c>
      <c r="HQ1" s="2">
        <f>DATE(2025,6,23)</f>
        <v>45831</v>
      </c>
      <c r="HR1" s="2">
        <f>DATE(2025,6,22)</f>
        <v>45830</v>
      </c>
      <c r="HS1" s="2">
        <f>DATE(2025,6,21)</f>
        <v>45829</v>
      </c>
      <c r="HT1" s="2">
        <f>DATE(2025,6,20)</f>
        <v>45828</v>
      </c>
      <c r="HU1" s="2">
        <f>DATE(2025,6,19)</f>
        <v>45827</v>
      </c>
      <c r="HV1" s="2">
        <f>DATE(2025,6,18)</f>
        <v>45826</v>
      </c>
      <c r="HW1" s="2">
        <f>DATE(2025,6,17)</f>
        <v>45825</v>
      </c>
      <c r="HX1" s="2">
        <f>DATE(2025,6,16)</f>
        <v>45824</v>
      </c>
      <c r="HY1" s="2">
        <f>DATE(2025,6,15)</f>
        <v>45823</v>
      </c>
      <c r="HZ1" s="2">
        <f>DATE(2025,6,14)</f>
        <v>45822</v>
      </c>
      <c r="IA1" s="2">
        <f>DATE(2025,6,13)</f>
        <v>45821</v>
      </c>
      <c r="IB1" s="2">
        <f>DATE(2025,6,12)</f>
        <v>45820</v>
      </c>
      <c r="IC1" s="2">
        <f>DATE(2025,6,11)</f>
        <v>45819</v>
      </c>
      <c r="ID1" s="2">
        <f>DATE(2025,6,10)</f>
        <v>45818</v>
      </c>
      <c r="IE1" s="2">
        <f>DATE(2025,6,9)</f>
        <v>45817</v>
      </c>
      <c r="IF1" s="2">
        <f>DATE(2025,6,8)</f>
        <v>45816</v>
      </c>
      <c r="IG1" s="2">
        <f>DATE(2025,6,7)</f>
        <v>45815</v>
      </c>
      <c r="IH1" s="2">
        <f>DATE(2025,6,6)</f>
        <v>45814</v>
      </c>
      <c r="II1" s="2">
        <f>DATE(2025,6,5)</f>
        <v>45813</v>
      </c>
      <c r="IJ1" s="2">
        <f>DATE(2025,6,4)</f>
        <v>45812</v>
      </c>
      <c r="IK1" s="2">
        <f>DATE(2025,6,3)</f>
        <v>45811</v>
      </c>
      <c r="IL1" s="2">
        <f>DATE(2025,6,2)</f>
        <v>45810</v>
      </c>
      <c r="IM1" s="2">
        <f>DATE(2025,6,1)</f>
        <v>45809</v>
      </c>
      <c r="IN1" s="2">
        <f>DATE(2025,5,31)</f>
        <v>45808</v>
      </c>
      <c r="IO1" s="2">
        <f>DATE(2025,5,30)</f>
        <v>45807</v>
      </c>
      <c r="IP1" s="2">
        <f>DATE(2025,5,29)</f>
        <v>45806</v>
      </c>
      <c r="IQ1" s="2">
        <f>DATE(2025,5,28)</f>
        <v>45805</v>
      </c>
      <c r="IR1" s="2">
        <f>DATE(2025,5,27)</f>
        <v>45804</v>
      </c>
      <c r="IS1" s="2">
        <f>DATE(2025,5,26)</f>
        <v>45803</v>
      </c>
      <c r="IT1" s="2">
        <f>DATE(2025,5,25)</f>
        <v>45802</v>
      </c>
      <c r="IU1" s="2">
        <f>DATE(2025,5,24)</f>
        <v>45801</v>
      </c>
      <c r="IV1" s="2">
        <f>DATE(2025,5,23)</f>
        <v>45800</v>
      </c>
      <c r="IW1" s="2">
        <f>DATE(2025,5,22)</f>
        <v>45799</v>
      </c>
      <c r="IX1" s="2">
        <f>DATE(2025,5,21)</f>
        <v>45798</v>
      </c>
      <c r="IY1" s="2">
        <f>DATE(2025,5,20)</f>
        <v>45797</v>
      </c>
      <c r="IZ1" s="2">
        <f>DATE(2025,5,19)</f>
        <v>45796</v>
      </c>
      <c r="JA1" s="2">
        <f>DATE(2025,5,18)</f>
        <v>45795</v>
      </c>
      <c r="JB1" s="2">
        <f>DATE(2025,5,17)</f>
        <v>45794</v>
      </c>
      <c r="JC1" s="2">
        <f>DATE(2025,5,16)</f>
        <v>45793</v>
      </c>
      <c r="JD1" s="2">
        <f>DATE(2025,5,15)</f>
        <v>45792</v>
      </c>
      <c r="JE1" s="2">
        <f>DATE(2025,5,14)</f>
        <v>45791</v>
      </c>
      <c r="JF1" s="2">
        <f>DATE(2025,5,13)</f>
        <v>45790</v>
      </c>
      <c r="JG1" s="2">
        <f>DATE(2025,5,12)</f>
        <v>45789</v>
      </c>
      <c r="JH1" s="2">
        <f>DATE(2025,5,11)</f>
        <v>45788</v>
      </c>
      <c r="JI1" s="2">
        <f>DATE(2025,5,10)</f>
        <v>45787</v>
      </c>
      <c r="JJ1" s="2">
        <f>DATE(2025,5,9)</f>
        <v>45786</v>
      </c>
      <c r="JK1" s="2">
        <f>DATE(2025,5,8)</f>
        <v>45785</v>
      </c>
      <c r="JL1" s="2">
        <f>DATE(2025,5,7)</f>
        <v>45784</v>
      </c>
      <c r="JM1" s="2">
        <f>DATE(2025,5,6)</f>
        <v>45783</v>
      </c>
      <c r="JN1" s="2">
        <f>DATE(2025,5,5)</f>
        <v>45782</v>
      </c>
      <c r="JO1" s="2">
        <f>DATE(2025,5,4)</f>
        <v>45781</v>
      </c>
      <c r="JP1" s="2">
        <f>DATE(2025,5,3)</f>
        <v>45780</v>
      </c>
      <c r="JQ1" s="2">
        <f>DATE(2025,5,2)</f>
        <v>45779</v>
      </c>
      <c r="JR1" s="2">
        <f>DATE(2025,5,1)</f>
        <v>45778</v>
      </c>
      <c r="JS1" s="2">
        <f>DATE(2025,4,30)</f>
        <v>45777</v>
      </c>
      <c r="JT1" s="2">
        <f>DATE(2025,4,29)</f>
        <v>45776</v>
      </c>
      <c r="JU1" s="2">
        <f>DATE(2025,4,28)</f>
        <v>45775</v>
      </c>
      <c r="JV1" s="2">
        <f>DATE(2025,4,27)</f>
        <v>45774</v>
      </c>
      <c r="JW1" s="2">
        <f>DATE(2025,4,26)</f>
        <v>45773</v>
      </c>
      <c r="JX1" s="2">
        <f>DATE(2025,4,25)</f>
        <v>45772</v>
      </c>
      <c r="JY1" s="2">
        <f>DATE(2025,4,24)</f>
        <v>45771</v>
      </c>
      <c r="JZ1" s="2">
        <f>DATE(2025,4,23)</f>
        <v>45770</v>
      </c>
      <c r="KA1" s="2">
        <f>DATE(2025,4,22)</f>
        <v>45769</v>
      </c>
      <c r="KB1" s="2">
        <f>DATE(2025,4,21)</f>
        <v>45768</v>
      </c>
      <c r="KC1" s="2">
        <f>DATE(2025,4,20)</f>
        <v>45767</v>
      </c>
      <c r="KD1" s="2">
        <f>DATE(2025,4,19)</f>
        <v>45766</v>
      </c>
      <c r="KE1" s="2">
        <f>DATE(2025,4,18)</f>
        <v>45765</v>
      </c>
      <c r="KF1" s="2">
        <f>DATE(2025,4,17)</f>
        <v>45764</v>
      </c>
      <c r="KG1" s="2">
        <f>DATE(2025,4,16)</f>
        <v>45763</v>
      </c>
      <c r="KH1" s="2">
        <f>DATE(2025,4,15)</f>
        <v>45762</v>
      </c>
      <c r="KI1" s="2">
        <f>DATE(2025,4,14)</f>
        <v>45761</v>
      </c>
      <c r="KJ1" s="2">
        <f>DATE(2025,4,13)</f>
        <v>45760</v>
      </c>
      <c r="KK1" s="2">
        <f>DATE(2025,4,12)</f>
        <v>45759</v>
      </c>
      <c r="KL1" s="2">
        <f>DATE(2025,4,11)</f>
        <v>45758</v>
      </c>
      <c r="KM1" s="2">
        <f>DATE(2025,4,10)</f>
        <v>45757</v>
      </c>
      <c r="KN1" s="2">
        <f>DATE(2025,4,9)</f>
        <v>45756</v>
      </c>
      <c r="KO1" s="2">
        <f>DATE(2025,4,8)</f>
        <v>45755</v>
      </c>
      <c r="KP1" s="2">
        <f>DATE(2025,4,7)</f>
        <v>45754</v>
      </c>
      <c r="KQ1" s="2">
        <f>DATE(2025,4,6)</f>
        <v>45753</v>
      </c>
      <c r="KR1" s="2">
        <f>DATE(2025,4,5)</f>
        <v>45752</v>
      </c>
      <c r="KS1" s="2">
        <f>DATE(2025,4,4)</f>
        <v>45751</v>
      </c>
      <c r="KT1" s="2">
        <f>DATE(2025,4,3)</f>
        <v>45750</v>
      </c>
      <c r="KU1" s="2">
        <f>DATE(2025,4,2)</f>
        <v>45749</v>
      </c>
      <c r="KV1" s="2">
        <f>DATE(2025,4,1)</f>
        <v>45748</v>
      </c>
      <c r="KW1" s="2">
        <f>DATE(2025,3,31)</f>
        <v>45747</v>
      </c>
      <c r="KX1" s="2">
        <f>DATE(2025,3,30)</f>
        <v>45746</v>
      </c>
      <c r="KY1" s="2">
        <f>DATE(2025,3,29)</f>
        <v>45745</v>
      </c>
      <c r="KZ1" s="2">
        <f>DATE(2025,3,28)</f>
        <v>45744</v>
      </c>
      <c r="LA1" s="2">
        <f>DATE(2025,3,27)</f>
        <v>45743</v>
      </c>
      <c r="LB1" s="2">
        <f>DATE(2025,3,26)</f>
        <v>45742</v>
      </c>
      <c r="LC1" s="2">
        <f>DATE(2025,3,25)</f>
        <v>45741</v>
      </c>
      <c r="LD1" s="2">
        <f>DATE(2025,3,24)</f>
        <v>45740</v>
      </c>
      <c r="LE1" s="2">
        <f>DATE(2025,3,23)</f>
        <v>45739</v>
      </c>
      <c r="LF1" s="2">
        <f>DATE(2025,3,22)</f>
        <v>45738</v>
      </c>
      <c r="LG1" s="2">
        <f>DATE(2025,3,21)</f>
        <v>45737</v>
      </c>
      <c r="LH1" s="2">
        <f>DATE(2025,3,20)</f>
        <v>45736</v>
      </c>
      <c r="LI1" s="2">
        <f>DATE(2025,3,19)</f>
        <v>45735</v>
      </c>
      <c r="LJ1" s="2">
        <f>DATE(2025,3,18)</f>
        <v>45734</v>
      </c>
      <c r="LK1" s="2">
        <f>DATE(2025,3,17)</f>
        <v>45733</v>
      </c>
      <c r="LL1" s="2">
        <f>DATE(2025,3,16)</f>
        <v>45732</v>
      </c>
      <c r="LM1" s="2">
        <f>DATE(2025,3,15)</f>
        <v>45731</v>
      </c>
      <c r="LN1" s="2">
        <f>DATE(2025,3,14)</f>
        <v>45730</v>
      </c>
      <c r="LO1" s="2">
        <f>DATE(2025,3,13)</f>
        <v>45729</v>
      </c>
      <c r="LP1" s="2">
        <f>DATE(2025,3,12)</f>
        <v>45728</v>
      </c>
      <c r="LQ1" s="2">
        <f>DATE(2025,3,11)</f>
        <v>45727</v>
      </c>
      <c r="LR1" s="2">
        <f>DATE(2025,3,10)</f>
        <v>45726</v>
      </c>
      <c r="LS1" s="2">
        <f>DATE(2025,3,9)</f>
        <v>45725</v>
      </c>
      <c r="LT1" s="2">
        <f>DATE(2025,3,8)</f>
        <v>45724</v>
      </c>
      <c r="LU1" s="2">
        <f>DATE(2025,3,7)</f>
        <v>45723</v>
      </c>
      <c r="LV1" s="2">
        <f>DATE(2025,3,6)</f>
        <v>45722</v>
      </c>
      <c r="LW1" s="2">
        <f>DATE(2025,3,5)</f>
        <v>45721</v>
      </c>
      <c r="LX1" s="2">
        <f>DATE(2025,3,4)</f>
        <v>45720</v>
      </c>
      <c r="LY1" s="2">
        <f>DATE(2025,3,3)</f>
        <v>45719</v>
      </c>
      <c r="LZ1" s="2">
        <f>DATE(2025,3,2)</f>
        <v>45718</v>
      </c>
      <c r="MA1" s="2">
        <f>DATE(2025,3,1)</f>
        <v>45717</v>
      </c>
      <c r="MB1" s="2">
        <f>DATE(2025,2,28)</f>
        <v>45716</v>
      </c>
      <c r="MC1" s="2">
        <f>DATE(2025,2,27)</f>
        <v>45715</v>
      </c>
      <c r="MD1" s="2">
        <f>DATE(2025,2,26)</f>
        <v>45714</v>
      </c>
      <c r="ME1" s="2">
        <f>DATE(2025,2,25)</f>
        <v>45713</v>
      </c>
      <c r="MF1" s="2">
        <f>DATE(2025,2,24)</f>
        <v>45712</v>
      </c>
      <c r="MG1" s="2">
        <f>DATE(2025,2,23)</f>
        <v>45711</v>
      </c>
      <c r="MH1" s="2">
        <f>DATE(2025,2,22)</f>
        <v>45710</v>
      </c>
      <c r="MI1" s="2">
        <f>DATE(2025,2,21)</f>
        <v>45709</v>
      </c>
      <c r="MJ1" s="2">
        <f>DATE(2025,2,20)</f>
        <v>45708</v>
      </c>
      <c r="MK1" s="2">
        <f>DATE(2025,2,19)</f>
        <v>45707</v>
      </c>
      <c r="ML1" s="2">
        <f>DATE(2025,2,18)</f>
        <v>45706</v>
      </c>
      <c r="MM1" s="2">
        <f>DATE(2025,2,17)</f>
        <v>45705</v>
      </c>
      <c r="MN1" s="2">
        <f>DATE(2025,2,16)</f>
        <v>45704</v>
      </c>
      <c r="MO1" s="2">
        <f>DATE(2025,2,15)</f>
        <v>45703</v>
      </c>
      <c r="MP1" s="2">
        <f>DATE(2025,2,14)</f>
        <v>45702</v>
      </c>
      <c r="MQ1" s="2">
        <f>DATE(2025,2,13)</f>
        <v>45701</v>
      </c>
      <c r="MR1" s="2">
        <f>DATE(2025,2,12)</f>
        <v>45700</v>
      </c>
      <c r="MS1" s="2">
        <f>DATE(2025,2,11)</f>
        <v>45699</v>
      </c>
      <c r="MT1" s="2">
        <f>DATE(2025,2,10)</f>
        <v>45698</v>
      </c>
      <c r="MU1" s="2">
        <f>DATE(2025,2,9)</f>
        <v>45697</v>
      </c>
      <c r="MV1" s="2">
        <f>DATE(2025,2,8)</f>
        <v>45696</v>
      </c>
      <c r="MW1" s="2">
        <f>DATE(2025,2,7)</f>
        <v>45695</v>
      </c>
      <c r="MX1" s="2">
        <f>DATE(2025,2,6)</f>
        <v>45694</v>
      </c>
      <c r="MY1" s="2">
        <f>DATE(2025,2,5)</f>
        <v>45693</v>
      </c>
      <c r="MZ1" s="2">
        <f>DATE(2025,2,4)</f>
        <v>45692</v>
      </c>
      <c r="NA1" s="2">
        <f>DATE(2025,2,3)</f>
        <v>45691</v>
      </c>
      <c r="NB1" s="2">
        <f>DATE(2025,2,2)</f>
        <v>45690</v>
      </c>
      <c r="NC1" s="2">
        <f>DATE(2025,2,1)</f>
        <v>45689</v>
      </c>
      <c r="ND1" s="2">
        <f>DATE(2025,1,31)</f>
        <v>45688</v>
      </c>
      <c r="NE1" s="2">
        <f>DATE(2025,1,30)</f>
        <v>45687</v>
      </c>
    </row>
    <row r="2" spans="1:369" x14ac:dyDescent="0.25">
      <c r="A2" s="8" t="s">
        <v>2</v>
      </c>
      <c r="B2" t="s">
        <v>42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49.98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46.43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52.89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45.53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43.5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41.13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38.82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36.4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33.08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33.590000000000003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32.97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33.26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33.159999999999997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34.75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35.549999999999997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39.03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39.03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40.43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39.74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41.25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40.270000000000003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40.29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35.6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37.76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38.270000000000003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39.770000000000003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38.409999999999997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38.61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40.590000000000003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37.35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38.130000000000003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47.36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42.09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40.049999999999997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40.380000000000003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42.03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43.64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43.66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43.25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42.72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46.34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46.83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43.84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43.2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44.13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46.62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44.32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45.01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44.98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41.59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41.57</v>
      </c>
      <c r="NE2">
        <v>0</v>
      </c>
    </row>
    <row r="3" spans="1:369" x14ac:dyDescent="0.25">
      <c r="A3" s="8" t="s">
        <v>3</v>
      </c>
      <c r="B3" t="s">
        <v>42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77.98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64.44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46.36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45.06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40.369999999999997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37.33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35.15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33.78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34.049999999999997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33.85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34.28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32.630000000000003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31.04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32.520000000000003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33.31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36.58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36.58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37.979999999999997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37.28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38.78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37.78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37.78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33.08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35.18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35.68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37.18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35.78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35.979999999999997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37.979999999999997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34.68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35.43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44.93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39.44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37.24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37.44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39.130000000000003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40.64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40.64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40.14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39.54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43.14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43.64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40.67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40.07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40.869999999999997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43.27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41.02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41.77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41.87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38.47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38.22</v>
      </c>
      <c r="NE3">
        <v>0</v>
      </c>
    </row>
    <row r="4" spans="1:369" x14ac:dyDescent="0.25">
      <c r="A4" s="8" t="s">
        <v>4</v>
      </c>
      <c r="B4" t="s">
        <v>42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24.46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21.33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25.13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27.19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28.65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29.7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31.15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30.46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31.06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</row>
    <row r="5" spans="1:369" x14ac:dyDescent="0.25">
      <c r="A5" s="8" t="s">
        <v>5</v>
      </c>
      <c r="B5" t="s">
        <v>42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19.440000000000001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21.38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25.31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27.31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28.84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29.9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31.36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30.66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31.15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31.58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30.86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31.15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31.04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32.56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33.36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36.61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36.619999999999997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37.979999999999997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37.28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38.770000000000003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37.78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37.78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</row>
    <row r="6" spans="1:369" x14ac:dyDescent="0.25">
      <c r="A6" s="8" t="s">
        <v>6</v>
      </c>
      <c r="B6" t="s">
        <v>42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16.399999999999999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21.45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25.54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27.5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29.05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30.15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31.62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30.9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31.36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31.73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30.94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31.23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31.14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32.64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33.43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36.700000000000003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36.71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38.03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37.32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38.79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37.81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37.82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33.08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35.21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35.68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37.17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35.770000000000003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35.97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37.96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34.479999999999997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35.22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44.85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39.29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37.04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37.18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38.950000000000003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40.4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40.4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39.869999999999997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39.22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42.85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43.38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40.46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39.89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40.64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43.02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40.840000000000003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41.64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41.78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38.39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38.090000000000003</v>
      </c>
      <c r="NE6">
        <v>0</v>
      </c>
    </row>
    <row r="7" spans="1:369" x14ac:dyDescent="0.25">
      <c r="A7" s="8" t="s">
        <v>7</v>
      </c>
      <c r="B7" t="s">
        <v>42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16.600000000000001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21.53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25.81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27.75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29.36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30.46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31.94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31.23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31.62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31.94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31.11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31.43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31.35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32.78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33.590000000000003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36.83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</row>
    <row r="8" spans="1:369" x14ac:dyDescent="0.25">
      <c r="A8" s="8" t="s">
        <v>8</v>
      </c>
      <c r="B8" t="s">
        <v>42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16.8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21.68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26.03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28.03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29.63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30.74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32.22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31.52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31.94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32.229999999999997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31.31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31.64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31.6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32.99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33.799999999999997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37.06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37.08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38.26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37.520000000000003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38.96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38.01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38.08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33.18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35.44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35.799999999999997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37.229999999999997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35.85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36.03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37.979999999999997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34.39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35.119999999999997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44.77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39.200000000000003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36.950000000000003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37.090000000000003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38.86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40.31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40.31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39.770000000000003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39.130000000000003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42.76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43.29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40.369999999999997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39.799999999999997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</row>
    <row r="9" spans="1:369" x14ac:dyDescent="0.25">
      <c r="A9" s="8" t="s">
        <v>9</v>
      </c>
      <c r="B9" t="s">
        <v>42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17.28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22.06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26.34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28.44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30.02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31.13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32.619999999999997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31.94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32.46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32.799999999999997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31.91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32.25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32.200000000000003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33.57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34.4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37.67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37.72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38.75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37.979999999999997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39.39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38.5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38.630000000000003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33.51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35.950000000000003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36.15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37.450000000000003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36.11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36.25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38.090000000000003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34.299999999999997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35.04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44.68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39.119999999999997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36.86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37.01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38.770000000000003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40.229999999999997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40.22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39.89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39.94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43.04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43.21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40.28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</row>
    <row r="10" spans="1:369" x14ac:dyDescent="0.25">
      <c r="A10" s="8" t="s">
        <v>10</v>
      </c>
      <c r="B10" t="s">
        <v>42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17.55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22.26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26.42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28.58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30.15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31.25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32.74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32.08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32.619999999999997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33.020000000000003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32.15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32.5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32.450000000000003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33.83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34.659999999999997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37.97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38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39.07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38.299999999999997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39.72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38.83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38.96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33.76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36.28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36.42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37.659999999999997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36.33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36.450000000000003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38.22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34.26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35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44.64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39.08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36.82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37.51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38.729999999999997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40.42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40.46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40.520000000000003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40.590000000000003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43.72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43.73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40.24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39.67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40.56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43.24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</row>
    <row r="11" spans="1:369" x14ac:dyDescent="0.25">
      <c r="A11" s="8" t="s">
        <v>11</v>
      </c>
      <c r="B11" t="s">
        <v>42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17.809999999999999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22.44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26.48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28.67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30.22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31.32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32.81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32.159999999999997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32.76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33.17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32.369999999999997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32.69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32.619999999999997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34.07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34.89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38.229999999999997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38.26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39.36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38.6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40.03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39.14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39.25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34.090000000000003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36.58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36.74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37.92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36.619999999999997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36.71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38.4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34.58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35.51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44.6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39.04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37.020000000000003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38.17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38.83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41.03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41.08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41.15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41.06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44.32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44.4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40.590000000000003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39.64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41.14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43.91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40.619999999999997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41.38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41.54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38.15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37.83</v>
      </c>
      <c r="NE11">
        <v>0</v>
      </c>
    </row>
    <row r="12" spans="1:369" x14ac:dyDescent="0.25">
      <c r="A12" s="8" t="s">
        <v>12</v>
      </c>
      <c r="B12" t="s">
        <v>42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18.260000000000002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22.7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28.79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28.77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30.3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31.4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32.9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32.25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32.89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33.36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32.64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32.950000000000003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32.86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34.369999999999997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35.17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38.57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38.590000000000003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39.79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39.06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40.51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39.58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39.659999999999997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34.630000000000003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37.020000000000003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37.28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38.520000000000003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37.21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37.31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38.92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35.68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36.58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44.53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39.479999999999997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38.200000000000003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39.06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39.99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42.1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42.13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</row>
    <row r="13" spans="1:369" x14ac:dyDescent="0.25">
      <c r="A13" s="8" t="s">
        <v>13</v>
      </c>
      <c r="B13" t="s">
        <v>42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24.55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24.51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33.53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28.82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30.35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31.45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32.94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32.299999999999997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32.96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33.44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32.76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33.06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32.97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34.51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35.31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38.74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38.76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40.049999999999997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39.33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40.799999999999997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39.85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39.9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35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37.29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37.630000000000003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38.950000000000003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37.619999999999997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37.75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39.450000000000003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36.340000000000003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37.159999999999997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44.96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40.590000000000003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38.93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39.520000000000003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40.799999999999997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42.65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42.67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42.39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42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45.48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45.85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42.53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41.7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42.92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45.54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42.71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42.72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41.86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38.020000000000003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40.5</v>
      </c>
      <c r="NE13">
        <v>0</v>
      </c>
    </row>
    <row r="14" spans="1:369" x14ac:dyDescent="0.25">
      <c r="A14" s="8" t="s">
        <v>14</v>
      </c>
      <c r="B14" t="s">
        <v>42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30.35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29.5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37.93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31.84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30.84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31.48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32.979999999999997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32.340000000000003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33.01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33.5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32.83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33.14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33.04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34.6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35.409999999999997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38.86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38.880000000000003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40.200000000000003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39.5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40.98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40.020000000000003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40.07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35.229999999999997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37.479999999999997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37.880000000000003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39.26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37.93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38.08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39.86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36.700000000000003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37.53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45.93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41.17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39.32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39.82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41.23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42.99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43.02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42.68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42.25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45.78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46.17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42.99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42.22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43.36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45.95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43.33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43.64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42.97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39.46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40.799999999999997</v>
      </c>
      <c r="NE14">
        <v>0</v>
      </c>
    </row>
    <row r="15" spans="1:369" x14ac:dyDescent="0.25">
      <c r="A15" s="8" t="s">
        <v>15</v>
      </c>
      <c r="B15" t="s">
        <v>42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33.1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31.87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40.01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33.74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32.61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31.49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32.99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32.36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33.020000000000003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33.520000000000003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32.86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33.159999999999997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33.07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34.630000000000003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35.44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38.89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38.909999999999997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40.26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39.549999999999997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41.05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40.08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40.119999999999997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35.32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37.54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37.96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39.380000000000003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38.03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38.19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40.020000000000003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36.85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37.659999999999997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46.28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41.36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39.479999999999997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39.93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41.4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43.12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43.15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42.81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42.34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45.89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46.3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43.16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42.43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</row>
    <row r="16" spans="1:369" x14ac:dyDescent="0.25">
      <c r="A16" s="8" t="s">
        <v>16</v>
      </c>
      <c r="B16" t="s">
        <v>42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45.51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42.58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49.48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42.41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40.619999999999997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38.43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36.28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33.979999999999997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33.08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33.590000000000003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32.950000000000003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33.25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33.15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34.729999999999997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35.54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39.01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39.03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40.409999999999997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39.72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41.22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40.229999999999997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0"/>
    </row>
    <row r="29" spans="1:1" x14ac:dyDescent="0.25">
      <c r="A29" s="10"/>
    </row>
    <row r="30" spans="1:1" x14ac:dyDescent="0.25">
      <c r="A30" s="10"/>
    </row>
    <row r="31" spans="1:1" x14ac:dyDescent="0.25">
      <c r="A31" s="10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</sheetData>
  <mergeCells count="7">
    <mergeCell ref="A26:A27"/>
    <mergeCell ref="A28:A29"/>
    <mergeCell ref="A30:A31"/>
    <mergeCell ref="A18:A19"/>
    <mergeCell ref="A20:A21"/>
    <mergeCell ref="A22:A23"/>
    <mergeCell ref="A24:A2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FCDC3-241C-4ED8-B4AF-C04B2597E1B4}">
  <sheetPr codeName="Sheet5"/>
  <dimension ref="A1:B12"/>
  <sheetViews>
    <sheetView workbookViewId="0">
      <selection activeCell="N35" sqref="N35"/>
    </sheetView>
  </sheetViews>
  <sheetFormatPr defaultRowHeight="15" x14ac:dyDescent="0.25"/>
  <sheetData>
    <row r="1" spans="1:2" x14ac:dyDescent="0.25">
      <c r="A1" t="s">
        <v>30</v>
      </c>
      <c r="B1" t="s">
        <v>29</v>
      </c>
    </row>
    <row r="2" spans="1:2" x14ac:dyDescent="0.25">
      <c r="A2" t="s">
        <v>31</v>
      </c>
      <c r="B2" t="s">
        <v>18</v>
      </c>
    </row>
    <row r="3" spans="1:2" x14ac:dyDescent="0.25">
      <c r="A3" t="s">
        <v>32</v>
      </c>
      <c r="B3" t="s">
        <v>19</v>
      </c>
    </row>
    <row r="4" spans="1:2" x14ac:dyDescent="0.25">
      <c r="A4" t="s">
        <v>33</v>
      </c>
      <c r="B4" t="s">
        <v>20</v>
      </c>
    </row>
    <row r="5" spans="1:2" x14ac:dyDescent="0.25">
      <c r="A5" t="s">
        <v>40</v>
      </c>
      <c r="B5" t="s">
        <v>21</v>
      </c>
    </row>
    <row r="6" spans="1:2" x14ac:dyDescent="0.25">
      <c r="A6" t="s">
        <v>34</v>
      </c>
      <c r="B6" t="s">
        <v>22</v>
      </c>
    </row>
    <row r="7" spans="1:2" x14ac:dyDescent="0.25">
      <c r="A7" t="s">
        <v>35</v>
      </c>
      <c r="B7" t="s">
        <v>23</v>
      </c>
    </row>
    <row r="8" spans="1:2" x14ac:dyDescent="0.25">
      <c r="A8" t="s">
        <v>36</v>
      </c>
      <c r="B8" t="s">
        <v>24</v>
      </c>
    </row>
    <row r="9" spans="1:2" x14ac:dyDescent="0.25">
      <c r="A9" t="s">
        <v>37</v>
      </c>
      <c r="B9" t="s">
        <v>25</v>
      </c>
    </row>
    <row r="10" spans="1:2" x14ac:dyDescent="0.25">
      <c r="A10" t="s">
        <v>38</v>
      </c>
      <c r="B10" t="s">
        <v>26</v>
      </c>
    </row>
    <row r="11" spans="1:2" x14ac:dyDescent="0.25">
      <c r="A11" t="s">
        <v>39</v>
      </c>
      <c r="B11" t="s">
        <v>27</v>
      </c>
    </row>
    <row r="12" spans="1:2" x14ac:dyDescent="0.25">
      <c r="A12" t="s">
        <v>41</v>
      </c>
      <c r="B12" t="s">
        <v>28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0B158-0D10-4A55-B5DA-A97E889AEC9A}">
  <dimension ref="A1:AE511"/>
  <sheetViews>
    <sheetView tabSelected="1" topLeftCell="G1" workbookViewId="0">
      <pane ySplit="1" topLeftCell="A2" activePane="bottomLeft" state="frozen"/>
      <selection activeCell="N1" sqref="N1"/>
      <selection pane="bottomLeft" activeCell="P7" sqref="P7"/>
    </sheetView>
  </sheetViews>
  <sheetFormatPr defaultRowHeight="15" x14ac:dyDescent="0.25"/>
  <cols>
    <col min="1" max="1" width="12.140625" bestFit="1" customWidth="1"/>
    <col min="2" max="2" width="4.85546875" bestFit="1" customWidth="1"/>
    <col min="3" max="3" width="11.5703125" bestFit="1" customWidth="1"/>
    <col min="4" max="4" width="6.140625" bestFit="1" customWidth="1"/>
    <col min="5" max="5" width="11.140625" bestFit="1" customWidth="1"/>
    <col min="6" max="6" width="16.140625" bestFit="1" customWidth="1"/>
    <col min="7" max="7" width="7.28515625" bestFit="1" customWidth="1"/>
    <col min="8" max="8" width="18.85546875" bestFit="1" customWidth="1"/>
    <col min="9" max="9" width="13.140625" bestFit="1" customWidth="1"/>
    <col min="10" max="10" width="17.28515625" bestFit="1" customWidth="1"/>
    <col min="11" max="11" width="12.85546875" bestFit="1" customWidth="1"/>
    <col min="12" max="12" width="19.140625" bestFit="1" customWidth="1"/>
    <col min="13" max="13" width="15" bestFit="1" customWidth="1"/>
    <col min="15" max="15" width="17.42578125" bestFit="1" customWidth="1"/>
    <col min="16" max="16" width="29.7109375" bestFit="1" customWidth="1"/>
    <col min="18" max="18" width="9.42578125" bestFit="1" customWidth="1"/>
    <col min="20" max="20" width="9.42578125" bestFit="1" customWidth="1"/>
    <col min="21" max="21" width="9.42578125" customWidth="1"/>
    <col min="22" max="23" width="10.42578125" bestFit="1" customWidth="1"/>
    <col min="26" max="26" width="11.7109375" customWidth="1"/>
  </cols>
  <sheetData>
    <row r="1" spans="1:31" x14ac:dyDescent="0.25">
      <c r="A1" s="15" t="s">
        <v>94</v>
      </c>
      <c r="B1" s="15" t="s">
        <v>95</v>
      </c>
      <c r="C1" s="15" t="s">
        <v>96</v>
      </c>
      <c r="D1" s="15" t="s">
        <v>97</v>
      </c>
      <c r="E1" s="15" t="s">
        <v>98</v>
      </c>
      <c r="F1" s="15" t="s">
        <v>99</v>
      </c>
      <c r="G1" s="15" t="s">
        <v>100</v>
      </c>
      <c r="H1" s="15" t="s">
        <v>101</v>
      </c>
      <c r="I1" s="15" t="s">
        <v>102</v>
      </c>
      <c r="J1" s="15" t="s">
        <v>57</v>
      </c>
      <c r="K1" s="15" t="s">
        <v>103</v>
      </c>
      <c r="L1" s="15" t="s">
        <v>104</v>
      </c>
      <c r="M1" s="15" t="s">
        <v>105</v>
      </c>
      <c r="N1" s="16" t="s">
        <v>264</v>
      </c>
      <c r="O1" s="13" t="s">
        <v>111</v>
      </c>
      <c r="P1" s="14" t="s">
        <v>116</v>
      </c>
      <c r="Q1" s="13" t="s">
        <v>261</v>
      </c>
      <c r="R1" s="13" t="s">
        <v>262</v>
      </c>
      <c r="S1" s="13" t="s">
        <v>263</v>
      </c>
      <c r="T1" s="13"/>
      <c r="U1" s="13" t="s">
        <v>269</v>
      </c>
      <c r="V1" s="13" t="s">
        <v>265</v>
      </c>
      <c r="W1" s="13" t="s">
        <v>266</v>
      </c>
      <c r="X1" s="13" t="s">
        <v>267</v>
      </c>
      <c r="Y1" s="13" t="s">
        <v>268</v>
      </c>
      <c r="Z1" s="13" t="s">
        <v>273</v>
      </c>
      <c r="AA1" s="13" t="s">
        <v>275</v>
      </c>
      <c r="AB1" s="13"/>
      <c r="AC1" s="13"/>
      <c r="AD1" s="13"/>
    </row>
    <row r="2" spans="1:31" x14ac:dyDescent="0.25">
      <c r="A2" t="s">
        <v>106</v>
      </c>
      <c r="B2" t="s">
        <v>107</v>
      </c>
      <c r="C2" t="s">
        <v>108</v>
      </c>
      <c r="D2">
        <v>46027</v>
      </c>
      <c r="E2" t="s">
        <v>107</v>
      </c>
      <c r="F2" t="s">
        <v>109</v>
      </c>
      <c r="G2">
        <v>5</v>
      </c>
      <c r="H2">
        <v>14.414</v>
      </c>
      <c r="I2">
        <v>-0.11899999999999999</v>
      </c>
      <c r="J2" t="s">
        <v>58</v>
      </c>
      <c r="K2">
        <v>4172</v>
      </c>
      <c r="L2">
        <v>103.7693</v>
      </c>
      <c r="M2">
        <v>1</v>
      </c>
      <c r="N2">
        <f>INDEX(jkm!$H:$H,MATCH(J2,jkm!$J:$J,0),1)</f>
        <v>19.414000000000001</v>
      </c>
      <c r="O2" s="3">
        <f t="shared" ref="O2:O65" ca="1" si="0">T2-TODAY()</f>
        <v>27</v>
      </c>
      <c r="P2" s="3">
        <f ca="1">O2/365</f>
        <v>7.3972602739726029E-2</v>
      </c>
      <c r="Q2" t="str" cm="1">
        <f t="array" ref="Q2:S2">_xlfn.TEXTSPLIT(J2,"/")</f>
        <v>4</v>
      </c>
      <c r="R2" s="1" t="str">
        <v>15</v>
      </c>
      <c r="S2" t="str">
        <v>2026</v>
      </c>
      <c r="T2" s="1">
        <f>DATE(S2,Q2,R2)</f>
        <v>46127</v>
      </c>
      <c r="U2" s="18">
        <f>100-Sheet8!$D$5</f>
        <v>3.6899999999999977</v>
      </c>
      <c r="V2" s="17">
        <f ca="1">(LN(N2/G2)+(L2/100)^2*P2/2)/(L2/100*SQRT(P2))</f>
        <v>4.9476664730600195</v>
      </c>
      <c r="W2" s="17">
        <f ca="1">V2-L2/100*SQRT(P2)</f>
        <v>4.6654357184437023</v>
      </c>
      <c r="X2" s="17">
        <f ca="1">(LN(N2/G2)+P2*(U2/100+(L2/100)^2/2))/((L2/100*SQRT(P2)))</f>
        <v>4.9573379528560704</v>
      </c>
      <c r="Y2" s="17">
        <f ca="1">X2-N2/100*SQRT(R2)</f>
        <v>4.2054369660233624</v>
      </c>
      <c r="Z2" s="20">
        <f ca="1">EXP(-P2)/(N2*L2/100*SQRT(P2))*_xlfn.NORM.S.DIST(X2,FALSE)</f>
        <v>3.1162193933554784E-7</v>
      </c>
      <c r="AA2" s="17">
        <f t="shared" ref="AA2:AA13" ca="1" si="1">(N2*EXP(-P2)*SQRT(P2)*_xlfn.NORM.S.DIST(X2,FALSE))/100</f>
        <v>9.0156670215545598E-8</v>
      </c>
      <c r="AB2" s="17"/>
      <c r="AC2" s="17"/>
      <c r="AD2" s="17"/>
    </row>
    <row r="3" spans="1:31" x14ac:dyDescent="0.25">
      <c r="A3" t="s">
        <v>106</v>
      </c>
      <c r="B3" t="s">
        <v>107</v>
      </c>
      <c r="C3" t="s">
        <v>108</v>
      </c>
      <c r="D3">
        <v>46027</v>
      </c>
      <c r="E3" t="s">
        <v>107</v>
      </c>
      <c r="F3" t="s">
        <v>109</v>
      </c>
      <c r="G3">
        <v>8</v>
      </c>
      <c r="H3">
        <v>11.414</v>
      </c>
      <c r="I3">
        <v>-0.11899999999999999</v>
      </c>
      <c r="J3" t="s">
        <v>58</v>
      </c>
      <c r="K3">
        <v>4172</v>
      </c>
      <c r="L3">
        <v>68.337699999999998</v>
      </c>
      <c r="M3">
        <v>1</v>
      </c>
      <c r="N3">
        <f>INDEX(jkm!$H:$H,MATCH(J3,jkm!$J:$J,0),1)</f>
        <v>19.414000000000001</v>
      </c>
      <c r="O3" s="3">
        <f t="shared" ca="1" si="0"/>
        <v>27</v>
      </c>
      <c r="P3" s="3">
        <f t="shared" ref="P3:P66" ca="1" si="2">O3/365</f>
        <v>7.3972602739726029E-2</v>
      </c>
      <c r="Q3" t="str" cm="1">
        <f t="array" ref="Q3:S3">_xlfn.TEXTSPLIT(J3,"/")</f>
        <v>4</v>
      </c>
      <c r="R3" s="1" t="str">
        <v>15</v>
      </c>
      <c r="S3" t="str">
        <v>2026</v>
      </c>
      <c r="T3" s="1">
        <f t="shared" ref="T3:T66" si="3">DATE(S3,Q3,R3)</f>
        <v>46127</v>
      </c>
      <c r="U3" s="19">
        <f>U2</f>
        <v>3.6899999999999977</v>
      </c>
      <c r="V3" s="17">
        <f ca="1">(LN(N3/G3)+(L3/100)^2*P3/2)/(L3/100*SQRT(P3))</f>
        <v>4.8628274937206806</v>
      </c>
      <c r="W3" s="17">
        <f ca="1">V3-L3/100*SQRT(P3)</f>
        <v>4.6769632675984703</v>
      </c>
      <c r="X3" s="17">
        <f ca="1">(LN(N3/G3)+P3*(U3/100+(L3/100)^2/2))/((L3/100*SQRT(P3)))</f>
        <v>4.8775134238646611</v>
      </c>
      <c r="Y3" s="17">
        <f ca="1">X3-N3/100*SQRT(R3)</f>
        <v>4.1256124370319531</v>
      </c>
      <c r="Z3" s="20">
        <f ca="1">EXP(-P3)/(N3*L3/100*SQRT(P3))*_xlfn.NORM.S.DIST(X3,FALSE)</f>
        <v>7.0066542078626039E-7</v>
      </c>
      <c r="AA3" s="17">
        <f t="shared" ca="1" si="1"/>
        <v>1.3349714962982181E-7</v>
      </c>
      <c r="AB3" s="17"/>
      <c r="AC3" s="17"/>
      <c r="AD3" s="17"/>
      <c r="AE3" t="s">
        <v>270</v>
      </c>
    </row>
    <row r="4" spans="1:31" x14ac:dyDescent="0.25">
      <c r="A4" t="s">
        <v>106</v>
      </c>
      <c r="B4" t="s">
        <v>107</v>
      </c>
      <c r="C4" t="s">
        <v>108</v>
      </c>
      <c r="D4">
        <v>46027</v>
      </c>
      <c r="E4" t="s">
        <v>107</v>
      </c>
      <c r="F4" t="s">
        <v>109</v>
      </c>
      <c r="G4">
        <v>9</v>
      </c>
      <c r="H4">
        <v>10.414</v>
      </c>
      <c r="I4">
        <v>-0.11899999999999999</v>
      </c>
      <c r="J4" t="s">
        <v>58</v>
      </c>
      <c r="K4">
        <v>4172</v>
      </c>
      <c r="L4">
        <v>59.463999999999999</v>
      </c>
      <c r="M4">
        <v>1</v>
      </c>
      <c r="N4">
        <f>INDEX(jkm!$H:$H,MATCH(J4,jkm!$J:$J,0),1)</f>
        <v>19.414000000000001</v>
      </c>
      <c r="O4" s="3">
        <f t="shared" ca="1" si="0"/>
        <v>27</v>
      </c>
      <c r="P4" s="3">
        <f t="shared" ca="1" si="2"/>
        <v>7.3972602739726029E-2</v>
      </c>
      <c r="Q4" t="str" cm="1">
        <f t="array" ref="Q4:S4">_xlfn.TEXTSPLIT(J4,"/")</f>
        <v>4</v>
      </c>
      <c r="R4" s="1" t="str">
        <v>15</v>
      </c>
      <c r="S4" t="str">
        <v>2026</v>
      </c>
      <c r="T4" s="1">
        <f t="shared" si="3"/>
        <v>46127</v>
      </c>
      <c r="U4" s="19">
        <f t="shared" ref="U4:U67" si="4">U3</f>
        <v>3.6899999999999977</v>
      </c>
      <c r="V4" s="17">
        <f ca="1">(LN(N4/G4)+(L4/100)^2*P4/2)/(L4/100*SQRT(P4))</f>
        <v>4.8342913736512445</v>
      </c>
      <c r="W4" s="17">
        <f ca="1">V4-L4/100*SQRT(P4)</f>
        <v>4.6725617523421992</v>
      </c>
      <c r="X4" s="17">
        <f ca="1">(LN(N4/G4)+P4*(U4/100+(L4/100)^2/2))/((L4/100*SQRT(P4)))</f>
        <v>4.8511688573119525</v>
      </c>
      <c r="Y4" s="17">
        <f ca="1">X4-N4/100*SQRT(R4)</f>
        <v>4.0992678704792445</v>
      </c>
      <c r="Z4" s="20">
        <f ca="1">EXP(-P4)/(N4*L4/100*SQRT(P4))*_xlfn.NORM.S.DIST(X4,FALSE)</f>
        <v>9.1531653650721169E-7</v>
      </c>
      <c r="AA4" s="17">
        <f t="shared" ca="1" si="1"/>
        <v>1.5174918897407813E-7</v>
      </c>
      <c r="AB4" s="17"/>
      <c r="AC4" s="17"/>
      <c r="AD4" s="17"/>
    </row>
    <row r="5" spans="1:31" x14ac:dyDescent="0.25">
      <c r="A5" t="s">
        <v>106</v>
      </c>
      <c r="B5" t="s">
        <v>107</v>
      </c>
      <c r="C5" t="s">
        <v>108</v>
      </c>
      <c r="D5">
        <v>46027</v>
      </c>
      <c r="E5" t="s">
        <v>107</v>
      </c>
      <c r="F5" t="s">
        <v>109</v>
      </c>
      <c r="G5">
        <v>10</v>
      </c>
      <c r="H5">
        <v>9.4139999999999997</v>
      </c>
      <c r="I5">
        <v>-0.11899999999999999</v>
      </c>
      <c r="J5" t="s">
        <v>58</v>
      </c>
      <c r="K5">
        <v>4172</v>
      </c>
      <c r="L5">
        <v>51.517800000000001</v>
      </c>
      <c r="M5">
        <v>1</v>
      </c>
      <c r="N5">
        <f>INDEX(jkm!$H:$H,MATCH(J5,jkm!$J:$J,0),1)</f>
        <v>19.414000000000001</v>
      </c>
      <c r="O5" s="3">
        <f t="shared" ca="1" si="0"/>
        <v>27</v>
      </c>
      <c r="P5" s="3">
        <f t="shared" ca="1" si="2"/>
        <v>7.3972602739726029E-2</v>
      </c>
      <c r="Q5" t="str" cm="1">
        <f t="array" ref="Q5:S5">_xlfn.TEXTSPLIT(J5,"/")</f>
        <v>4</v>
      </c>
      <c r="R5" s="1" t="str">
        <v>15</v>
      </c>
      <c r="S5" t="str">
        <v>2026</v>
      </c>
      <c r="T5" s="1">
        <f t="shared" si="3"/>
        <v>46127</v>
      </c>
      <c r="U5" s="19">
        <f t="shared" si="4"/>
        <v>3.6899999999999977</v>
      </c>
      <c r="V5" s="17">
        <f ca="1">(LN(N5/G5)+(L5/100)^2*P5/2)/(L5/100*SQRT(P5))</f>
        <v>4.8047192486877197</v>
      </c>
      <c r="W5" s="17">
        <f ca="1">V5-L5/100*SQRT(P5)</f>
        <v>4.6646016265184223</v>
      </c>
      <c r="X5" s="17">
        <f ca="1">(LN(N5/G5)+P5*(U5/100+(L5/100)^2/2))/((L5/100*SQRT(P5)))</f>
        <v>4.8241999463960914</v>
      </c>
      <c r="Y5" s="17">
        <f ca="1">X5-N5/100*SQRT(R5)</f>
        <v>4.0722989595633834</v>
      </c>
      <c r="Z5" s="20">
        <f ca="1">EXP(-P5)/(N5*L5/100*SQRT(P5))*_xlfn.NORM.S.DIST(X5,FALSE)</f>
        <v>1.2037304656454767E-6</v>
      </c>
      <c r="AA5" s="17">
        <f t="shared" ca="1" si="1"/>
        <v>1.7289702137735258E-7</v>
      </c>
      <c r="AB5" s="17"/>
      <c r="AC5" s="17"/>
      <c r="AD5" s="17"/>
    </row>
    <row r="6" spans="1:31" x14ac:dyDescent="0.25">
      <c r="A6" t="s">
        <v>106</v>
      </c>
      <c r="B6" t="s">
        <v>107</v>
      </c>
      <c r="C6" t="s">
        <v>108</v>
      </c>
      <c r="D6">
        <v>46027</v>
      </c>
      <c r="E6" t="s">
        <v>107</v>
      </c>
      <c r="F6" t="s">
        <v>109</v>
      </c>
      <c r="G6">
        <v>11.5</v>
      </c>
      <c r="H6">
        <v>7.9139999999999997</v>
      </c>
      <c r="I6">
        <v>-0.11899999999999999</v>
      </c>
      <c r="J6" t="s">
        <v>58</v>
      </c>
      <c r="K6">
        <v>4172</v>
      </c>
      <c r="L6">
        <v>40.952300000000001</v>
      </c>
      <c r="M6">
        <v>1</v>
      </c>
      <c r="N6">
        <f>INDEX(jkm!$H:$H,MATCH(J6,jkm!$J:$J,0),1)</f>
        <v>19.414000000000001</v>
      </c>
      <c r="O6" s="3">
        <f t="shared" ca="1" si="0"/>
        <v>27</v>
      </c>
      <c r="P6" s="3">
        <f t="shared" ca="1" si="2"/>
        <v>7.3972602739726029E-2</v>
      </c>
      <c r="Q6" t="str" cm="1">
        <f t="array" ref="Q6:S6">_xlfn.TEXTSPLIT(J6,"/")</f>
        <v>4</v>
      </c>
      <c r="R6" s="1" t="str">
        <v>15</v>
      </c>
      <c r="S6" t="str">
        <v>2026</v>
      </c>
      <c r="T6" s="1">
        <f t="shared" si="3"/>
        <v>46127</v>
      </c>
      <c r="U6" s="19">
        <f t="shared" si="4"/>
        <v>3.6899999999999977</v>
      </c>
      <c r="V6" s="17">
        <f ca="1">(LN(N6/G6)+(L6/100)^2*P6/2)/(L6/100*SQRT(P6))</f>
        <v>4.7570693733231373</v>
      </c>
      <c r="W6" s="17">
        <f ca="1">V6-L6/100*SQRT(P6)</f>
        <v>4.645687697506939</v>
      </c>
      <c r="X6" s="17">
        <f ca="1">(LN(N6/G6)+P6*(U6/100+(L6/100)^2/2))/((L6/100*SQRT(P6)))</f>
        <v>4.7815759990413591</v>
      </c>
      <c r="Y6" s="17">
        <f ca="1">X6-N6/100*SQRT(R6)</f>
        <v>4.0296750122086511</v>
      </c>
      <c r="Z6" s="20">
        <f ca="1">EXP(-P6)/(N6*L6/100*SQRT(P6))*_xlfn.NORM.S.DIST(X6,FALSE)</f>
        <v>1.8583015110352041E-6</v>
      </c>
      <c r="AA6" s="17">
        <f t="shared" ca="1" si="1"/>
        <v>2.121755948026698E-7</v>
      </c>
      <c r="AB6" s="17"/>
      <c r="AC6" s="17"/>
      <c r="AD6" s="17"/>
    </row>
    <row r="7" spans="1:31" x14ac:dyDescent="0.25">
      <c r="A7" t="s">
        <v>106</v>
      </c>
      <c r="B7" t="s">
        <v>107</v>
      </c>
      <c r="C7" t="s">
        <v>108</v>
      </c>
      <c r="D7">
        <v>46027</v>
      </c>
      <c r="E7" t="s">
        <v>107</v>
      </c>
      <c r="F7" t="s">
        <v>109</v>
      </c>
      <c r="G7">
        <v>12.5</v>
      </c>
      <c r="H7">
        <v>6.9139999999999997</v>
      </c>
      <c r="I7">
        <v>-0.11899999999999999</v>
      </c>
      <c r="J7" t="s">
        <v>58</v>
      </c>
      <c r="K7">
        <v>4172</v>
      </c>
      <c r="L7">
        <v>34.6265</v>
      </c>
      <c r="M7">
        <v>1</v>
      </c>
      <c r="N7">
        <f>INDEX(jkm!$H:$H,MATCH(J7,jkm!$J:$J,0),1)</f>
        <v>19.414000000000001</v>
      </c>
      <c r="O7" s="3">
        <f t="shared" ca="1" si="0"/>
        <v>27</v>
      </c>
      <c r="P7" s="3">
        <f t="shared" ca="1" si="2"/>
        <v>7.3972602739726029E-2</v>
      </c>
      <c r="Q7" t="str" cm="1">
        <f t="array" ref="Q7:S7">_xlfn.TEXTSPLIT(J7,"/")</f>
        <v>4</v>
      </c>
      <c r="R7" s="1" t="str">
        <v>15</v>
      </c>
      <c r="S7" t="str">
        <v>2026</v>
      </c>
      <c r="T7" s="1">
        <f t="shared" si="3"/>
        <v>46127</v>
      </c>
      <c r="U7" s="19">
        <f t="shared" si="4"/>
        <v>3.6899999999999977</v>
      </c>
      <c r="V7" s="17">
        <f ca="1">(LN(N7/G7)+(L7/100)^2*P7/2)/(L7/100*SQRT(P7))</f>
        <v>4.7219732386545319</v>
      </c>
      <c r="W7" s="17">
        <f ca="1">V7-L7/100*SQRT(P7)</f>
        <v>4.6277964134786664</v>
      </c>
      <c r="X7" s="17">
        <f ca="1">(LN(N7/G7)+P7*(U7/100+(L7/100)^2/2))/((L7/100*SQRT(P7)))</f>
        <v>4.7509568982331878</v>
      </c>
      <c r="Y7" s="17">
        <f ca="1">X7-N7/100*SQRT(R7)</f>
        <v>3.9990559114004798</v>
      </c>
      <c r="Z7" s="20">
        <f ca="1">EXP(-P7)/(N7*L7/100*SQRT(P7))*_xlfn.NORM.S.DIST(X7,FALSE)</f>
        <v>2.5431167283204524E-6</v>
      </c>
      <c r="AA7" s="17">
        <f t="shared" ca="1" si="1"/>
        <v>2.4551376185028642E-7</v>
      </c>
      <c r="AB7" s="17"/>
      <c r="AC7" s="17"/>
      <c r="AD7" s="17"/>
    </row>
    <row r="8" spans="1:31" x14ac:dyDescent="0.25">
      <c r="A8" t="s">
        <v>106</v>
      </c>
      <c r="B8" t="s">
        <v>107</v>
      </c>
      <c r="C8" t="s">
        <v>108</v>
      </c>
      <c r="D8">
        <v>46027</v>
      </c>
      <c r="E8" t="s">
        <v>107</v>
      </c>
      <c r="F8" t="s">
        <v>109</v>
      </c>
      <c r="G8">
        <v>13</v>
      </c>
      <c r="H8">
        <v>6.4139999999999997</v>
      </c>
      <c r="I8">
        <v>-0.11899999999999999</v>
      </c>
      <c r="J8" t="s">
        <v>58</v>
      </c>
      <c r="K8">
        <v>4172</v>
      </c>
      <c r="L8">
        <v>31.642499999999998</v>
      </c>
      <c r="M8">
        <v>1</v>
      </c>
      <c r="N8">
        <f>INDEX(jkm!$H:$H,MATCH(J8,jkm!$J:$J,0),1)</f>
        <v>19.414000000000001</v>
      </c>
      <c r="O8" s="3">
        <f t="shared" ca="1" si="0"/>
        <v>27</v>
      </c>
      <c r="P8" s="3">
        <f t="shared" ca="1" si="2"/>
        <v>7.3972602739726029E-2</v>
      </c>
      <c r="Q8" t="str" cm="1">
        <f t="array" ref="Q8:S8">_xlfn.TEXTSPLIT(J8,"/")</f>
        <v>4</v>
      </c>
      <c r="R8" s="1" t="str">
        <v>15</v>
      </c>
      <c r="S8" t="str">
        <v>2026</v>
      </c>
      <c r="T8" s="1">
        <f t="shared" si="3"/>
        <v>46127</v>
      </c>
      <c r="U8" s="19">
        <f t="shared" si="4"/>
        <v>3.6899999999999977</v>
      </c>
      <c r="V8" s="17">
        <f ca="1">(LN(N8/G8)+(L8/100)^2*P8/2)/(L8/100*SQRT(P8))</f>
        <v>4.703041824698821</v>
      </c>
      <c r="W8" s="17">
        <f ca="1">V8-L8/100*SQRT(P8)</f>
        <v>4.6169808543256297</v>
      </c>
      <c r="X8" s="17">
        <f ca="1">(LN(N8/G8)+P8*(U8/100+(L8/100)^2/2))/((L8/100*SQRT(P8)))</f>
        <v>4.7347587461936573</v>
      </c>
      <c r="Y8" s="17">
        <f ca="1">X8-N8/100*SQRT(R8)</f>
        <v>3.9828577593609493</v>
      </c>
      <c r="Z8" s="20">
        <f ca="1">EXP(-P8)/(N8*L8/100*SQRT(P8))*_xlfn.NORM.S.DIST(X8,FALSE)</f>
        <v>3.0051697347261357E-6</v>
      </c>
      <c r="AA8" s="17">
        <f t="shared" ca="1" si="1"/>
        <v>2.6511893435441042E-7</v>
      </c>
      <c r="AB8" s="17"/>
      <c r="AC8" s="17"/>
      <c r="AD8" s="17"/>
    </row>
    <row r="9" spans="1:31" x14ac:dyDescent="0.25">
      <c r="A9" t="s">
        <v>106</v>
      </c>
      <c r="B9" t="s">
        <v>107</v>
      </c>
      <c r="C9" t="s">
        <v>108</v>
      </c>
      <c r="D9">
        <v>46027</v>
      </c>
      <c r="E9" t="s">
        <v>107</v>
      </c>
      <c r="F9" t="s">
        <v>109</v>
      </c>
      <c r="G9">
        <v>15</v>
      </c>
      <c r="H9">
        <v>4.415</v>
      </c>
      <c r="I9">
        <v>-0.11899999999999999</v>
      </c>
      <c r="J9" t="s">
        <v>58</v>
      </c>
      <c r="K9">
        <v>4172</v>
      </c>
      <c r="L9">
        <v>30.345500000000001</v>
      </c>
      <c r="M9">
        <v>0.99888999999999994</v>
      </c>
      <c r="N9">
        <f>INDEX(jkm!$H:$H,MATCH(J9,jkm!$J:$J,0),1)</f>
        <v>19.414000000000001</v>
      </c>
      <c r="O9" s="3">
        <f t="shared" ca="1" si="0"/>
        <v>27</v>
      </c>
      <c r="P9" s="3">
        <f t="shared" ca="1" si="2"/>
        <v>7.3972602739726029E-2</v>
      </c>
      <c r="Q9" t="str" cm="1">
        <f t="array" ref="Q9:S9">_xlfn.TEXTSPLIT(J9,"/")</f>
        <v>4</v>
      </c>
      <c r="R9" s="1" t="str">
        <v>15</v>
      </c>
      <c r="S9" t="str">
        <v>2026</v>
      </c>
      <c r="T9" s="1">
        <f t="shared" si="3"/>
        <v>46127</v>
      </c>
      <c r="U9" s="19">
        <f t="shared" si="4"/>
        <v>3.6899999999999977</v>
      </c>
      <c r="V9" s="17">
        <f ca="1">(LN(N9/G9)+(L9/100)^2*P9/2)/(L9/100*SQRT(P9))</f>
        <v>3.1665983555665753</v>
      </c>
      <c r="W9" s="17">
        <f ca="1">V9-L9/100*SQRT(P9)</f>
        <v>3.0840649534504441</v>
      </c>
      <c r="X9" s="17">
        <f ca="1">(LN(N9/G9)+P9*(U9/100+(L9/100)^2/2))/((L9/100*SQRT(P9)))</f>
        <v>3.199670893122402</v>
      </c>
      <c r="Y9" s="17">
        <f ca="1">X9-N9/100*SQRT(R9)</f>
        <v>2.447769906289694</v>
      </c>
      <c r="Z9" s="20">
        <f ca="1">EXP(-P9)/(N9*L9/100*SQRT(P9))*_xlfn.NORM.S.DIST(X9,FALSE)</f>
        <v>1.3832765119697399E-3</v>
      </c>
      <c r="AA9" s="17">
        <f t="shared" ca="1" si="1"/>
        <v>1.1703189861634548E-4</v>
      </c>
      <c r="AB9" s="17"/>
      <c r="AC9" s="17"/>
      <c r="AD9" s="17"/>
    </row>
    <row r="10" spans="1:31" x14ac:dyDescent="0.25">
      <c r="A10" t="s">
        <v>106</v>
      </c>
      <c r="B10" t="s">
        <v>107</v>
      </c>
      <c r="C10" t="s">
        <v>108</v>
      </c>
      <c r="D10">
        <v>46027</v>
      </c>
      <c r="E10" t="s">
        <v>107</v>
      </c>
      <c r="F10" t="s">
        <v>109</v>
      </c>
      <c r="G10">
        <v>20</v>
      </c>
      <c r="H10">
        <v>0.43099999999999999</v>
      </c>
      <c r="I10">
        <v>-8.4000000000000005E-2</v>
      </c>
      <c r="J10" t="s">
        <v>58</v>
      </c>
      <c r="K10">
        <v>4172</v>
      </c>
      <c r="L10">
        <v>30.907</v>
      </c>
      <c r="M10">
        <v>0.38292999999999999</v>
      </c>
      <c r="N10">
        <f>INDEX(jkm!$H:$H,MATCH(J10,jkm!$J:$J,0),1)</f>
        <v>19.414000000000001</v>
      </c>
      <c r="O10" s="3">
        <f t="shared" ca="1" si="0"/>
        <v>27</v>
      </c>
      <c r="P10" s="3">
        <f t="shared" ca="1" si="2"/>
        <v>7.3972602739726029E-2</v>
      </c>
      <c r="Q10" t="str" cm="1">
        <f t="array" ref="Q10:S10">_xlfn.TEXTSPLIT(J10,"/")</f>
        <v>4</v>
      </c>
      <c r="R10" s="1" t="str">
        <v>15</v>
      </c>
      <c r="S10" t="str">
        <v>2026</v>
      </c>
      <c r="T10" s="1">
        <f t="shared" si="3"/>
        <v>46127</v>
      </c>
      <c r="U10" s="19">
        <f t="shared" si="4"/>
        <v>3.6899999999999977</v>
      </c>
      <c r="V10" s="17">
        <f ca="1">(LN(N10/G10)+(L10/100)^2*P10/2)/(L10/100*SQRT(P10))</f>
        <v>-0.31173629606986553</v>
      </c>
      <c r="W10" s="17">
        <f ca="1">V10-L10/100*SQRT(P10)</f>
        <v>-0.39579686054246499</v>
      </c>
      <c r="X10" s="17">
        <f ca="1">(LN(N10/G10)+P10*(U10/100+(L10/100)^2/2))/((L10/100*SQRT(P10)))</f>
        <v>-0.27926460071281578</v>
      </c>
      <c r="Y10" s="17">
        <f ca="1">X10-N10/100*SQRT(R10)</f>
        <v>-1.0311655875455239</v>
      </c>
      <c r="Z10" s="20">
        <f ca="1">EXP(-P10)/(N10*L10/100*SQRT(P10))*_xlfn.NORM.S.DIST(X10,FALSE)</f>
        <v>0.21834427570724232</v>
      </c>
      <c r="AA10" s="17">
        <f t="shared" ca="1" si="1"/>
        <v>1.881480029675997E-2</v>
      </c>
      <c r="AB10" s="17"/>
      <c r="AC10" s="17"/>
      <c r="AD10" s="17"/>
    </row>
    <row r="11" spans="1:31" x14ac:dyDescent="0.25">
      <c r="A11" t="s">
        <v>106</v>
      </c>
      <c r="B11" t="s">
        <v>107</v>
      </c>
      <c r="C11" t="s">
        <v>108</v>
      </c>
      <c r="D11">
        <v>46027</v>
      </c>
      <c r="E11" t="s">
        <v>107</v>
      </c>
      <c r="F11" t="s">
        <v>109</v>
      </c>
      <c r="G11">
        <v>25</v>
      </c>
      <c r="H11">
        <v>1E-3</v>
      </c>
      <c r="I11">
        <v>-2E-3</v>
      </c>
      <c r="J11" t="s">
        <v>58</v>
      </c>
      <c r="K11">
        <v>4172</v>
      </c>
      <c r="L11">
        <v>31.616099999999999</v>
      </c>
      <c r="M11">
        <v>2.6099999999999999E-3</v>
      </c>
      <c r="N11">
        <f>INDEX(jkm!$H:$H,MATCH(J11,jkm!$J:$J,0),1)</f>
        <v>19.414000000000001</v>
      </c>
      <c r="O11" s="3">
        <f t="shared" ca="1" si="0"/>
        <v>27</v>
      </c>
      <c r="P11" s="3">
        <f t="shared" ca="1" si="2"/>
        <v>7.3972602739726029E-2</v>
      </c>
      <c r="Q11" t="str" cm="1">
        <f t="array" ref="Q11:S11">_xlfn.TEXTSPLIT(J11,"/")</f>
        <v>4</v>
      </c>
      <c r="R11" s="1" t="str">
        <v>15</v>
      </c>
      <c r="S11" t="str">
        <v>2026</v>
      </c>
      <c r="T11" s="1">
        <f t="shared" si="3"/>
        <v>46127</v>
      </c>
      <c r="U11" s="19">
        <f t="shared" si="4"/>
        <v>3.6899999999999977</v>
      </c>
      <c r="V11" s="17">
        <f ca="1">(LN(N11/G11)+(L11/100)^2*P11/2)/(L11/100*SQRT(P11))</f>
        <v>-2.8978568714221371</v>
      </c>
      <c r="W11" s="17">
        <f ca="1">V11-L11/100*SQRT(P11)</f>
        <v>-2.9838460393265649</v>
      </c>
      <c r="X11" s="17">
        <f ca="1">(LN(N11/G11)+P11*(U11/100+(L11/100)^2/2))/((L11/100*SQRT(P11)))</f>
        <v>-2.8661134657395788</v>
      </c>
      <c r="Y11" s="17">
        <f ca="1">X11-N11/100*SQRT(R11)</f>
        <v>-3.6180144525722868</v>
      </c>
      <c r="Z11" s="20">
        <f ca="1">EXP(-P11)/(N11*L11/100*SQRT(P11))*_xlfn.NORM.S.DIST(X11,FALSE)</f>
        <v>3.6512896492933737E-3</v>
      </c>
      <c r="AA11" s="17">
        <f t="shared" ca="1" si="1"/>
        <v>3.2185149653750334E-4</v>
      </c>
      <c r="AB11" s="17"/>
      <c r="AC11" s="17"/>
      <c r="AD11" s="17"/>
    </row>
    <row r="12" spans="1:31" x14ac:dyDescent="0.25">
      <c r="A12" t="s">
        <v>106</v>
      </c>
      <c r="B12" t="s">
        <v>107</v>
      </c>
      <c r="C12" t="s">
        <v>108</v>
      </c>
      <c r="D12">
        <v>46027</v>
      </c>
      <c r="E12" t="s">
        <v>107</v>
      </c>
      <c r="F12" t="s">
        <v>110</v>
      </c>
      <c r="G12">
        <v>5</v>
      </c>
      <c r="H12">
        <v>1E-3</v>
      </c>
      <c r="I12">
        <v>0</v>
      </c>
      <c r="J12" t="s">
        <v>58</v>
      </c>
      <c r="K12">
        <v>4172</v>
      </c>
      <c r="L12">
        <v>103.7693</v>
      </c>
      <c r="M12">
        <v>0</v>
      </c>
      <c r="N12">
        <f>INDEX(jkm!$H:$H,MATCH(J12,jkm!$J:$J,0),1)</f>
        <v>19.414000000000001</v>
      </c>
      <c r="O12" s="3">
        <f t="shared" ca="1" si="0"/>
        <v>27</v>
      </c>
      <c r="P12" s="3">
        <f t="shared" ca="1" si="2"/>
        <v>7.3972602739726029E-2</v>
      </c>
      <c r="Q12" t="str" cm="1">
        <f t="array" ref="Q12:S12">_xlfn.TEXTSPLIT(J12,"/")</f>
        <v>4</v>
      </c>
      <c r="R12" s="1" t="str">
        <v>15</v>
      </c>
      <c r="S12" t="str">
        <v>2026</v>
      </c>
      <c r="T12" s="1">
        <f t="shared" si="3"/>
        <v>46127</v>
      </c>
      <c r="U12" s="19">
        <f t="shared" si="4"/>
        <v>3.6899999999999977</v>
      </c>
      <c r="V12" s="17">
        <f ca="1">(LN(N12/G12)+(L12/100)^2*P12/2)/(L12/100*SQRT(P12))</f>
        <v>4.9476664730600195</v>
      </c>
      <c r="W12" s="17">
        <f ca="1">V12-L12/100*SQRT(P12)</f>
        <v>4.6654357184437023</v>
      </c>
      <c r="X12" s="17">
        <f ca="1">(LN(N12/G12)+P12*(U12/100+(L12/100)^2/2))/((L12/100*SQRT(P12)))</f>
        <v>4.9573379528560704</v>
      </c>
      <c r="Y12" s="17">
        <f ca="1">X12-N12/100*SQRT(R12)</f>
        <v>4.2054369660233624</v>
      </c>
      <c r="Z12" s="20">
        <f ca="1">EXP(-P12)/(N12*L12/100*SQRT(P12))*_xlfn.NORM.S.DIST(X12,FALSE)</f>
        <v>3.1162193933554784E-7</v>
      </c>
      <c r="AA12" s="17">
        <f t="shared" ca="1" si="1"/>
        <v>9.0156670215545598E-8</v>
      </c>
      <c r="AB12" s="17"/>
      <c r="AC12" s="17"/>
      <c r="AD12" s="17"/>
    </row>
    <row r="13" spans="1:31" x14ac:dyDescent="0.25">
      <c r="A13" t="s">
        <v>106</v>
      </c>
      <c r="B13" t="s">
        <v>107</v>
      </c>
      <c r="C13" t="s">
        <v>108</v>
      </c>
      <c r="D13">
        <v>46027</v>
      </c>
      <c r="E13" t="s">
        <v>107</v>
      </c>
      <c r="F13" t="s">
        <v>110</v>
      </c>
      <c r="G13">
        <v>8</v>
      </c>
      <c r="H13">
        <v>1E-3</v>
      </c>
      <c r="I13">
        <v>0</v>
      </c>
      <c r="J13" t="s">
        <v>58</v>
      </c>
      <c r="K13">
        <v>4172</v>
      </c>
      <c r="L13">
        <v>68.337699999999998</v>
      </c>
      <c r="M13">
        <v>0</v>
      </c>
      <c r="N13">
        <f>INDEX(jkm!$H:$H,MATCH(J13,jkm!$J:$J,0),1)</f>
        <v>19.414000000000001</v>
      </c>
      <c r="O13" s="3">
        <f t="shared" ca="1" si="0"/>
        <v>27</v>
      </c>
      <c r="P13" s="3">
        <f t="shared" ca="1" si="2"/>
        <v>7.3972602739726029E-2</v>
      </c>
      <c r="Q13" t="str" cm="1">
        <f t="array" ref="Q13:S13">_xlfn.TEXTSPLIT(J13,"/")</f>
        <v>4</v>
      </c>
      <c r="R13" s="1" t="str">
        <v>15</v>
      </c>
      <c r="S13" t="str">
        <v>2026</v>
      </c>
      <c r="T13" s="1">
        <f t="shared" si="3"/>
        <v>46127</v>
      </c>
      <c r="U13" s="19">
        <f t="shared" si="4"/>
        <v>3.6899999999999977</v>
      </c>
      <c r="V13" s="17">
        <f ca="1">(LN(N13/G13)+(L13/100)^2*P13/2)/(L13/100*SQRT(P13))</f>
        <v>4.8628274937206806</v>
      </c>
      <c r="W13" s="17">
        <f ca="1">V13-L13/100*SQRT(P13)</f>
        <v>4.6769632675984703</v>
      </c>
      <c r="X13" s="17">
        <f ca="1">(LN(N13/G13)+P13*(U13/100+(L13/100)^2/2))/((L13/100*SQRT(P13)))</f>
        <v>4.8775134238646611</v>
      </c>
      <c r="Y13" s="17">
        <f ca="1">X13-N13/100*SQRT(R13)</f>
        <v>4.1256124370319531</v>
      </c>
      <c r="Z13" s="20">
        <f ca="1">EXP(-P13)/(N13*L13/100*SQRT(P13))*_xlfn.NORM.S.DIST(X13,FALSE)</f>
        <v>7.0066542078626039E-7</v>
      </c>
      <c r="AA13" s="17">
        <f t="shared" ca="1" si="1"/>
        <v>1.3349714962982181E-7</v>
      </c>
      <c r="AB13" s="17"/>
      <c r="AC13" s="17"/>
      <c r="AD13" s="17"/>
    </row>
    <row r="14" spans="1:31" x14ac:dyDescent="0.25">
      <c r="A14" t="s">
        <v>106</v>
      </c>
      <c r="B14" t="s">
        <v>107</v>
      </c>
      <c r="C14" t="s">
        <v>108</v>
      </c>
      <c r="D14">
        <v>46027</v>
      </c>
      <c r="E14" t="s">
        <v>107</v>
      </c>
      <c r="F14" t="s">
        <v>110</v>
      </c>
      <c r="G14">
        <v>9</v>
      </c>
      <c r="H14">
        <v>1E-3</v>
      </c>
      <c r="I14">
        <v>0</v>
      </c>
      <c r="J14" t="s">
        <v>58</v>
      </c>
      <c r="K14">
        <v>4172</v>
      </c>
      <c r="L14">
        <v>59.463999999999999</v>
      </c>
      <c r="M14">
        <v>0</v>
      </c>
      <c r="N14">
        <f>INDEX(jkm!$H:$H,MATCH(J14,jkm!$J:$J,0),1)</f>
        <v>19.414000000000001</v>
      </c>
      <c r="O14" s="3">
        <f t="shared" ca="1" si="0"/>
        <v>27</v>
      </c>
      <c r="P14" s="3">
        <f t="shared" ca="1" si="2"/>
        <v>7.3972602739726029E-2</v>
      </c>
      <c r="Q14" t="str" cm="1">
        <f t="array" ref="Q14:S14">_xlfn.TEXTSPLIT(J14,"/")</f>
        <v>4</v>
      </c>
      <c r="R14" s="1" t="str">
        <v>15</v>
      </c>
      <c r="S14" t="str">
        <v>2026</v>
      </c>
      <c r="T14" s="1">
        <f t="shared" si="3"/>
        <v>46127</v>
      </c>
      <c r="U14" s="19">
        <f t="shared" si="4"/>
        <v>3.6899999999999977</v>
      </c>
      <c r="V14" s="17">
        <f ca="1">(LN(N14/G14)+(L14/100)^2*P14/2)/(L14/100*SQRT(P14))</f>
        <v>4.8342913736512445</v>
      </c>
      <c r="W14" s="17">
        <f ca="1">V14-L14/100*SQRT(P14)</f>
        <v>4.6725617523421992</v>
      </c>
      <c r="X14" s="17">
        <f ca="1">(LN(N14/G14)+P14*(U14/100+(L14/100)^2/2))/((L14/100*SQRT(P14)))</f>
        <v>4.8511688573119525</v>
      </c>
      <c r="Y14" s="17">
        <f ca="1">X14-N14/100*SQRT(R14)</f>
        <v>4.0992678704792445</v>
      </c>
      <c r="Z14" s="20">
        <f ca="1">EXP(-P14)/(N14*L14/100*SQRT(P14))*_xlfn.NORM.S.DIST(X14,FALSE)</f>
        <v>9.1531653650721169E-7</v>
      </c>
      <c r="AA14" s="17">
        <f t="shared" ref="AA13:AA46" ca="1" si="5">(N14*EXP(-P14)*SQRT(P14)*_xlfn.NORM.S.DIST(X14,FALSE))/100</f>
        <v>1.5174918897407813E-7</v>
      </c>
      <c r="AB14" s="17"/>
      <c r="AC14" s="17"/>
      <c r="AD14" s="17"/>
    </row>
    <row r="15" spans="1:31" x14ac:dyDescent="0.25">
      <c r="A15" t="s">
        <v>106</v>
      </c>
      <c r="B15" t="s">
        <v>107</v>
      </c>
      <c r="C15" t="s">
        <v>108</v>
      </c>
      <c r="D15">
        <v>46027</v>
      </c>
      <c r="E15" t="s">
        <v>107</v>
      </c>
      <c r="F15" t="s">
        <v>110</v>
      </c>
      <c r="G15">
        <v>10</v>
      </c>
      <c r="H15">
        <v>1E-3</v>
      </c>
      <c r="I15">
        <v>0</v>
      </c>
      <c r="J15" t="s">
        <v>58</v>
      </c>
      <c r="K15">
        <v>4172</v>
      </c>
      <c r="L15">
        <v>51.517800000000001</v>
      </c>
      <c r="M15">
        <v>0</v>
      </c>
      <c r="N15">
        <f>INDEX(jkm!$H:$H,MATCH(J15,jkm!$J:$J,0),1)</f>
        <v>19.414000000000001</v>
      </c>
      <c r="O15" s="3">
        <f t="shared" ca="1" si="0"/>
        <v>27</v>
      </c>
      <c r="P15" s="3">
        <f t="shared" ca="1" si="2"/>
        <v>7.3972602739726029E-2</v>
      </c>
      <c r="Q15" t="str" cm="1">
        <f t="array" ref="Q15:S15">_xlfn.TEXTSPLIT(J15,"/")</f>
        <v>4</v>
      </c>
      <c r="R15" s="1" t="str">
        <v>15</v>
      </c>
      <c r="S15" t="str">
        <v>2026</v>
      </c>
      <c r="T15" s="1">
        <f t="shared" si="3"/>
        <v>46127</v>
      </c>
      <c r="U15" s="19">
        <f t="shared" si="4"/>
        <v>3.6899999999999977</v>
      </c>
      <c r="V15" s="17">
        <f ca="1">(LN(N15/G15)+(L15/100)^2*P15/2)/(L15/100*SQRT(P15))</f>
        <v>4.8047192486877197</v>
      </c>
      <c r="W15" s="17">
        <f ca="1">V15-L15/100*SQRT(P15)</f>
        <v>4.6646016265184223</v>
      </c>
      <c r="X15" s="17">
        <f ca="1">(LN(N15/G15)+P15*(U15/100+(L15/100)^2/2))/((L15/100*SQRT(P15)))</f>
        <v>4.8241999463960914</v>
      </c>
      <c r="Y15" s="17">
        <f ca="1">X15-N15/100*SQRT(R15)</f>
        <v>4.0722989595633834</v>
      </c>
      <c r="Z15" s="20">
        <f ca="1">EXP(-P15)/(N15*L15/100*SQRT(P15))*_xlfn.NORM.S.DIST(X15,FALSE)</f>
        <v>1.2037304656454767E-6</v>
      </c>
      <c r="AA15" s="17">
        <f t="shared" ca="1" si="5"/>
        <v>1.7289702137735258E-7</v>
      </c>
      <c r="AB15" s="17"/>
      <c r="AC15" s="17"/>
      <c r="AD15" s="17"/>
    </row>
    <row r="16" spans="1:31" x14ac:dyDescent="0.25">
      <c r="A16" t="s">
        <v>106</v>
      </c>
      <c r="B16" t="s">
        <v>107</v>
      </c>
      <c r="C16" t="s">
        <v>108</v>
      </c>
      <c r="D16">
        <v>46027</v>
      </c>
      <c r="E16" t="s">
        <v>107</v>
      </c>
      <c r="F16" t="s">
        <v>110</v>
      </c>
      <c r="G16">
        <v>11.5</v>
      </c>
      <c r="H16">
        <v>1E-3</v>
      </c>
      <c r="I16">
        <v>0</v>
      </c>
      <c r="J16" t="s">
        <v>58</v>
      </c>
      <c r="K16">
        <v>4172</v>
      </c>
      <c r="L16">
        <v>40.952300000000001</v>
      </c>
      <c r="M16">
        <v>0</v>
      </c>
      <c r="N16">
        <f>INDEX(jkm!$H:$H,MATCH(J16,jkm!$J:$J,0),1)</f>
        <v>19.414000000000001</v>
      </c>
      <c r="O16" s="3">
        <f t="shared" ca="1" si="0"/>
        <v>27</v>
      </c>
      <c r="P16" s="3">
        <f t="shared" ca="1" si="2"/>
        <v>7.3972602739726029E-2</v>
      </c>
      <c r="Q16" t="str" cm="1">
        <f t="array" ref="Q16:S16">_xlfn.TEXTSPLIT(J16,"/")</f>
        <v>4</v>
      </c>
      <c r="R16" s="1" t="str">
        <v>15</v>
      </c>
      <c r="S16" t="str">
        <v>2026</v>
      </c>
      <c r="T16" s="1">
        <f t="shared" si="3"/>
        <v>46127</v>
      </c>
      <c r="U16" s="19">
        <f t="shared" si="4"/>
        <v>3.6899999999999977</v>
      </c>
      <c r="V16" s="17">
        <f ca="1">(LN(N16/G16)+(L16/100)^2*P16/2)/(L16/100*SQRT(P16))</f>
        <v>4.7570693733231373</v>
      </c>
      <c r="W16" s="17">
        <f ca="1">V16-L16/100*SQRT(P16)</f>
        <v>4.645687697506939</v>
      </c>
      <c r="X16" s="17">
        <f ca="1">(LN(N16/G16)+P16*(U16/100+(L16/100)^2/2))/((L16/100*SQRT(P16)))</f>
        <v>4.7815759990413591</v>
      </c>
      <c r="Y16" s="17">
        <f ca="1">X16-N16/100*SQRT(R16)</f>
        <v>4.0296750122086511</v>
      </c>
      <c r="Z16" s="20">
        <f ca="1">EXP(-P16)/(N16*L16/100*SQRT(P16))*_xlfn.NORM.S.DIST(X16,FALSE)</f>
        <v>1.8583015110352041E-6</v>
      </c>
      <c r="AA16" s="17">
        <f t="shared" ca="1" si="5"/>
        <v>2.121755948026698E-7</v>
      </c>
      <c r="AB16" s="17"/>
      <c r="AC16" s="17"/>
      <c r="AD16" s="17"/>
    </row>
    <row r="17" spans="1:31" x14ac:dyDescent="0.25">
      <c r="A17" t="s">
        <v>106</v>
      </c>
      <c r="B17" t="s">
        <v>107</v>
      </c>
      <c r="C17" t="s">
        <v>108</v>
      </c>
      <c r="D17">
        <v>46027</v>
      </c>
      <c r="E17" t="s">
        <v>107</v>
      </c>
      <c r="F17" t="s">
        <v>110</v>
      </c>
      <c r="G17">
        <v>12.5</v>
      </c>
      <c r="H17">
        <v>1E-3</v>
      </c>
      <c r="I17">
        <v>0</v>
      </c>
      <c r="J17" t="s">
        <v>58</v>
      </c>
      <c r="K17">
        <v>4172</v>
      </c>
      <c r="L17">
        <v>34.6265</v>
      </c>
      <c r="M17">
        <v>0</v>
      </c>
      <c r="N17">
        <f>INDEX(jkm!$H:$H,MATCH(J17,jkm!$J:$J,0),1)</f>
        <v>19.414000000000001</v>
      </c>
      <c r="O17" s="3">
        <f t="shared" ca="1" si="0"/>
        <v>27</v>
      </c>
      <c r="P17" s="3">
        <f t="shared" ca="1" si="2"/>
        <v>7.3972602739726029E-2</v>
      </c>
      <c r="Q17" t="str" cm="1">
        <f t="array" ref="Q17:S17">_xlfn.TEXTSPLIT(J17,"/")</f>
        <v>4</v>
      </c>
      <c r="R17" s="1" t="str">
        <v>15</v>
      </c>
      <c r="S17" t="str">
        <v>2026</v>
      </c>
      <c r="T17" s="1">
        <f t="shared" si="3"/>
        <v>46127</v>
      </c>
      <c r="U17" s="19">
        <f t="shared" si="4"/>
        <v>3.6899999999999977</v>
      </c>
      <c r="V17" s="17">
        <f ca="1">(LN(N17/G17)+(L17/100)^2*P17/2)/(L17/100*SQRT(P17))</f>
        <v>4.7219732386545319</v>
      </c>
      <c r="W17" s="17">
        <f ca="1">V17-L17/100*SQRT(P17)</f>
        <v>4.6277964134786664</v>
      </c>
      <c r="X17" s="17">
        <f ca="1">(LN(N17/G17)+P17*(U17/100+(L17/100)^2/2))/((L17/100*SQRT(P17)))</f>
        <v>4.7509568982331878</v>
      </c>
      <c r="Y17" s="17">
        <f ca="1">X17-N17/100*SQRT(R17)</f>
        <v>3.9990559114004798</v>
      </c>
      <c r="Z17" s="20">
        <f ca="1">EXP(-P17)/(N17*L17/100*SQRT(P17))*_xlfn.NORM.S.DIST(X17,FALSE)</f>
        <v>2.5431167283204524E-6</v>
      </c>
      <c r="AA17" s="17">
        <f t="shared" ca="1" si="5"/>
        <v>2.4551376185028642E-7</v>
      </c>
      <c r="AB17" s="17"/>
      <c r="AC17" s="17"/>
      <c r="AD17" s="17"/>
    </row>
    <row r="18" spans="1:31" x14ac:dyDescent="0.25">
      <c r="A18" t="s">
        <v>106</v>
      </c>
      <c r="B18" t="s">
        <v>107</v>
      </c>
      <c r="C18" t="s">
        <v>108</v>
      </c>
      <c r="D18">
        <v>46027</v>
      </c>
      <c r="E18" t="s">
        <v>107</v>
      </c>
      <c r="F18" t="s">
        <v>110</v>
      </c>
      <c r="G18">
        <v>13</v>
      </c>
      <c r="H18">
        <v>1E-3</v>
      </c>
      <c r="I18">
        <v>0</v>
      </c>
      <c r="J18" t="s">
        <v>58</v>
      </c>
      <c r="K18">
        <v>4172</v>
      </c>
      <c r="L18">
        <v>31.642499999999998</v>
      </c>
      <c r="M18">
        <v>0</v>
      </c>
      <c r="N18">
        <f>INDEX(jkm!$H:$H,MATCH(J18,jkm!$J:$J,0),1)</f>
        <v>19.414000000000001</v>
      </c>
      <c r="O18" s="3">
        <f t="shared" ca="1" si="0"/>
        <v>27</v>
      </c>
      <c r="P18" s="3">
        <f t="shared" ca="1" si="2"/>
        <v>7.3972602739726029E-2</v>
      </c>
      <c r="Q18" t="str" cm="1">
        <f t="array" ref="Q18:S18">_xlfn.TEXTSPLIT(J18,"/")</f>
        <v>4</v>
      </c>
      <c r="R18" s="1" t="str">
        <v>15</v>
      </c>
      <c r="S18" t="str">
        <v>2026</v>
      </c>
      <c r="T18" s="1">
        <f t="shared" si="3"/>
        <v>46127</v>
      </c>
      <c r="U18" s="19">
        <f t="shared" si="4"/>
        <v>3.6899999999999977</v>
      </c>
      <c r="V18" s="17">
        <f ca="1">(LN(N18/G18)+(L18/100)^2*P18/2)/(L18/100*SQRT(P18))</f>
        <v>4.703041824698821</v>
      </c>
      <c r="W18" s="17">
        <f ca="1">V18-L18/100*SQRT(P18)</f>
        <v>4.6169808543256297</v>
      </c>
      <c r="X18" s="17">
        <f ca="1">(LN(N18/G18)+P18*(U18/100+(L18/100)^2/2))/((L18/100*SQRT(P18)))</f>
        <v>4.7347587461936573</v>
      </c>
      <c r="Y18" s="17">
        <f ca="1">X18-N18/100*SQRT(R18)</f>
        <v>3.9828577593609493</v>
      </c>
      <c r="Z18" s="20">
        <f ca="1">EXP(-P18)/(N18*L18/100*SQRT(P18))*_xlfn.NORM.S.DIST(X18,FALSE)</f>
        <v>3.0051697347261357E-6</v>
      </c>
      <c r="AA18" s="17">
        <f t="shared" ca="1" si="5"/>
        <v>2.6511893435441042E-7</v>
      </c>
      <c r="AB18" s="17"/>
      <c r="AC18" s="17"/>
      <c r="AD18" s="17"/>
    </row>
    <row r="19" spans="1:31" x14ac:dyDescent="0.25">
      <c r="A19" t="s">
        <v>106</v>
      </c>
      <c r="B19" t="s">
        <v>107</v>
      </c>
      <c r="C19" t="s">
        <v>108</v>
      </c>
      <c r="D19">
        <v>46027</v>
      </c>
      <c r="E19" t="s">
        <v>107</v>
      </c>
      <c r="F19" t="s">
        <v>110</v>
      </c>
      <c r="G19">
        <v>15</v>
      </c>
      <c r="H19">
        <v>1E-3</v>
      </c>
      <c r="I19">
        <v>0</v>
      </c>
      <c r="J19" t="s">
        <v>58</v>
      </c>
      <c r="K19">
        <v>4172</v>
      </c>
      <c r="L19">
        <v>30.345500000000001</v>
      </c>
      <c r="M19">
        <v>-1.1100000000000001E-3</v>
      </c>
      <c r="N19">
        <f>INDEX(jkm!$H:$H,MATCH(J19,jkm!$J:$J,0),1)</f>
        <v>19.414000000000001</v>
      </c>
      <c r="O19" s="3">
        <f t="shared" ca="1" si="0"/>
        <v>27</v>
      </c>
      <c r="P19" s="3">
        <f t="shared" ca="1" si="2"/>
        <v>7.3972602739726029E-2</v>
      </c>
      <c r="Q19" t="str" cm="1">
        <f t="array" ref="Q19:S19">_xlfn.TEXTSPLIT(J19,"/")</f>
        <v>4</v>
      </c>
      <c r="R19" s="1" t="str">
        <v>15</v>
      </c>
      <c r="S19" t="str">
        <v>2026</v>
      </c>
      <c r="T19" s="1">
        <f t="shared" si="3"/>
        <v>46127</v>
      </c>
      <c r="U19" s="19">
        <f t="shared" si="4"/>
        <v>3.6899999999999977</v>
      </c>
      <c r="V19" s="17">
        <f ca="1">(LN(N19/G19)+(L19/100)^2*P19/2)/(L19/100*SQRT(P19))</f>
        <v>3.1665983555665753</v>
      </c>
      <c r="W19" s="17">
        <f ca="1">V19-L19/100*SQRT(P19)</f>
        <v>3.0840649534504441</v>
      </c>
      <c r="X19" s="17">
        <f ca="1">(LN(N19/G19)+P19*(U19/100+(L19/100)^2/2))/((L19/100*SQRT(P19)))</f>
        <v>3.199670893122402</v>
      </c>
      <c r="Y19" s="17">
        <f ca="1">X19-N19/100*SQRT(R19)</f>
        <v>2.447769906289694</v>
      </c>
      <c r="Z19" s="20">
        <f ca="1">EXP(-P19)/(N19*L19/100*SQRT(P19))*_xlfn.NORM.S.DIST(X19,FALSE)</f>
        <v>1.3832765119697399E-3</v>
      </c>
      <c r="AA19" s="17">
        <f t="shared" ca="1" si="5"/>
        <v>1.1703189861634548E-4</v>
      </c>
      <c r="AB19" s="17"/>
      <c r="AC19" s="17"/>
      <c r="AD19" s="17"/>
      <c r="AE19" t="s">
        <v>271</v>
      </c>
    </row>
    <row r="20" spans="1:31" x14ac:dyDescent="0.25">
      <c r="A20" t="s">
        <v>106</v>
      </c>
      <c r="B20" t="s">
        <v>107</v>
      </c>
      <c r="C20" t="s">
        <v>108</v>
      </c>
      <c r="D20">
        <v>46027</v>
      </c>
      <c r="E20" t="s">
        <v>107</v>
      </c>
      <c r="F20" t="s">
        <v>110</v>
      </c>
      <c r="G20">
        <v>20</v>
      </c>
      <c r="H20">
        <v>1.0169999999999999</v>
      </c>
      <c r="I20">
        <v>3.5000000000000003E-2</v>
      </c>
      <c r="J20" t="s">
        <v>58</v>
      </c>
      <c r="K20">
        <v>4172</v>
      </c>
      <c r="L20">
        <v>30.907</v>
      </c>
      <c r="M20">
        <v>-0.61707000000000001</v>
      </c>
      <c r="N20">
        <f>INDEX(jkm!$H:$H,MATCH(J20,jkm!$J:$J,0),1)</f>
        <v>19.414000000000001</v>
      </c>
      <c r="O20" s="3">
        <f t="shared" ca="1" si="0"/>
        <v>27</v>
      </c>
      <c r="P20" s="3">
        <f t="shared" ca="1" si="2"/>
        <v>7.3972602739726029E-2</v>
      </c>
      <c r="Q20" t="str" cm="1">
        <f t="array" ref="Q20:S20">_xlfn.TEXTSPLIT(J20,"/")</f>
        <v>4</v>
      </c>
      <c r="R20" s="1" t="str">
        <v>15</v>
      </c>
      <c r="S20" t="str">
        <v>2026</v>
      </c>
      <c r="T20" s="1">
        <f t="shared" si="3"/>
        <v>46127</v>
      </c>
      <c r="U20" s="19">
        <f t="shared" si="4"/>
        <v>3.6899999999999977</v>
      </c>
      <c r="V20" s="17">
        <f ca="1">(LN(N20/G20)+(L20/100)^2*P20/2)/(L20/100*SQRT(P20))</f>
        <v>-0.31173629606986553</v>
      </c>
      <c r="W20" s="17">
        <f ca="1">V20-L20/100*SQRT(P20)</f>
        <v>-0.39579686054246499</v>
      </c>
      <c r="X20" s="17">
        <f ca="1">(LN(N20/G20)+P20*(U20/100+(L20/100)^2/2))/((L20/100*SQRT(P20)))</f>
        <v>-0.27926460071281578</v>
      </c>
      <c r="Y20" s="17">
        <f ca="1">X20-N20/100*SQRT(R20)</f>
        <v>-1.0311655875455239</v>
      </c>
      <c r="Z20" s="20">
        <f ca="1">EXP(-P20)/(N20*L20/100*SQRT(P20))*_xlfn.NORM.S.DIST(X20,FALSE)</f>
        <v>0.21834427570724232</v>
      </c>
      <c r="AA20" s="17">
        <f t="shared" ca="1" si="5"/>
        <v>1.881480029675997E-2</v>
      </c>
      <c r="AB20" s="17"/>
      <c r="AC20" s="17"/>
      <c r="AD20" s="17"/>
    </row>
    <row r="21" spans="1:31" x14ac:dyDescent="0.25">
      <c r="A21" t="s">
        <v>106</v>
      </c>
      <c r="B21" t="s">
        <v>107</v>
      </c>
      <c r="C21" t="s">
        <v>108</v>
      </c>
      <c r="D21">
        <v>46027</v>
      </c>
      <c r="E21" t="s">
        <v>107</v>
      </c>
      <c r="F21" t="s">
        <v>110</v>
      </c>
      <c r="G21">
        <v>25</v>
      </c>
      <c r="H21">
        <v>5.5869999999999997</v>
      </c>
      <c r="I21">
        <v>0.11700000000000001</v>
      </c>
      <c r="J21" t="s">
        <v>58</v>
      </c>
      <c r="K21">
        <v>4172</v>
      </c>
      <c r="L21">
        <v>31.616099999999999</v>
      </c>
      <c r="M21">
        <v>-0.99739</v>
      </c>
      <c r="N21">
        <f>INDEX(jkm!$H:$H,MATCH(J21,jkm!$J:$J,0),1)</f>
        <v>19.414000000000001</v>
      </c>
      <c r="O21" s="3">
        <f t="shared" ca="1" si="0"/>
        <v>27</v>
      </c>
      <c r="P21" s="3">
        <f t="shared" ca="1" si="2"/>
        <v>7.3972602739726029E-2</v>
      </c>
      <c r="Q21" t="str" cm="1">
        <f t="array" ref="Q21:S21">_xlfn.TEXTSPLIT(J21,"/")</f>
        <v>4</v>
      </c>
      <c r="R21" s="1" t="str">
        <v>15</v>
      </c>
      <c r="S21" t="str">
        <v>2026</v>
      </c>
      <c r="T21" s="1">
        <f t="shared" si="3"/>
        <v>46127</v>
      </c>
      <c r="U21" s="19">
        <f t="shared" si="4"/>
        <v>3.6899999999999977</v>
      </c>
      <c r="V21" s="17">
        <f ca="1">(LN(N21/G21)+(L21/100)^2*P21/2)/(L21/100*SQRT(P21))</f>
        <v>-2.8978568714221371</v>
      </c>
      <c r="W21" s="17">
        <f ca="1">V21-L21/100*SQRT(P21)</f>
        <v>-2.9838460393265649</v>
      </c>
      <c r="X21" s="17">
        <f ca="1">(LN(N21/G21)+P21*(U21/100+(L21/100)^2/2))/((L21/100*SQRT(P21)))</f>
        <v>-2.8661134657395788</v>
      </c>
      <c r="Y21" s="17">
        <f ca="1">X21-N21/100*SQRT(R21)</f>
        <v>-3.6180144525722868</v>
      </c>
      <c r="Z21" s="20">
        <f ca="1">EXP(-P21)/(N21*L21/100*SQRT(P21))*_xlfn.NORM.S.DIST(X21,FALSE)</f>
        <v>3.6512896492933737E-3</v>
      </c>
      <c r="AA21" s="17">
        <f t="shared" ca="1" si="5"/>
        <v>3.2185149653750334E-4</v>
      </c>
      <c r="AB21" s="17"/>
      <c r="AC21" s="17"/>
      <c r="AD21" s="17"/>
    </row>
    <row r="22" spans="1:31" x14ac:dyDescent="0.25">
      <c r="A22" t="s">
        <v>106</v>
      </c>
      <c r="B22" t="s">
        <v>107</v>
      </c>
      <c r="C22" t="s">
        <v>108</v>
      </c>
      <c r="D22">
        <v>46028</v>
      </c>
      <c r="E22" t="s">
        <v>107</v>
      </c>
      <c r="F22" t="s">
        <v>109</v>
      </c>
      <c r="G22">
        <v>5</v>
      </c>
      <c r="H22">
        <v>13.861000000000001</v>
      </c>
      <c r="I22">
        <v>0.16900000000000001</v>
      </c>
      <c r="J22" t="s">
        <v>59</v>
      </c>
      <c r="K22">
        <v>4172</v>
      </c>
      <c r="L22">
        <v>71.306200000000004</v>
      </c>
      <c r="M22">
        <v>1</v>
      </c>
      <c r="N22">
        <f>INDEX(jkm!$H:$H,MATCH(J22,jkm!$J:$J,0),1)</f>
        <v>18.861000000000001</v>
      </c>
      <c r="O22" s="3">
        <f t="shared" ca="1" si="0"/>
        <v>57</v>
      </c>
      <c r="P22" s="3">
        <f t="shared" ca="1" si="2"/>
        <v>0.15616438356164383</v>
      </c>
      <c r="Q22" t="str" cm="1">
        <f t="array" ref="Q22:S22">_xlfn.TEXTSPLIT(J22,"/")</f>
        <v>5</v>
      </c>
      <c r="R22" s="1" t="str">
        <v>15</v>
      </c>
      <c r="S22" t="str">
        <v>2026</v>
      </c>
      <c r="T22" s="1">
        <f t="shared" si="3"/>
        <v>46157</v>
      </c>
      <c r="U22" s="19">
        <f t="shared" si="4"/>
        <v>3.6899999999999977</v>
      </c>
      <c r="V22" s="17">
        <f ca="1">(LN(N22/G22)+(L22/100)^2*P22/2)/(L22/100*SQRT(P22))</f>
        <v>4.8524887428731382</v>
      </c>
      <c r="W22" s="17">
        <f ca="1">V22-L22/100*SQRT(P22)</f>
        <v>4.5707034719439701</v>
      </c>
      <c r="X22" s="17">
        <f ca="1">(LN(N22/G22)+P22*(U22/100+(L22/100)^2/2))/((L22/100*SQRT(P22)))</f>
        <v>4.8729385901430948</v>
      </c>
      <c r="Y22" s="17">
        <f ca="1">X22-N22/100*SQRT(R22)</f>
        <v>4.1424552012149141</v>
      </c>
      <c r="Z22" s="20">
        <f ca="1">EXP(-P22)/(N22*L22/100*SQRT(P22))*_xlfn.NORM.S.DIST(X22,FALSE)</f>
        <v>4.4805290598489126E-7</v>
      </c>
      <c r="AA22" s="17">
        <f t="shared" ca="1" si="5"/>
        <v>1.7748759829858674E-7</v>
      </c>
      <c r="AB22" s="17"/>
      <c r="AC22" s="17"/>
      <c r="AD22" s="17"/>
    </row>
    <row r="23" spans="1:31" x14ac:dyDescent="0.25">
      <c r="A23" t="s">
        <v>106</v>
      </c>
      <c r="B23" t="s">
        <v>107</v>
      </c>
      <c r="C23" t="s">
        <v>108</v>
      </c>
      <c r="D23">
        <v>46028</v>
      </c>
      <c r="E23" t="s">
        <v>107</v>
      </c>
      <c r="F23" t="s">
        <v>109</v>
      </c>
      <c r="G23">
        <v>8</v>
      </c>
      <c r="H23">
        <v>10.861000000000001</v>
      </c>
      <c r="I23">
        <v>0.16900000000000001</v>
      </c>
      <c r="J23" t="s">
        <v>59</v>
      </c>
      <c r="K23">
        <v>4172</v>
      </c>
      <c r="L23">
        <v>46.440899999999999</v>
      </c>
      <c r="M23">
        <v>1</v>
      </c>
      <c r="N23">
        <f>INDEX(jkm!$H:$H,MATCH(J23,jkm!$J:$J,0),1)</f>
        <v>18.861000000000001</v>
      </c>
      <c r="O23" s="3">
        <f t="shared" ca="1" si="0"/>
        <v>57</v>
      </c>
      <c r="P23" s="3">
        <f t="shared" ca="1" si="2"/>
        <v>0.15616438356164383</v>
      </c>
      <c r="Q23" t="str" cm="1">
        <f t="array" ref="Q23:S23">_xlfn.TEXTSPLIT(J23,"/")</f>
        <v>5</v>
      </c>
      <c r="R23" s="1" t="str">
        <v>15</v>
      </c>
      <c r="S23" t="str">
        <v>2026</v>
      </c>
      <c r="T23" s="1">
        <f t="shared" si="3"/>
        <v>46157</v>
      </c>
      <c r="U23" s="19">
        <f t="shared" si="4"/>
        <v>3.6899999999999977</v>
      </c>
      <c r="V23" s="17">
        <f ca="1">(LN(N23/G23)+(L23/100)^2*P23/2)/(L23/100*SQRT(P23))</f>
        <v>4.76503178076696</v>
      </c>
      <c r="W23" s="17">
        <f ca="1">V23-L23/100*SQRT(P23)</f>
        <v>4.5815083061084536</v>
      </c>
      <c r="X23" s="17">
        <f ca="1">(LN(N23/G23)+P23*(U23/100+(L23/100)^2/2))/((L23/100*SQRT(P23)))</f>
        <v>4.7964308470942907</v>
      </c>
      <c r="Y23" s="17">
        <f ca="1">X23-N23/100*SQRT(R23)</f>
        <v>4.0659474581661099</v>
      </c>
      <c r="Z23" s="20">
        <f ca="1">EXP(-P23)/(N23*L23/100*SQRT(P23))*_xlfn.NORM.S.DIST(X23,FALSE)</f>
        <v>9.9585820103194898E-7</v>
      </c>
      <c r="AA23" s="17">
        <f t="shared" ca="1" si="5"/>
        <v>2.5692688593844743E-7</v>
      </c>
      <c r="AB23" s="17"/>
      <c r="AC23" s="17"/>
      <c r="AD23" s="17"/>
    </row>
    <row r="24" spans="1:31" x14ac:dyDescent="0.25">
      <c r="A24" t="s">
        <v>106</v>
      </c>
      <c r="B24" t="s">
        <v>107</v>
      </c>
      <c r="C24" t="s">
        <v>108</v>
      </c>
      <c r="D24">
        <v>46028</v>
      </c>
      <c r="E24" t="s">
        <v>107</v>
      </c>
      <c r="F24" t="s">
        <v>109</v>
      </c>
      <c r="G24">
        <v>8.5</v>
      </c>
      <c r="H24">
        <v>10.361000000000001</v>
      </c>
      <c r="I24">
        <v>0.16900000000000001</v>
      </c>
      <c r="J24" t="s">
        <v>59</v>
      </c>
      <c r="K24">
        <v>4172</v>
      </c>
      <c r="L24">
        <v>43.235100000000003</v>
      </c>
      <c r="M24">
        <v>1</v>
      </c>
      <c r="N24">
        <f>INDEX(jkm!$H:$H,MATCH(J24,jkm!$J:$J,0),1)</f>
        <v>18.861000000000001</v>
      </c>
      <c r="O24" s="3">
        <f t="shared" ca="1" si="0"/>
        <v>57</v>
      </c>
      <c r="P24" s="3">
        <f t="shared" ca="1" si="2"/>
        <v>0.15616438356164383</v>
      </c>
      <c r="Q24" t="str" cm="1">
        <f t="array" ref="Q24:S24">_xlfn.TEXTSPLIT(J24,"/")</f>
        <v>5</v>
      </c>
      <c r="R24" s="1" t="str">
        <v>15</v>
      </c>
      <c r="S24" t="str">
        <v>2026</v>
      </c>
      <c r="T24" s="1">
        <f t="shared" si="3"/>
        <v>46157</v>
      </c>
      <c r="U24" s="19">
        <f t="shared" si="4"/>
        <v>3.6899999999999977</v>
      </c>
      <c r="V24" s="17">
        <f ca="1">(LN(N24/G24)+(L24/100)^2*P24/2)/(L24/100*SQRT(P24))</f>
        <v>4.7503805173328963</v>
      </c>
      <c r="W24" s="17">
        <f ca="1">V24-L24/100*SQRT(P24)</f>
        <v>4.5795256075613802</v>
      </c>
      <c r="X24" s="17">
        <f ca="1">(LN(N24/G24)+P24*(U24/100+(L24/100)^2/2))/((L24/100*SQRT(P24)))</f>
        <v>4.7841077643937551</v>
      </c>
      <c r="Y24" s="17">
        <f ca="1">X24-N24/100*SQRT(R24)</f>
        <v>4.0536243754655743</v>
      </c>
      <c r="Z24" s="20">
        <f ca="1">EXP(-P24)/(N24*L24/100*SQRT(P24))*_xlfn.NORM.S.DIST(X24,FALSE)</f>
        <v>1.1347454537689686E-6</v>
      </c>
      <c r="AA24" s="17">
        <f t="shared" ca="1" si="5"/>
        <v>2.7255009681263072E-7</v>
      </c>
      <c r="AB24" s="17"/>
      <c r="AC24" s="17"/>
      <c r="AD24" s="17"/>
    </row>
    <row r="25" spans="1:31" x14ac:dyDescent="0.25">
      <c r="A25" t="s">
        <v>106</v>
      </c>
      <c r="B25" t="s">
        <v>107</v>
      </c>
      <c r="C25" t="s">
        <v>108</v>
      </c>
      <c r="D25">
        <v>46028</v>
      </c>
      <c r="E25" t="s">
        <v>107</v>
      </c>
      <c r="F25" t="s">
        <v>109</v>
      </c>
      <c r="G25">
        <v>9</v>
      </c>
      <c r="H25">
        <v>9.8610000000000007</v>
      </c>
      <c r="I25">
        <v>0.16900000000000001</v>
      </c>
      <c r="J25" t="s">
        <v>59</v>
      </c>
      <c r="K25">
        <v>4172</v>
      </c>
      <c r="L25">
        <v>43.067399999999999</v>
      </c>
      <c r="M25">
        <v>0.99999000000000005</v>
      </c>
      <c r="N25">
        <f>INDEX(jkm!$H:$H,MATCH(J25,jkm!$J:$J,0),1)</f>
        <v>18.861000000000001</v>
      </c>
      <c r="O25" s="3">
        <f t="shared" ca="1" si="0"/>
        <v>57</v>
      </c>
      <c r="P25" s="3">
        <f t="shared" ca="1" si="2"/>
        <v>0.15616438356164383</v>
      </c>
      <c r="Q25" t="str" cm="1">
        <f t="array" ref="Q25:S25">_xlfn.TEXTSPLIT(J25,"/")</f>
        <v>5</v>
      </c>
      <c r="R25" s="1" t="str">
        <v>15</v>
      </c>
      <c r="S25" t="str">
        <v>2026</v>
      </c>
      <c r="T25" s="1">
        <f t="shared" si="3"/>
        <v>46157</v>
      </c>
      <c r="U25" s="19">
        <f t="shared" si="4"/>
        <v>3.6899999999999977</v>
      </c>
      <c r="V25" s="17">
        <f ca="1">(LN(N25/G25)+(L25/100)^2*P25/2)/(L25/100*SQRT(P25))</f>
        <v>4.4323677445372835</v>
      </c>
      <c r="W25" s="17">
        <f ca="1">V25-L25/100*SQRT(P25)</f>
        <v>4.262175545581024</v>
      </c>
      <c r="X25" s="17">
        <f ca="1">(LN(N25/G25)+P25*(U25/100+(L25/100)^2/2))/((L25/100*SQRT(P25)))</f>
        <v>4.4662263220088967</v>
      </c>
      <c r="Y25" s="17">
        <f ca="1">X25-N25/100*SQRT(R25)</f>
        <v>3.7357429330807159</v>
      </c>
      <c r="Z25" s="20">
        <f ca="1">EXP(-P25)/(N25*L25/100*SQRT(P25))*_xlfn.NORM.S.DIST(X25,FALSE)</f>
        <v>4.955754674766374E-6</v>
      </c>
      <c r="AA25" s="17">
        <f t="shared" ca="1" si="5"/>
        <v>1.1856864987723952E-6</v>
      </c>
      <c r="AB25" s="17"/>
      <c r="AC25" s="17"/>
      <c r="AD25" s="17"/>
    </row>
    <row r="26" spans="1:31" x14ac:dyDescent="0.25">
      <c r="A26" t="s">
        <v>106</v>
      </c>
      <c r="B26" t="s">
        <v>107</v>
      </c>
      <c r="C26" t="s">
        <v>108</v>
      </c>
      <c r="D26">
        <v>46028</v>
      </c>
      <c r="E26" t="s">
        <v>107</v>
      </c>
      <c r="F26" t="s">
        <v>109</v>
      </c>
      <c r="G26">
        <v>10</v>
      </c>
      <c r="H26">
        <v>8.8610000000000007</v>
      </c>
      <c r="I26">
        <v>0.16900000000000001</v>
      </c>
      <c r="J26" t="s">
        <v>59</v>
      </c>
      <c r="K26">
        <v>4172</v>
      </c>
      <c r="L26">
        <v>43.056100000000001</v>
      </c>
      <c r="M26">
        <v>0.99990999999999997</v>
      </c>
      <c r="N26">
        <f>INDEX(jkm!$H:$H,MATCH(J26,jkm!$J:$J,0),1)</f>
        <v>18.861000000000001</v>
      </c>
      <c r="O26" s="3">
        <f t="shared" ca="1" si="0"/>
        <v>57</v>
      </c>
      <c r="P26" s="3">
        <f t="shared" ca="1" si="2"/>
        <v>0.15616438356164383</v>
      </c>
      <c r="Q26" t="str" cm="1">
        <f t="array" ref="Q26:S26">_xlfn.TEXTSPLIT(J26,"/")</f>
        <v>5</v>
      </c>
      <c r="R26" s="1" t="str">
        <v>15</v>
      </c>
      <c r="S26" t="str">
        <v>2026</v>
      </c>
      <c r="T26" s="1">
        <f t="shared" si="3"/>
        <v>46157</v>
      </c>
      <c r="U26" s="19">
        <f t="shared" si="4"/>
        <v>3.6899999999999977</v>
      </c>
      <c r="V26" s="17">
        <f ca="1">(LN(N26/G26)+(L26/100)^2*P26/2)/(L26/100*SQRT(P26))</f>
        <v>3.8142560456454153</v>
      </c>
      <c r="W26" s="17">
        <f ca="1">V26-L26/100*SQRT(P26)</f>
        <v>3.6441085016218473</v>
      </c>
      <c r="X26" s="17">
        <f ca="1">(LN(N26/G26)+P26*(U26/100+(L26/100)^2/2))/((L26/100*SQRT(P26)))</f>
        <v>3.8481235092429298</v>
      </c>
      <c r="Y26" s="17">
        <f ca="1">X26-N26/100*SQRT(R26)</f>
        <v>3.117640120314749</v>
      </c>
      <c r="Z26" s="20">
        <f ca="1">EXP(-P26)/(N26*L26/100*SQRT(P26))*_xlfn.NORM.S.DIST(X26,FALSE)</f>
        <v>6.4739620350235256E-5</v>
      </c>
      <c r="AA26" s="17">
        <f t="shared" ca="1" si="5"/>
        <v>1.548518002633808E-5</v>
      </c>
      <c r="AB26" s="17"/>
      <c r="AC26" s="17"/>
      <c r="AD26" s="17"/>
    </row>
    <row r="27" spans="1:31" x14ac:dyDescent="0.25">
      <c r="A27" t="s">
        <v>106</v>
      </c>
      <c r="B27" t="s">
        <v>107</v>
      </c>
      <c r="C27" t="s">
        <v>108</v>
      </c>
      <c r="D27">
        <v>46028</v>
      </c>
      <c r="E27" t="s">
        <v>107</v>
      </c>
      <c r="F27" t="s">
        <v>109</v>
      </c>
      <c r="G27">
        <v>11.5</v>
      </c>
      <c r="H27">
        <v>7.3630000000000004</v>
      </c>
      <c r="I27">
        <v>0.16900000000000001</v>
      </c>
      <c r="J27" t="s">
        <v>59</v>
      </c>
      <c r="K27">
        <v>4172</v>
      </c>
      <c r="L27">
        <v>43.039299999999997</v>
      </c>
      <c r="M27">
        <v>0.99839</v>
      </c>
      <c r="N27">
        <f>INDEX(jkm!$H:$H,MATCH(J27,jkm!$J:$J,0),1)</f>
        <v>18.861000000000001</v>
      </c>
      <c r="O27" s="3">
        <f t="shared" ca="1" si="0"/>
        <v>57</v>
      </c>
      <c r="P27" s="3">
        <f t="shared" ca="1" si="2"/>
        <v>0.15616438356164383</v>
      </c>
      <c r="Q27" t="str" cm="1">
        <f t="array" ref="Q27:S27">_xlfn.TEXTSPLIT(J27,"/")</f>
        <v>5</v>
      </c>
      <c r="R27" s="1" t="str">
        <v>15</v>
      </c>
      <c r="S27" t="str">
        <v>2026</v>
      </c>
      <c r="T27" s="1">
        <f t="shared" si="3"/>
        <v>46157</v>
      </c>
      <c r="U27" s="19">
        <f t="shared" si="4"/>
        <v>3.6899999999999977</v>
      </c>
      <c r="V27" s="17">
        <f ca="1">(LN(N27/G27)+(L27/100)^2*P27/2)/(L27/100*SQRT(P27))</f>
        <v>2.9939417101672752</v>
      </c>
      <c r="W27" s="17">
        <f ca="1">V27-L27/100*SQRT(P27)</f>
        <v>2.8238605557781513</v>
      </c>
      <c r="X27" s="17">
        <f ca="1">(LN(N27/G27)+P27*(U27/100+(L27/100)^2/2))/((L27/100*SQRT(P27)))</f>
        <v>3.0278223936217215</v>
      </c>
      <c r="Y27" s="17">
        <f ca="1">X27-N27/100*SQRT(R27)</f>
        <v>2.2973390046935407</v>
      </c>
      <c r="Z27" s="20">
        <f ca="1">EXP(-P27)/(N27*L27/100*SQRT(P27))*_xlfn.NORM.S.DIST(X27,FALSE)</f>
        <v>1.0867389442037153E-3</v>
      </c>
      <c r="AA27" s="17">
        <f t="shared" ca="1" si="5"/>
        <v>2.598375132841235E-4</v>
      </c>
      <c r="AB27" s="17"/>
      <c r="AC27" s="17"/>
      <c r="AD27" s="17"/>
    </row>
    <row r="28" spans="1:31" x14ac:dyDescent="0.25">
      <c r="A28" t="s">
        <v>106</v>
      </c>
      <c r="B28" t="s">
        <v>107</v>
      </c>
      <c r="C28" t="s">
        <v>108</v>
      </c>
      <c r="D28">
        <v>46028</v>
      </c>
      <c r="E28" t="s">
        <v>107</v>
      </c>
      <c r="F28" t="s">
        <v>109</v>
      </c>
      <c r="G28">
        <v>12.5</v>
      </c>
      <c r="H28">
        <v>6.3689999999999998</v>
      </c>
      <c r="I28">
        <v>0.16700000000000001</v>
      </c>
      <c r="J28" t="s">
        <v>59</v>
      </c>
      <c r="K28">
        <v>4172</v>
      </c>
      <c r="L28">
        <v>43.028100000000002</v>
      </c>
      <c r="M28">
        <v>0.99314000000000002</v>
      </c>
      <c r="N28">
        <f>INDEX(jkm!$H:$H,MATCH(J28,jkm!$J:$J,0),1)</f>
        <v>18.861000000000001</v>
      </c>
      <c r="O28" s="3">
        <f t="shared" ca="1" si="0"/>
        <v>57</v>
      </c>
      <c r="P28" s="3">
        <f t="shared" ca="1" si="2"/>
        <v>0.15616438356164383</v>
      </c>
      <c r="Q28" t="str" cm="1">
        <f t="array" ref="Q28:S28">_xlfn.TEXTSPLIT(J28,"/")</f>
        <v>5</v>
      </c>
      <c r="R28" s="1" t="str">
        <v>15</v>
      </c>
      <c r="S28" t="str">
        <v>2026</v>
      </c>
      <c r="T28" s="1">
        <f t="shared" si="3"/>
        <v>46157</v>
      </c>
      <c r="U28" s="19">
        <f t="shared" si="4"/>
        <v>3.6899999999999977</v>
      </c>
      <c r="V28" s="17">
        <f ca="1">(LN(N28/G28)+(L28/100)^2*P28/2)/(L28/100*SQRT(P28))</f>
        <v>2.5043031246158471</v>
      </c>
      <c r="W28" s="17">
        <f ca="1">V28-L28/100*SQRT(P28)</f>
        <v>2.3342662299830197</v>
      </c>
      <c r="X28" s="17">
        <f ca="1">(LN(N28/G28)+P28*(U28/100+(L28/100)^2/2))/((L28/100*SQRT(P28)))</f>
        <v>2.5381926270433524</v>
      </c>
      <c r="Y28" s="17">
        <f ca="1">X28-N28/100*SQRT(R28)</f>
        <v>1.8077092381151716</v>
      </c>
      <c r="Z28" s="20">
        <f ca="1">EXP(-P28)/(N28*L28/100*SQRT(P28))*_xlfn.NORM.S.DIST(X28,FALSE)</f>
        <v>4.2464570347554324E-3</v>
      </c>
      <c r="AA28" s="17">
        <f t="shared" ca="1" si="5"/>
        <v>1.0150567532211357E-3</v>
      </c>
      <c r="AB28" s="17"/>
      <c r="AC28" s="17"/>
      <c r="AD28" s="17"/>
    </row>
    <row r="29" spans="1:31" x14ac:dyDescent="0.25">
      <c r="A29" t="s">
        <v>106</v>
      </c>
      <c r="B29" t="s">
        <v>107</v>
      </c>
      <c r="C29" t="s">
        <v>108</v>
      </c>
      <c r="D29">
        <v>46028</v>
      </c>
      <c r="E29" t="s">
        <v>107</v>
      </c>
      <c r="F29" t="s">
        <v>109</v>
      </c>
      <c r="G29">
        <v>13</v>
      </c>
      <c r="H29">
        <v>5.8760000000000003</v>
      </c>
      <c r="I29">
        <v>0.16500000000000001</v>
      </c>
      <c r="J29" t="s">
        <v>59</v>
      </c>
      <c r="K29">
        <v>4172</v>
      </c>
      <c r="L29">
        <v>43.022500000000001</v>
      </c>
      <c r="M29">
        <v>0.98738999999999999</v>
      </c>
      <c r="N29">
        <f>INDEX(jkm!$H:$H,MATCH(J29,jkm!$J:$J,0),1)</f>
        <v>18.861000000000001</v>
      </c>
      <c r="O29" s="3">
        <f t="shared" ca="1" si="0"/>
        <v>57</v>
      </c>
      <c r="P29" s="3">
        <f t="shared" ca="1" si="2"/>
        <v>0.15616438356164383</v>
      </c>
      <c r="Q29" t="str" cm="1">
        <f t="array" ref="Q29:S29">_xlfn.TEXTSPLIT(J29,"/")</f>
        <v>5</v>
      </c>
      <c r="R29" s="1" t="str">
        <v>15</v>
      </c>
      <c r="S29" t="str">
        <v>2026</v>
      </c>
      <c r="T29" s="1">
        <f t="shared" si="3"/>
        <v>46157</v>
      </c>
      <c r="U29" s="19">
        <f t="shared" si="4"/>
        <v>3.6899999999999977</v>
      </c>
      <c r="V29" s="17">
        <f ca="1">(LN(N29/G29)+(L29/100)^2*P29/2)/(L29/100*SQRT(P29))</f>
        <v>2.2739169229368392</v>
      </c>
      <c r="W29" s="17">
        <f ca="1">V29-L29/100*SQRT(P29)</f>
        <v>2.1039021581821595</v>
      </c>
      <c r="X29" s="17">
        <f ca="1">(LN(N29/G29)+P29*(U29/100+(L29/100)^2/2))/((L29/100*SQRT(P29)))</f>
        <v>2.3078108365727492</v>
      </c>
      <c r="Y29" s="17">
        <f ca="1">X29-N29/100*SQRT(R29)</f>
        <v>1.5773274476445684</v>
      </c>
      <c r="Z29" s="20">
        <f ca="1">EXP(-P29)/(N29*L29/100*SQRT(P29))*_xlfn.NORM.S.DIST(X29,FALSE)</f>
        <v>7.4218669025580249E-3</v>
      </c>
      <c r="AA29" s="17">
        <f t="shared" ca="1" si="5"/>
        <v>1.7738636180543584E-3</v>
      </c>
      <c r="AB29" s="17"/>
      <c r="AC29" s="17"/>
      <c r="AD29" s="17"/>
    </row>
    <row r="30" spans="1:31" x14ac:dyDescent="0.25">
      <c r="A30" t="s">
        <v>106</v>
      </c>
      <c r="B30" t="s">
        <v>107</v>
      </c>
      <c r="C30" t="s">
        <v>108</v>
      </c>
      <c r="D30">
        <v>46028</v>
      </c>
      <c r="E30" t="s">
        <v>107</v>
      </c>
      <c r="F30" t="s">
        <v>109</v>
      </c>
      <c r="G30">
        <v>15</v>
      </c>
      <c r="H30">
        <v>3.9860000000000002</v>
      </c>
      <c r="I30">
        <v>0.14799999999999999</v>
      </c>
      <c r="J30" t="s">
        <v>59</v>
      </c>
      <c r="K30">
        <v>4172</v>
      </c>
      <c r="L30">
        <v>43</v>
      </c>
      <c r="M30">
        <v>0.92091999999999996</v>
      </c>
      <c r="N30">
        <f>INDEX(jkm!$H:$H,MATCH(J30,jkm!$J:$J,0),1)</f>
        <v>18.861000000000001</v>
      </c>
      <c r="O30" s="3">
        <f t="shared" ca="1" si="0"/>
        <v>57</v>
      </c>
      <c r="P30" s="3">
        <f t="shared" ca="1" si="2"/>
        <v>0.15616438356164383</v>
      </c>
      <c r="Q30" t="str" cm="1">
        <f t="array" ref="Q30:S30">_xlfn.TEXTSPLIT(J30,"/")</f>
        <v>5</v>
      </c>
      <c r="R30" s="1" t="str">
        <v>15</v>
      </c>
      <c r="S30" t="str">
        <v>2026</v>
      </c>
      <c r="T30" s="1">
        <f t="shared" si="3"/>
        <v>46157</v>
      </c>
      <c r="U30" s="19">
        <f t="shared" si="4"/>
        <v>3.6899999999999977</v>
      </c>
      <c r="V30" s="17">
        <f ca="1">(LN(N30/G30)+(L30/100)^2*P30/2)/(L30/100*SQRT(P30))</f>
        <v>1.4328808367471415</v>
      </c>
      <c r="W30" s="17">
        <f ca="1">V30-L30/100*SQRT(P30)</f>
        <v>1.2629549866814498</v>
      </c>
      <c r="X30" s="17">
        <f ca="1">(LN(N30/G30)+P30*(U30/100+(L30/100)^2/2))/((L30/100*SQRT(P30)))</f>
        <v>1.4667924855704193</v>
      </c>
      <c r="Y30" s="17">
        <f ca="1">X30-N30/100*SQRT(R30)</f>
        <v>0.73630909664223843</v>
      </c>
      <c r="Z30" s="20">
        <f ca="1">EXP(-P30)/(N30*L30/100*SQRT(P30))*_xlfn.NORM.S.DIST(X30,FALSE)</f>
        <v>3.6314208355945281E-2</v>
      </c>
      <c r="AA30" s="17">
        <f t="shared" ca="1" si="5"/>
        <v>8.6747398209329474E-3</v>
      </c>
      <c r="AB30" s="17"/>
      <c r="AC30" s="17"/>
      <c r="AD30" s="17"/>
    </row>
    <row r="31" spans="1:31" x14ac:dyDescent="0.25">
      <c r="A31" t="s">
        <v>106</v>
      </c>
      <c r="B31" t="s">
        <v>107</v>
      </c>
      <c r="C31" t="s">
        <v>108</v>
      </c>
      <c r="D31">
        <v>46028</v>
      </c>
      <c r="E31" t="s">
        <v>107</v>
      </c>
      <c r="F31" t="s">
        <v>109</v>
      </c>
      <c r="G31">
        <v>20</v>
      </c>
      <c r="H31">
        <v>0.81</v>
      </c>
      <c r="I31">
        <v>5.1999999999999998E-2</v>
      </c>
      <c r="J31" t="s">
        <v>59</v>
      </c>
      <c r="K31">
        <v>4172</v>
      </c>
      <c r="L31">
        <v>41.802700000000002</v>
      </c>
      <c r="M31">
        <v>0.39556000000000002</v>
      </c>
      <c r="N31">
        <f>INDEX(jkm!$H:$H,MATCH(J31,jkm!$J:$J,0),1)</f>
        <v>18.861000000000001</v>
      </c>
      <c r="O31" s="3">
        <f t="shared" ca="1" si="0"/>
        <v>57</v>
      </c>
      <c r="P31" s="3">
        <f t="shared" ca="1" si="2"/>
        <v>0.15616438356164383</v>
      </c>
      <c r="Q31" t="str" cm="1">
        <f t="array" ref="Q31:S31">_xlfn.TEXTSPLIT(J31,"/")</f>
        <v>5</v>
      </c>
      <c r="R31" s="1" t="str">
        <v>15</v>
      </c>
      <c r="S31" t="str">
        <v>2026</v>
      </c>
      <c r="T31" s="1">
        <f t="shared" si="3"/>
        <v>46157</v>
      </c>
      <c r="U31" s="19">
        <f t="shared" si="4"/>
        <v>3.6899999999999977</v>
      </c>
      <c r="V31" s="17">
        <f ca="1">(LN(N31/G31)+(L31/100)^2*P31/2)/(L31/100*SQRT(P31))</f>
        <v>-0.27235414300120958</v>
      </c>
      <c r="W31" s="17">
        <f ca="1">V31-L31/100*SQRT(P31)</f>
        <v>-0.43754854608356053</v>
      </c>
      <c r="X31" s="17">
        <f ca="1">(LN(N31/G31)+P31*(U31/100+(L31/100)^2/2))/((L31/100*SQRT(P31)))</f>
        <v>-0.23747120722431159</v>
      </c>
      <c r="Y31" s="17">
        <f ca="1">X31-N31/100*SQRT(R31)</f>
        <v>-0.96795459615249246</v>
      </c>
      <c r="Z31" s="20">
        <f ca="1">EXP(-P31)/(N31*L31/100*SQRT(P31))*_xlfn.NORM.S.DIST(X31,FALSE)</f>
        <v>0.10648371632818891</v>
      </c>
      <c r="AA31" s="17">
        <f t="shared" ca="1" si="5"/>
        <v>2.4728567253539648E-2</v>
      </c>
      <c r="AB31" s="17"/>
      <c r="AC31" s="17"/>
      <c r="AD31" s="17"/>
      <c r="AE31" t="s">
        <v>272</v>
      </c>
    </row>
    <row r="32" spans="1:31" x14ac:dyDescent="0.25">
      <c r="A32" t="s">
        <v>106</v>
      </c>
      <c r="B32" t="s">
        <v>107</v>
      </c>
      <c r="C32" t="s">
        <v>108</v>
      </c>
      <c r="D32">
        <v>46028</v>
      </c>
      <c r="E32" t="s">
        <v>107</v>
      </c>
      <c r="F32" t="s">
        <v>109</v>
      </c>
      <c r="G32">
        <v>25</v>
      </c>
      <c r="H32">
        <v>6.5000000000000002E-2</v>
      </c>
      <c r="I32">
        <v>4.0000000000000001E-3</v>
      </c>
      <c r="J32" t="s">
        <v>59</v>
      </c>
      <c r="K32">
        <v>4172</v>
      </c>
      <c r="L32">
        <v>41.1952</v>
      </c>
      <c r="M32">
        <v>5.2780000000000001E-2</v>
      </c>
      <c r="N32">
        <f>INDEX(jkm!$H:$H,MATCH(J32,jkm!$J:$J,0),1)</f>
        <v>18.861000000000001</v>
      </c>
      <c r="O32" s="3">
        <f t="shared" ca="1" si="0"/>
        <v>57</v>
      </c>
      <c r="P32" s="3">
        <f t="shared" ca="1" si="2"/>
        <v>0.15616438356164383</v>
      </c>
      <c r="Q32" t="str" cm="1">
        <f t="array" ref="Q32:S32">_xlfn.TEXTSPLIT(J32,"/")</f>
        <v>5</v>
      </c>
      <c r="R32" s="1" t="str">
        <v>15</v>
      </c>
      <c r="S32" t="str">
        <v>2026</v>
      </c>
      <c r="T32" s="1">
        <f t="shared" si="3"/>
        <v>46157</v>
      </c>
      <c r="U32" s="19">
        <f t="shared" si="4"/>
        <v>3.6899999999999977</v>
      </c>
      <c r="V32" s="17">
        <f ca="1">(LN(N32/G32)+(L32/100)^2*P32/2)/(L32/100*SQRT(P32))</f>
        <v>-1.649502534042931</v>
      </c>
      <c r="W32" s="17">
        <f ca="1">V32-L32/100*SQRT(P32)</f>
        <v>-1.8122962405226097</v>
      </c>
      <c r="X32" s="17">
        <f ca="1">(LN(N32/G32)+P32*(U32/100+(L32/100)^2/2))/((L32/100*SQRT(P32)))</f>
        <v>-1.6141051843662471</v>
      </c>
      <c r="Y32" s="17">
        <f ca="1">X32-N32/100*SQRT(R32)</f>
        <v>-2.3445885732944278</v>
      </c>
      <c r="Z32" s="20">
        <f ca="1">EXP(-P32)/(N32*L32/100*SQRT(P32))*_xlfn.NORM.S.DIST(X32,FALSE)</f>
        <v>3.0209600620318675E-2</v>
      </c>
      <c r="AA32" s="17">
        <f t="shared" ca="1" si="5"/>
        <v>6.9135804492535986E-3</v>
      </c>
      <c r="AB32" s="17"/>
      <c r="AC32" s="17"/>
      <c r="AD32" s="17"/>
    </row>
    <row r="33" spans="1:31" x14ac:dyDescent="0.25">
      <c r="A33" t="s">
        <v>106</v>
      </c>
      <c r="B33" t="s">
        <v>107</v>
      </c>
      <c r="C33" t="s">
        <v>108</v>
      </c>
      <c r="D33">
        <v>46028</v>
      </c>
      <c r="E33" t="s">
        <v>107</v>
      </c>
      <c r="F33" t="s">
        <v>110</v>
      </c>
      <c r="G33">
        <v>5</v>
      </c>
      <c r="H33">
        <v>1E-3</v>
      </c>
      <c r="I33">
        <v>0</v>
      </c>
      <c r="J33" t="s">
        <v>59</v>
      </c>
      <c r="K33">
        <v>4172</v>
      </c>
      <c r="L33">
        <v>71.306200000000004</v>
      </c>
      <c r="M33">
        <v>0</v>
      </c>
      <c r="N33">
        <f>INDEX(jkm!$H:$H,MATCH(J33,jkm!$J:$J,0),1)</f>
        <v>18.861000000000001</v>
      </c>
      <c r="O33" s="3">
        <f t="shared" ca="1" si="0"/>
        <v>57</v>
      </c>
      <c r="P33" s="3">
        <f t="shared" ca="1" si="2"/>
        <v>0.15616438356164383</v>
      </c>
      <c r="Q33" t="str" cm="1">
        <f t="array" ref="Q33:S33">_xlfn.TEXTSPLIT(J33,"/")</f>
        <v>5</v>
      </c>
      <c r="R33" s="1" t="str">
        <v>15</v>
      </c>
      <c r="S33" t="str">
        <v>2026</v>
      </c>
      <c r="T33" s="1">
        <f t="shared" si="3"/>
        <v>46157</v>
      </c>
      <c r="U33" s="19">
        <f t="shared" si="4"/>
        <v>3.6899999999999977</v>
      </c>
      <c r="V33" s="17">
        <f ca="1">(LN(N33/G33)+(L33/100)^2*P33/2)/(L33/100*SQRT(P33))</f>
        <v>4.8524887428731382</v>
      </c>
      <c r="W33" s="17">
        <f ca="1">V33-L33/100*SQRT(P33)</f>
        <v>4.5707034719439701</v>
      </c>
      <c r="X33" s="17">
        <f ca="1">(LN(N33/G33)+P33*(U33/100+(L33/100)^2/2))/((L33/100*SQRT(P33)))</f>
        <v>4.8729385901430948</v>
      </c>
      <c r="Y33" s="17">
        <f ca="1">X33-N33/100*SQRT(R33)</f>
        <v>4.1424552012149141</v>
      </c>
      <c r="Z33" s="20">
        <f ca="1">EXP(-P33)/(N33*L33/100*SQRT(P33))*_xlfn.NORM.S.DIST(X33,FALSE)</f>
        <v>4.4805290598489126E-7</v>
      </c>
      <c r="AA33" s="17">
        <f t="shared" ca="1" si="5"/>
        <v>1.7748759829858674E-7</v>
      </c>
      <c r="AB33" s="17"/>
      <c r="AC33" s="17"/>
      <c r="AD33" s="17"/>
    </row>
    <row r="34" spans="1:31" x14ac:dyDescent="0.25">
      <c r="A34" t="s">
        <v>106</v>
      </c>
      <c r="B34" t="s">
        <v>107</v>
      </c>
      <c r="C34" t="s">
        <v>108</v>
      </c>
      <c r="D34">
        <v>46028</v>
      </c>
      <c r="E34" t="s">
        <v>107</v>
      </c>
      <c r="F34" t="s">
        <v>110</v>
      </c>
      <c r="G34">
        <v>8</v>
      </c>
      <c r="H34">
        <v>1E-3</v>
      </c>
      <c r="I34">
        <v>0</v>
      </c>
      <c r="J34" t="s">
        <v>59</v>
      </c>
      <c r="K34">
        <v>4172</v>
      </c>
      <c r="L34">
        <v>46.440899999999999</v>
      </c>
      <c r="M34">
        <v>0</v>
      </c>
      <c r="N34">
        <f>INDEX(jkm!$H:$H,MATCH(J34,jkm!$J:$J,0),1)</f>
        <v>18.861000000000001</v>
      </c>
      <c r="O34" s="3">
        <f t="shared" ca="1" si="0"/>
        <v>57</v>
      </c>
      <c r="P34" s="3">
        <f t="shared" ca="1" si="2"/>
        <v>0.15616438356164383</v>
      </c>
      <c r="Q34" t="str" cm="1">
        <f t="array" ref="Q34:S34">_xlfn.TEXTSPLIT(J34,"/")</f>
        <v>5</v>
      </c>
      <c r="R34" s="1" t="str">
        <v>15</v>
      </c>
      <c r="S34" t="str">
        <v>2026</v>
      </c>
      <c r="T34" s="1">
        <f t="shared" si="3"/>
        <v>46157</v>
      </c>
      <c r="U34" s="19">
        <f t="shared" si="4"/>
        <v>3.6899999999999977</v>
      </c>
      <c r="V34" s="17">
        <f ca="1">(LN(N34/G34)+(L34/100)^2*P34/2)/(L34/100*SQRT(P34))</f>
        <v>4.76503178076696</v>
      </c>
      <c r="W34" s="17">
        <f ca="1">V34-L34/100*SQRT(P34)</f>
        <v>4.5815083061084536</v>
      </c>
      <c r="X34" s="17">
        <f ca="1">(LN(N34/G34)+P34*(U34/100+(L34/100)^2/2))/((L34/100*SQRT(P34)))</f>
        <v>4.7964308470942907</v>
      </c>
      <c r="Y34" s="17">
        <f ca="1">X34-N34/100*SQRT(R34)</f>
        <v>4.0659474581661099</v>
      </c>
      <c r="Z34" s="20">
        <f ca="1">EXP(-P34)/(N34*L34/100*SQRT(P34))*_xlfn.NORM.S.DIST(X34,FALSE)</f>
        <v>9.9585820103194898E-7</v>
      </c>
      <c r="AA34" s="17">
        <f t="shared" ca="1" si="5"/>
        <v>2.5692688593844743E-7</v>
      </c>
      <c r="AB34" s="17"/>
      <c r="AC34" s="17"/>
      <c r="AD34" s="17"/>
    </row>
    <row r="35" spans="1:31" x14ac:dyDescent="0.25">
      <c r="A35" t="s">
        <v>106</v>
      </c>
      <c r="B35" t="s">
        <v>107</v>
      </c>
      <c r="C35" t="s">
        <v>108</v>
      </c>
      <c r="D35">
        <v>46028</v>
      </c>
      <c r="E35" t="s">
        <v>107</v>
      </c>
      <c r="F35" t="s">
        <v>110</v>
      </c>
      <c r="G35">
        <v>8.5</v>
      </c>
      <c r="H35">
        <v>1E-3</v>
      </c>
      <c r="I35">
        <v>0</v>
      </c>
      <c r="J35" t="s">
        <v>59</v>
      </c>
      <c r="K35">
        <v>4172</v>
      </c>
      <c r="L35">
        <v>43.235100000000003</v>
      </c>
      <c r="M35">
        <v>0</v>
      </c>
      <c r="N35">
        <f>INDEX(jkm!$H:$H,MATCH(J35,jkm!$J:$J,0),1)</f>
        <v>18.861000000000001</v>
      </c>
      <c r="O35" s="3">
        <f t="shared" ca="1" si="0"/>
        <v>57</v>
      </c>
      <c r="P35" s="3">
        <f t="shared" ca="1" si="2"/>
        <v>0.15616438356164383</v>
      </c>
      <c r="Q35" t="str" cm="1">
        <f t="array" ref="Q35:S35">_xlfn.TEXTSPLIT(J35,"/")</f>
        <v>5</v>
      </c>
      <c r="R35" s="1" t="str">
        <v>15</v>
      </c>
      <c r="S35" t="str">
        <v>2026</v>
      </c>
      <c r="T35" s="1">
        <f t="shared" si="3"/>
        <v>46157</v>
      </c>
      <c r="U35" s="19">
        <f t="shared" si="4"/>
        <v>3.6899999999999977</v>
      </c>
      <c r="V35" s="17">
        <f ca="1">(LN(N35/G35)+(L35/100)^2*P35/2)/(L35/100*SQRT(P35))</f>
        <v>4.7503805173328963</v>
      </c>
      <c r="W35" s="17">
        <f ca="1">V35-L35/100*SQRT(P35)</f>
        <v>4.5795256075613802</v>
      </c>
      <c r="X35" s="17">
        <f ca="1">(LN(N35/G35)+P35*(U35/100+(L35/100)^2/2))/((L35/100*SQRT(P35)))</f>
        <v>4.7841077643937551</v>
      </c>
      <c r="Y35" s="17">
        <f ca="1">X35-N35/100*SQRT(R35)</f>
        <v>4.0536243754655743</v>
      </c>
      <c r="Z35" s="20">
        <f ca="1">EXP(-P35)/(N35*L35/100*SQRT(P35))*_xlfn.NORM.S.DIST(X35,FALSE)</f>
        <v>1.1347454537689686E-6</v>
      </c>
      <c r="AA35" s="17">
        <f t="shared" ca="1" si="5"/>
        <v>2.7255009681263072E-7</v>
      </c>
      <c r="AB35" s="17"/>
      <c r="AC35" s="17"/>
      <c r="AD35" s="17"/>
    </row>
    <row r="36" spans="1:31" x14ac:dyDescent="0.25">
      <c r="A36" t="s">
        <v>106</v>
      </c>
      <c r="B36" t="s">
        <v>107</v>
      </c>
      <c r="C36" t="s">
        <v>108</v>
      </c>
      <c r="D36">
        <v>46028</v>
      </c>
      <c r="E36" t="s">
        <v>107</v>
      </c>
      <c r="F36" t="s">
        <v>110</v>
      </c>
      <c r="G36">
        <v>9</v>
      </c>
      <c r="H36">
        <v>1E-3</v>
      </c>
      <c r="I36">
        <v>0</v>
      </c>
      <c r="J36" t="s">
        <v>59</v>
      </c>
      <c r="K36">
        <v>4172</v>
      </c>
      <c r="L36">
        <v>43.067399999999999</v>
      </c>
      <c r="M36">
        <v>-1.0000000000000001E-5</v>
      </c>
      <c r="N36">
        <f>INDEX(jkm!$H:$H,MATCH(J36,jkm!$J:$J,0),1)</f>
        <v>18.861000000000001</v>
      </c>
      <c r="O36" s="3">
        <f t="shared" ca="1" si="0"/>
        <v>57</v>
      </c>
      <c r="P36" s="3">
        <f t="shared" ca="1" si="2"/>
        <v>0.15616438356164383</v>
      </c>
      <c r="Q36" t="str" cm="1">
        <f t="array" ref="Q36:S36">_xlfn.TEXTSPLIT(J36,"/")</f>
        <v>5</v>
      </c>
      <c r="R36" s="1" t="str">
        <v>15</v>
      </c>
      <c r="S36" t="str">
        <v>2026</v>
      </c>
      <c r="T36" s="1">
        <f t="shared" si="3"/>
        <v>46157</v>
      </c>
      <c r="U36" s="19">
        <f t="shared" si="4"/>
        <v>3.6899999999999977</v>
      </c>
      <c r="V36" s="17">
        <f ca="1">(LN(N36/G36)+(L36/100)^2*P36/2)/(L36/100*SQRT(P36))</f>
        <v>4.4323677445372835</v>
      </c>
      <c r="W36" s="17">
        <f ca="1">V36-L36/100*SQRT(P36)</f>
        <v>4.262175545581024</v>
      </c>
      <c r="X36" s="17">
        <f ca="1">(LN(N36/G36)+P36*(U36/100+(L36/100)^2/2))/((L36/100*SQRT(P36)))</f>
        <v>4.4662263220088967</v>
      </c>
      <c r="Y36" s="17">
        <f ca="1">X36-N36/100*SQRT(R36)</f>
        <v>3.7357429330807159</v>
      </c>
      <c r="Z36" s="20">
        <f ca="1">EXP(-P36)/(N36*L36/100*SQRT(P36))*_xlfn.NORM.S.DIST(X36,FALSE)</f>
        <v>4.955754674766374E-6</v>
      </c>
      <c r="AA36" s="17">
        <f t="shared" ca="1" si="5"/>
        <v>1.1856864987723952E-6</v>
      </c>
      <c r="AB36" s="17"/>
      <c r="AC36" s="17"/>
      <c r="AD36" s="17"/>
    </row>
    <row r="37" spans="1:31" x14ac:dyDescent="0.25">
      <c r="A37" t="s">
        <v>106</v>
      </c>
      <c r="B37" t="s">
        <v>107</v>
      </c>
      <c r="C37" t="s">
        <v>108</v>
      </c>
      <c r="D37">
        <v>46028</v>
      </c>
      <c r="E37" t="s">
        <v>107</v>
      </c>
      <c r="F37" t="s">
        <v>110</v>
      </c>
      <c r="G37">
        <v>10</v>
      </c>
      <c r="H37">
        <v>1E-3</v>
      </c>
      <c r="I37">
        <v>0</v>
      </c>
      <c r="J37" t="s">
        <v>59</v>
      </c>
      <c r="K37">
        <v>4172</v>
      </c>
      <c r="L37">
        <v>43.056100000000001</v>
      </c>
      <c r="M37">
        <v>-9.0000000000000006E-5</v>
      </c>
      <c r="N37">
        <f>INDEX(jkm!$H:$H,MATCH(J37,jkm!$J:$J,0),1)</f>
        <v>18.861000000000001</v>
      </c>
      <c r="O37" s="3">
        <f t="shared" ca="1" si="0"/>
        <v>57</v>
      </c>
      <c r="P37" s="3">
        <f t="shared" ca="1" si="2"/>
        <v>0.15616438356164383</v>
      </c>
      <c r="Q37" t="str" cm="1">
        <f t="array" ref="Q37:S37">_xlfn.TEXTSPLIT(J37,"/")</f>
        <v>5</v>
      </c>
      <c r="R37" s="1" t="str">
        <v>15</v>
      </c>
      <c r="S37" t="str">
        <v>2026</v>
      </c>
      <c r="T37" s="1">
        <f t="shared" si="3"/>
        <v>46157</v>
      </c>
      <c r="U37" s="19">
        <f t="shared" si="4"/>
        <v>3.6899999999999977</v>
      </c>
      <c r="V37" s="17">
        <f ca="1">(LN(N37/G37)+(L37/100)^2*P37/2)/(L37/100*SQRT(P37))</f>
        <v>3.8142560456454153</v>
      </c>
      <c r="W37" s="17">
        <f ca="1">V37-L37/100*SQRT(P37)</f>
        <v>3.6441085016218473</v>
      </c>
      <c r="X37" s="17">
        <f ca="1">(LN(N37/G37)+P37*(U37/100+(L37/100)^2/2))/((L37/100*SQRT(P37)))</f>
        <v>3.8481235092429298</v>
      </c>
      <c r="Y37" s="17">
        <f ca="1">X37-N37/100*SQRT(R37)</f>
        <v>3.117640120314749</v>
      </c>
      <c r="Z37" s="20">
        <f ca="1">EXP(-P37)/(N37*L37/100*SQRT(P37))*_xlfn.NORM.S.DIST(X37,FALSE)</f>
        <v>6.4739620350235256E-5</v>
      </c>
      <c r="AA37" s="17">
        <f t="shared" ca="1" si="5"/>
        <v>1.548518002633808E-5</v>
      </c>
      <c r="AB37" s="17"/>
      <c r="AC37" s="17"/>
      <c r="AD37" s="17"/>
    </row>
    <row r="38" spans="1:31" x14ac:dyDescent="0.25">
      <c r="A38" t="s">
        <v>106</v>
      </c>
      <c r="B38" t="s">
        <v>107</v>
      </c>
      <c r="C38" t="s">
        <v>108</v>
      </c>
      <c r="D38">
        <v>46028</v>
      </c>
      <c r="E38" t="s">
        <v>107</v>
      </c>
      <c r="F38" t="s">
        <v>110</v>
      </c>
      <c r="G38">
        <v>11.5</v>
      </c>
      <c r="H38">
        <v>2E-3</v>
      </c>
      <c r="I38">
        <v>0</v>
      </c>
      <c r="J38" t="s">
        <v>59</v>
      </c>
      <c r="K38">
        <v>4172</v>
      </c>
      <c r="L38">
        <v>43.039299999999997</v>
      </c>
      <c r="M38">
        <v>-1.6100000000000001E-3</v>
      </c>
      <c r="N38">
        <f>INDEX(jkm!$H:$H,MATCH(J38,jkm!$J:$J,0),1)</f>
        <v>18.861000000000001</v>
      </c>
      <c r="O38" s="3">
        <f t="shared" ca="1" si="0"/>
        <v>57</v>
      </c>
      <c r="P38" s="3">
        <f t="shared" ca="1" si="2"/>
        <v>0.15616438356164383</v>
      </c>
      <c r="Q38" t="str" cm="1">
        <f t="array" ref="Q38:S38">_xlfn.TEXTSPLIT(J38,"/")</f>
        <v>5</v>
      </c>
      <c r="R38" s="1" t="str">
        <v>15</v>
      </c>
      <c r="S38" t="str">
        <v>2026</v>
      </c>
      <c r="T38" s="1">
        <f t="shared" si="3"/>
        <v>46157</v>
      </c>
      <c r="U38" s="19">
        <f t="shared" si="4"/>
        <v>3.6899999999999977</v>
      </c>
      <c r="V38" s="17">
        <f ca="1">(LN(N38/G38)+(L38/100)^2*P38/2)/(L38/100*SQRT(P38))</f>
        <v>2.9939417101672752</v>
      </c>
      <c r="W38" s="17">
        <f ca="1">V38-L38/100*SQRT(P38)</f>
        <v>2.8238605557781513</v>
      </c>
      <c r="X38" s="17">
        <f ca="1">(LN(N38/G38)+P38*(U38/100+(L38/100)^2/2))/((L38/100*SQRT(P38)))</f>
        <v>3.0278223936217215</v>
      </c>
      <c r="Y38" s="17">
        <f ca="1">X38-N38/100*SQRT(R38)</f>
        <v>2.2973390046935407</v>
      </c>
      <c r="Z38" s="20">
        <f ca="1">EXP(-P38)/(N38*L38/100*SQRT(P38))*_xlfn.NORM.S.DIST(X38,FALSE)</f>
        <v>1.0867389442037153E-3</v>
      </c>
      <c r="AA38" s="17">
        <f t="shared" ca="1" si="5"/>
        <v>2.598375132841235E-4</v>
      </c>
      <c r="AB38" s="17"/>
      <c r="AC38" s="17"/>
      <c r="AD38" s="17"/>
    </row>
    <row r="39" spans="1:31" x14ac:dyDescent="0.25">
      <c r="A39" t="s">
        <v>106</v>
      </c>
      <c r="B39" t="s">
        <v>107</v>
      </c>
      <c r="C39" t="s">
        <v>108</v>
      </c>
      <c r="D39">
        <v>46028</v>
      </c>
      <c r="E39" t="s">
        <v>107</v>
      </c>
      <c r="F39" t="s">
        <v>110</v>
      </c>
      <c r="G39">
        <v>12.5</v>
      </c>
      <c r="H39">
        <v>8.0000000000000002E-3</v>
      </c>
      <c r="I39">
        <v>-2E-3</v>
      </c>
      <c r="J39" t="s">
        <v>59</v>
      </c>
      <c r="K39">
        <v>4172</v>
      </c>
      <c r="L39">
        <v>43.028100000000002</v>
      </c>
      <c r="M39">
        <v>-6.8599999999999998E-3</v>
      </c>
      <c r="N39">
        <f>INDEX(jkm!$H:$H,MATCH(J39,jkm!$J:$J,0),1)</f>
        <v>18.861000000000001</v>
      </c>
      <c r="O39" s="3">
        <f t="shared" ca="1" si="0"/>
        <v>57</v>
      </c>
      <c r="P39" s="3">
        <f t="shared" ca="1" si="2"/>
        <v>0.15616438356164383</v>
      </c>
      <c r="Q39" t="str" cm="1">
        <f t="array" ref="Q39:S39">_xlfn.TEXTSPLIT(J39,"/")</f>
        <v>5</v>
      </c>
      <c r="R39" s="1" t="str">
        <v>15</v>
      </c>
      <c r="S39" t="str">
        <v>2026</v>
      </c>
      <c r="T39" s="1">
        <f t="shared" si="3"/>
        <v>46157</v>
      </c>
      <c r="U39" s="19">
        <f t="shared" si="4"/>
        <v>3.6899999999999977</v>
      </c>
      <c r="V39" s="17">
        <f ca="1">(LN(N39/G39)+(L39/100)^2*P39/2)/(L39/100*SQRT(P39))</f>
        <v>2.5043031246158471</v>
      </c>
      <c r="W39" s="17">
        <f ca="1">V39-L39/100*SQRT(P39)</f>
        <v>2.3342662299830197</v>
      </c>
      <c r="X39" s="17">
        <f ca="1">(LN(N39/G39)+P39*(U39/100+(L39/100)^2/2))/((L39/100*SQRT(P39)))</f>
        <v>2.5381926270433524</v>
      </c>
      <c r="Y39" s="17">
        <f ca="1">X39-N39/100*SQRT(R39)</f>
        <v>1.8077092381151716</v>
      </c>
      <c r="Z39" s="20">
        <f ca="1">EXP(-P39)/(N39*L39/100*SQRT(P39))*_xlfn.NORM.S.DIST(X39,FALSE)</f>
        <v>4.2464570347554324E-3</v>
      </c>
      <c r="AA39" s="17">
        <f t="shared" ca="1" si="5"/>
        <v>1.0150567532211357E-3</v>
      </c>
      <c r="AB39" s="17"/>
      <c r="AC39" s="17"/>
      <c r="AD39" s="17"/>
    </row>
    <row r="40" spans="1:31" x14ac:dyDescent="0.25">
      <c r="A40" t="s">
        <v>106</v>
      </c>
      <c r="B40" t="s">
        <v>107</v>
      </c>
      <c r="C40" t="s">
        <v>108</v>
      </c>
      <c r="D40">
        <v>46028</v>
      </c>
      <c r="E40" t="s">
        <v>107</v>
      </c>
      <c r="F40" t="s">
        <v>110</v>
      </c>
      <c r="G40">
        <v>13</v>
      </c>
      <c r="H40">
        <v>1.4999999999999999E-2</v>
      </c>
      <c r="I40">
        <v>-4.0000000000000001E-3</v>
      </c>
      <c r="J40" t="s">
        <v>59</v>
      </c>
      <c r="K40">
        <v>4172</v>
      </c>
      <c r="L40">
        <v>43.022500000000001</v>
      </c>
      <c r="M40">
        <v>-1.261E-2</v>
      </c>
      <c r="N40">
        <f>INDEX(jkm!$H:$H,MATCH(J40,jkm!$J:$J,0),1)</f>
        <v>18.861000000000001</v>
      </c>
      <c r="O40" s="3">
        <f t="shared" ca="1" si="0"/>
        <v>57</v>
      </c>
      <c r="P40" s="3">
        <f t="shared" ca="1" si="2"/>
        <v>0.15616438356164383</v>
      </c>
      <c r="Q40" t="str" cm="1">
        <f t="array" ref="Q40:S40">_xlfn.TEXTSPLIT(J40,"/")</f>
        <v>5</v>
      </c>
      <c r="R40" s="1" t="str">
        <v>15</v>
      </c>
      <c r="S40" t="str">
        <v>2026</v>
      </c>
      <c r="T40" s="1">
        <f t="shared" si="3"/>
        <v>46157</v>
      </c>
      <c r="U40" s="19">
        <f t="shared" si="4"/>
        <v>3.6899999999999977</v>
      </c>
      <c r="V40" s="17">
        <f ca="1">(LN(N40/G40)+(L40/100)^2*P40/2)/(L40/100*SQRT(P40))</f>
        <v>2.2739169229368392</v>
      </c>
      <c r="W40" s="17">
        <f ca="1">V40-L40/100*SQRT(P40)</f>
        <v>2.1039021581821595</v>
      </c>
      <c r="X40" s="17">
        <f ca="1">(LN(N40/G40)+P40*(U40/100+(L40/100)^2/2))/((L40/100*SQRT(P40)))</f>
        <v>2.3078108365727492</v>
      </c>
      <c r="Y40" s="17">
        <f ca="1">X40-N40/100*SQRT(R40)</f>
        <v>1.5773274476445684</v>
      </c>
      <c r="Z40" s="20">
        <f ca="1">EXP(-P40)/(N40*L40/100*SQRT(P40))*_xlfn.NORM.S.DIST(X40,FALSE)</f>
        <v>7.4218669025580249E-3</v>
      </c>
      <c r="AA40" s="17">
        <f t="shared" ca="1" si="5"/>
        <v>1.7738636180543584E-3</v>
      </c>
      <c r="AB40" s="17"/>
      <c r="AC40" s="17"/>
      <c r="AD40" s="17"/>
    </row>
    <row r="41" spans="1:31" x14ac:dyDescent="0.25">
      <c r="A41" t="s">
        <v>106</v>
      </c>
      <c r="B41" t="s">
        <v>107</v>
      </c>
      <c r="C41" t="s">
        <v>108</v>
      </c>
      <c r="D41">
        <v>46028</v>
      </c>
      <c r="E41" t="s">
        <v>107</v>
      </c>
      <c r="F41" t="s">
        <v>110</v>
      </c>
      <c r="G41">
        <v>15</v>
      </c>
      <c r="H41">
        <v>0.125</v>
      </c>
      <c r="I41">
        <v>-2.1000000000000001E-2</v>
      </c>
      <c r="J41" t="s">
        <v>59</v>
      </c>
      <c r="K41">
        <v>4172</v>
      </c>
      <c r="L41">
        <v>43</v>
      </c>
      <c r="M41">
        <v>-7.9079999999999998E-2</v>
      </c>
      <c r="N41">
        <f>INDEX(jkm!$H:$H,MATCH(J41,jkm!$J:$J,0),1)</f>
        <v>18.861000000000001</v>
      </c>
      <c r="O41" s="3">
        <f t="shared" ca="1" si="0"/>
        <v>57</v>
      </c>
      <c r="P41" s="3">
        <f t="shared" ca="1" si="2"/>
        <v>0.15616438356164383</v>
      </c>
      <c r="Q41" t="str" cm="1">
        <f t="array" ref="Q41:S41">_xlfn.TEXTSPLIT(J41,"/")</f>
        <v>5</v>
      </c>
      <c r="R41" s="1" t="str">
        <v>15</v>
      </c>
      <c r="S41" t="str">
        <v>2026</v>
      </c>
      <c r="T41" s="1">
        <f t="shared" si="3"/>
        <v>46157</v>
      </c>
      <c r="U41" s="19">
        <f t="shared" si="4"/>
        <v>3.6899999999999977</v>
      </c>
      <c r="V41" s="17">
        <f ca="1">(LN(N41/G41)+(L41/100)^2*P41/2)/(L41/100*SQRT(P41))</f>
        <v>1.4328808367471415</v>
      </c>
      <c r="W41" s="17">
        <f ca="1">V41-L41/100*SQRT(P41)</f>
        <v>1.2629549866814498</v>
      </c>
      <c r="X41" s="17">
        <f ca="1">(LN(N41/G41)+P41*(U41/100+(L41/100)^2/2))/((L41/100*SQRT(P41)))</f>
        <v>1.4667924855704193</v>
      </c>
      <c r="Y41" s="17">
        <f ca="1">X41-N41/100*SQRT(R41)</f>
        <v>0.73630909664223843</v>
      </c>
      <c r="Z41" s="20">
        <f ca="1">EXP(-P41)/(N41*L41/100*SQRT(P41))*_xlfn.NORM.S.DIST(X41,FALSE)</f>
        <v>3.6314208355945281E-2</v>
      </c>
      <c r="AA41" s="17">
        <f t="shared" ca="1" si="5"/>
        <v>8.6747398209329474E-3</v>
      </c>
      <c r="AB41" s="17"/>
      <c r="AC41" s="17"/>
      <c r="AD41" s="17"/>
    </row>
    <row r="42" spans="1:31" x14ac:dyDescent="0.25">
      <c r="A42" t="s">
        <v>106</v>
      </c>
      <c r="B42" t="s">
        <v>107</v>
      </c>
      <c r="C42" t="s">
        <v>108</v>
      </c>
      <c r="D42">
        <v>46028</v>
      </c>
      <c r="E42" t="s">
        <v>107</v>
      </c>
      <c r="F42" t="s">
        <v>110</v>
      </c>
      <c r="G42">
        <v>20</v>
      </c>
      <c r="H42">
        <v>1.9490000000000001</v>
      </c>
      <c r="I42">
        <v>-0.11700000000000001</v>
      </c>
      <c r="J42" t="s">
        <v>59</v>
      </c>
      <c r="K42">
        <v>4172</v>
      </c>
      <c r="L42">
        <v>41.802700000000002</v>
      </c>
      <c r="M42">
        <v>-0.60443999999999998</v>
      </c>
      <c r="N42">
        <f>INDEX(jkm!$H:$H,MATCH(J42,jkm!$J:$J,0),1)</f>
        <v>18.861000000000001</v>
      </c>
      <c r="O42" s="3">
        <f t="shared" ca="1" si="0"/>
        <v>57</v>
      </c>
      <c r="P42" s="3">
        <f t="shared" ca="1" si="2"/>
        <v>0.15616438356164383</v>
      </c>
      <c r="Q42" t="str" cm="1">
        <f t="array" ref="Q42:S42">_xlfn.TEXTSPLIT(J42,"/")</f>
        <v>5</v>
      </c>
      <c r="R42" s="1" t="str">
        <v>15</v>
      </c>
      <c r="S42" t="str">
        <v>2026</v>
      </c>
      <c r="T42" s="1">
        <f t="shared" si="3"/>
        <v>46157</v>
      </c>
      <c r="U42" s="19">
        <f t="shared" si="4"/>
        <v>3.6899999999999977</v>
      </c>
      <c r="V42" s="17">
        <f ca="1">(LN(N42/G42)+(L42/100)^2*P42/2)/(L42/100*SQRT(P42))</f>
        <v>-0.27235414300120958</v>
      </c>
      <c r="W42" s="17">
        <f ca="1">V42-L42/100*SQRT(P42)</f>
        <v>-0.43754854608356053</v>
      </c>
      <c r="X42" s="17">
        <f ca="1">(LN(N42/G42)+P42*(U42/100+(L42/100)^2/2))/((L42/100*SQRT(P42)))</f>
        <v>-0.23747120722431159</v>
      </c>
      <c r="Y42" s="17">
        <f ca="1">X42-N42/100*SQRT(R42)</f>
        <v>-0.96795459615249246</v>
      </c>
      <c r="Z42" s="20">
        <f ca="1">EXP(-P42)/(N42*L42/100*SQRT(P42))*_xlfn.NORM.S.DIST(X42,FALSE)</f>
        <v>0.10648371632818891</v>
      </c>
      <c r="AA42" s="17">
        <f t="shared" ca="1" si="5"/>
        <v>2.4728567253539648E-2</v>
      </c>
      <c r="AB42" s="17"/>
      <c r="AC42" s="17"/>
      <c r="AD42" s="17"/>
      <c r="AE42" t="s">
        <v>274</v>
      </c>
    </row>
    <row r="43" spans="1:31" x14ac:dyDescent="0.25">
      <c r="A43" t="s">
        <v>106</v>
      </c>
      <c r="B43" t="s">
        <v>107</v>
      </c>
      <c r="C43" t="s">
        <v>108</v>
      </c>
      <c r="D43">
        <v>46028</v>
      </c>
      <c r="E43" t="s">
        <v>107</v>
      </c>
      <c r="F43" t="s">
        <v>110</v>
      </c>
      <c r="G43">
        <v>25</v>
      </c>
      <c r="H43">
        <v>6.2039999999999997</v>
      </c>
      <c r="I43">
        <v>-0.16500000000000001</v>
      </c>
      <c r="J43" t="s">
        <v>59</v>
      </c>
      <c r="K43">
        <v>4172</v>
      </c>
      <c r="L43">
        <v>41.1952</v>
      </c>
      <c r="M43">
        <v>-0.94721999999999995</v>
      </c>
      <c r="N43">
        <f>INDEX(jkm!$H:$H,MATCH(J43,jkm!$J:$J,0),1)</f>
        <v>18.861000000000001</v>
      </c>
      <c r="O43" s="3">
        <f t="shared" ca="1" si="0"/>
        <v>57</v>
      </c>
      <c r="P43" s="3">
        <f t="shared" ca="1" si="2"/>
        <v>0.15616438356164383</v>
      </c>
      <c r="Q43" t="str" cm="1">
        <f t="array" ref="Q43:S43">_xlfn.TEXTSPLIT(J43,"/")</f>
        <v>5</v>
      </c>
      <c r="R43" s="1" t="str">
        <v>15</v>
      </c>
      <c r="S43" t="str">
        <v>2026</v>
      </c>
      <c r="T43" s="1">
        <f t="shared" si="3"/>
        <v>46157</v>
      </c>
      <c r="U43" s="19">
        <f t="shared" si="4"/>
        <v>3.6899999999999977</v>
      </c>
      <c r="V43" s="17">
        <f ca="1">(LN(N43/G43)+(L43/100)^2*P43/2)/(L43/100*SQRT(P43))</f>
        <v>-1.649502534042931</v>
      </c>
      <c r="W43" s="17">
        <f ca="1">V43-L43/100*SQRT(P43)</f>
        <v>-1.8122962405226097</v>
      </c>
      <c r="X43" s="17">
        <f ca="1">(LN(N43/G43)+P43*(U43/100+(L43/100)^2/2))/((L43/100*SQRT(P43)))</f>
        <v>-1.6141051843662471</v>
      </c>
      <c r="Y43" s="17">
        <f ca="1">X43-N43/100*SQRT(R43)</f>
        <v>-2.3445885732944278</v>
      </c>
      <c r="Z43" s="20">
        <f ca="1">EXP(-P43)/(N43*L43/100*SQRT(P43))*_xlfn.NORM.S.DIST(X43,FALSE)</f>
        <v>3.0209600620318675E-2</v>
      </c>
      <c r="AA43" s="17">
        <f t="shared" ca="1" si="5"/>
        <v>6.9135804492535986E-3</v>
      </c>
      <c r="AB43" s="17"/>
      <c r="AC43" s="17"/>
      <c r="AD43" s="17"/>
    </row>
    <row r="44" spans="1:31" x14ac:dyDescent="0.25">
      <c r="A44" t="s">
        <v>106</v>
      </c>
      <c r="B44" t="s">
        <v>107</v>
      </c>
      <c r="C44" t="s">
        <v>108</v>
      </c>
      <c r="D44">
        <v>46029</v>
      </c>
      <c r="E44" t="s">
        <v>107</v>
      </c>
      <c r="F44" t="s">
        <v>109</v>
      </c>
      <c r="G44">
        <v>5</v>
      </c>
      <c r="H44">
        <v>13.509</v>
      </c>
      <c r="I44">
        <v>0.378</v>
      </c>
      <c r="J44" t="s">
        <v>60</v>
      </c>
      <c r="K44">
        <v>4172</v>
      </c>
      <c r="L44">
        <v>75.207599999999999</v>
      </c>
      <c r="M44">
        <v>0.99988999999999995</v>
      </c>
      <c r="N44">
        <f>INDEX(jkm!$H:$H,MATCH(J44,jkm!$J:$J,0),1)</f>
        <v>18.509</v>
      </c>
      <c r="O44" s="3">
        <f t="shared" ca="1" si="0"/>
        <v>88</v>
      </c>
      <c r="P44" s="3">
        <f t="shared" ca="1" si="2"/>
        <v>0.24109589041095891</v>
      </c>
      <c r="Q44" t="str" cm="1">
        <f t="array" ref="Q44:S44">_xlfn.TEXTSPLIT(J44,"/")</f>
        <v>6</v>
      </c>
      <c r="R44" s="1" t="str">
        <v>15</v>
      </c>
      <c r="S44" t="str">
        <v>2026</v>
      </c>
      <c r="T44" s="1">
        <f t="shared" si="3"/>
        <v>46188</v>
      </c>
      <c r="U44" s="19">
        <f t="shared" si="4"/>
        <v>3.6899999999999977</v>
      </c>
      <c r="V44" s="17">
        <f ca="1">(LN(N44/G44)+(L44/100)^2*P44/2)/(L44/100*SQRT(P44))</f>
        <v>3.7288795189168082</v>
      </c>
      <c r="W44" s="17">
        <f ca="1">V44-L44/100*SQRT(P44)</f>
        <v>3.3595987991003167</v>
      </c>
      <c r="X44" s="17">
        <f ca="1">(LN(N44/G44)+P44*(U44/100+(L44/100)^2/2))/((L44/100*SQRT(P44)))</f>
        <v>3.7529707803305792</v>
      </c>
      <c r="Y44" s="17">
        <f ca="1">X44-N44/100*SQRT(R44)</f>
        <v>3.0361202927810482</v>
      </c>
      <c r="Z44" s="20">
        <f ca="1">EXP(-P44)/(N44*L44/100*SQRT(P44))*_xlfn.NORM.S.DIST(X44,FALSE)</f>
        <v>4.0085808179182661E-5</v>
      </c>
      <c r="AA44" s="17">
        <f t="shared" ca="1" si="5"/>
        <v>2.4900501406507018E-5</v>
      </c>
      <c r="AB44" s="17"/>
      <c r="AC44" s="17"/>
      <c r="AD44" s="17"/>
    </row>
    <row r="45" spans="1:31" x14ac:dyDescent="0.25">
      <c r="A45" t="s">
        <v>106</v>
      </c>
      <c r="B45" t="s">
        <v>107</v>
      </c>
      <c r="C45" t="s">
        <v>108</v>
      </c>
      <c r="D45">
        <v>46029</v>
      </c>
      <c r="E45" t="s">
        <v>107</v>
      </c>
      <c r="F45" t="s">
        <v>109</v>
      </c>
      <c r="G45">
        <v>8</v>
      </c>
      <c r="H45">
        <v>10.528</v>
      </c>
      <c r="I45">
        <v>0.36599999999999999</v>
      </c>
      <c r="J45" t="s">
        <v>60</v>
      </c>
      <c r="K45">
        <v>4172</v>
      </c>
      <c r="L45">
        <v>75.213200000000001</v>
      </c>
      <c r="M45">
        <v>0.99251</v>
      </c>
      <c r="N45">
        <f>INDEX(jkm!$H:$H,MATCH(J45,jkm!$J:$J,0),1)</f>
        <v>18.509</v>
      </c>
      <c r="O45" s="3">
        <f t="shared" ca="1" si="0"/>
        <v>88</v>
      </c>
      <c r="P45" s="3">
        <f t="shared" ca="1" si="2"/>
        <v>0.24109589041095891</v>
      </c>
      <c r="Q45" t="str" cm="1">
        <f t="array" ref="Q45:S45">_xlfn.TEXTSPLIT(J45,"/")</f>
        <v>6</v>
      </c>
      <c r="R45" s="1" t="str">
        <v>15</v>
      </c>
      <c r="S45" t="str">
        <v>2026</v>
      </c>
      <c r="T45" s="1">
        <f t="shared" si="3"/>
        <v>46188</v>
      </c>
      <c r="U45" s="19">
        <f t="shared" si="4"/>
        <v>3.6899999999999977</v>
      </c>
      <c r="V45" s="17">
        <f ca="1">(LN(N45/G45)+(L45/100)^2*P45/2)/(L45/100*SQRT(P45))</f>
        <v>2.4559698298408779</v>
      </c>
      <c r="W45" s="17">
        <f ca="1">V45-L45/100*SQRT(P45)</f>
        <v>2.0866616131752513</v>
      </c>
      <c r="X45" s="17">
        <f ca="1">(LN(N45/G45)+P45*(U45/100+(L45/100)^2/2))/((L45/100*SQRT(P45)))</f>
        <v>2.4800592975393974</v>
      </c>
      <c r="Y45" s="17">
        <f ca="1">X45-N45/100*SQRT(R45)</f>
        <v>1.7632088099898664</v>
      </c>
      <c r="Z45" s="20">
        <f ca="1">EXP(-P45)/(N45*L45/100*SQRT(P45))*_xlfn.NORM.S.DIST(X45,FALSE)</f>
        <v>2.1175090120261644E-3</v>
      </c>
      <c r="AA45" s="17">
        <f t="shared" ca="1" si="5"/>
        <v>1.3154521415951381E-3</v>
      </c>
      <c r="AB45" s="17"/>
      <c r="AC45" s="17"/>
      <c r="AD45" s="17"/>
    </row>
    <row r="46" spans="1:31" x14ac:dyDescent="0.25">
      <c r="A46" t="s">
        <v>106</v>
      </c>
      <c r="B46" t="s">
        <v>107</v>
      </c>
      <c r="C46" t="s">
        <v>108</v>
      </c>
      <c r="D46">
        <v>46029</v>
      </c>
      <c r="E46" t="s">
        <v>107</v>
      </c>
      <c r="F46" t="s">
        <v>109</v>
      </c>
      <c r="G46">
        <v>8.5</v>
      </c>
      <c r="H46">
        <v>10.039999999999999</v>
      </c>
      <c r="I46">
        <v>0.36</v>
      </c>
      <c r="J46" t="s">
        <v>60</v>
      </c>
      <c r="K46">
        <v>4172</v>
      </c>
      <c r="L46">
        <v>75.214100000000002</v>
      </c>
      <c r="M46">
        <v>0.98841000000000001</v>
      </c>
      <c r="N46">
        <f>INDEX(jkm!$H:$H,MATCH(J46,jkm!$J:$J,0),1)</f>
        <v>18.509</v>
      </c>
      <c r="O46" s="3">
        <f t="shared" ca="1" si="0"/>
        <v>88</v>
      </c>
      <c r="P46" s="3">
        <f t="shared" ca="1" si="2"/>
        <v>0.24109589041095891</v>
      </c>
      <c r="Q46" t="str" cm="1">
        <f t="array" ref="Q46:S46">_xlfn.TEXTSPLIT(J46,"/")</f>
        <v>6</v>
      </c>
      <c r="R46" s="1" t="str">
        <v>15</v>
      </c>
      <c r="S46" t="str">
        <v>2026</v>
      </c>
      <c r="T46" s="1">
        <f t="shared" si="3"/>
        <v>46188</v>
      </c>
      <c r="U46" s="19">
        <f t="shared" si="4"/>
        <v>3.6899999999999977</v>
      </c>
      <c r="V46" s="17">
        <f ca="1">(LN(N46/G46)+(L46/100)^2*P46/2)/(L46/100*SQRT(P46))</f>
        <v>2.2917895739516805</v>
      </c>
      <c r="W46" s="17">
        <f ca="1">V46-L46/100*SQRT(P46)</f>
        <v>1.9224769381495861</v>
      </c>
      <c r="X46" s="17">
        <f ca="1">(LN(N46/G46)+P46*(U46/100+(L46/100)^2/2))/((L46/100*SQRT(P46)))</f>
        <v>2.3158787533994469</v>
      </c>
      <c r="Y46" s="17">
        <f ca="1">X46-N46/100*SQRT(R46)</f>
        <v>1.599028265849916</v>
      </c>
      <c r="Z46" s="20">
        <f ca="1">EXP(-P46)/(N46*L46/100*SQRT(P46))*_xlfn.NORM.S.DIST(X46,FALSE)</f>
        <v>3.1390753970769393E-3</v>
      </c>
      <c r="AA46" s="17">
        <f t="shared" ca="1" si="5"/>
        <v>1.9500993107671228E-3</v>
      </c>
      <c r="AB46" s="17"/>
      <c r="AC46" s="17"/>
      <c r="AD46" s="17"/>
    </row>
    <row r="47" spans="1:31" x14ac:dyDescent="0.25">
      <c r="A47" t="s">
        <v>106</v>
      </c>
      <c r="B47" t="s">
        <v>107</v>
      </c>
      <c r="C47" t="s">
        <v>108</v>
      </c>
      <c r="D47">
        <v>46029</v>
      </c>
      <c r="E47" t="s">
        <v>107</v>
      </c>
      <c r="F47" t="s">
        <v>109</v>
      </c>
      <c r="G47">
        <v>9</v>
      </c>
      <c r="H47">
        <v>9.5579999999999998</v>
      </c>
      <c r="I47">
        <v>0.35299999999999998</v>
      </c>
      <c r="J47" t="s">
        <v>60</v>
      </c>
      <c r="K47">
        <v>4172</v>
      </c>
      <c r="L47">
        <v>75.214699999999993</v>
      </c>
      <c r="M47">
        <v>0.98287999999999998</v>
      </c>
      <c r="N47">
        <f>INDEX(jkm!$H:$H,MATCH(J47,jkm!$J:$J,0),1)</f>
        <v>18.509</v>
      </c>
      <c r="O47" s="3">
        <f t="shared" ca="1" si="0"/>
        <v>88</v>
      </c>
      <c r="P47" s="3">
        <f t="shared" ca="1" si="2"/>
        <v>0.24109589041095891</v>
      </c>
      <c r="Q47" t="str" cm="1">
        <f t="array" ref="Q47:S47">_xlfn.TEXTSPLIT(J47,"/")</f>
        <v>6</v>
      </c>
      <c r="R47" s="1" t="str">
        <v>15</v>
      </c>
      <c r="S47" t="str">
        <v>2026</v>
      </c>
      <c r="T47" s="1">
        <f t="shared" si="3"/>
        <v>46188</v>
      </c>
      <c r="U47" s="19">
        <f t="shared" si="4"/>
        <v>3.6899999999999977</v>
      </c>
      <c r="V47" s="17">
        <f ca="1">(LN(N47/G47)+(L47/100)^2*P47/2)/(L47/100*SQRT(P47))</f>
        <v>2.1370057510364489</v>
      </c>
      <c r="W47" s="17">
        <f ca="1">V47-L47/100*SQRT(P47)</f>
        <v>1.7676901691433757</v>
      </c>
      <c r="X47" s="17">
        <f ca="1">(LN(N47/G47)+P47*(U47/100+(L47/100)^2/2))/((L47/100*SQRT(P47)))</f>
        <v>2.1610947383208798</v>
      </c>
      <c r="Y47" s="17">
        <f ca="1">X47-N47/100*SQRT(R47)</f>
        <v>1.4442442507713489</v>
      </c>
      <c r="Z47" s="20">
        <f ca="1">EXP(-P47)/(N47*L47/100*SQRT(P47))*_xlfn.NORM.S.DIST(X47,FALSE)</f>
        <v>4.4388808597508201E-3</v>
      </c>
      <c r="AA47" s="17">
        <f ca="1">(N47*EXP(-P47)*SQRT(P47)*_xlfn.NORM.S.DIST(X47,FALSE))/100</f>
        <v>2.7576042188037254E-3</v>
      </c>
      <c r="AB47" s="17"/>
      <c r="AC47" s="17"/>
      <c r="AD47" s="17"/>
    </row>
    <row r="48" spans="1:31" x14ac:dyDescent="0.25">
      <c r="A48" t="s">
        <v>106</v>
      </c>
      <c r="B48" t="s">
        <v>107</v>
      </c>
      <c r="C48" t="s">
        <v>108</v>
      </c>
      <c r="D48">
        <v>46029</v>
      </c>
      <c r="E48" t="s">
        <v>107</v>
      </c>
      <c r="F48" t="s">
        <v>109</v>
      </c>
      <c r="G48">
        <v>9.5</v>
      </c>
      <c r="H48">
        <v>9.0809999999999995</v>
      </c>
      <c r="I48">
        <v>0.34399999999999997</v>
      </c>
      <c r="J48" t="s">
        <v>60</v>
      </c>
      <c r="K48">
        <v>4172</v>
      </c>
      <c r="L48">
        <v>75.215900000000005</v>
      </c>
      <c r="M48">
        <v>0.97572000000000003</v>
      </c>
      <c r="N48">
        <f>INDEX(jkm!$H:$H,MATCH(J48,jkm!$J:$J,0),1)</f>
        <v>18.509</v>
      </c>
      <c r="O48" s="3">
        <f t="shared" ca="1" si="0"/>
        <v>88</v>
      </c>
      <c r="P48" s="3">
        <f t="shared" ca="1" si="2"/>
        <v>0.24109589041095891</v>
      </c>
      <c r="Q48" t="str" cm="1">
        <f t="array" ref="Q48:S48">_xlfn.TEXTSPLIT(J48,"/")</f>
        <v>6</v>
      </c>
      <c r="R48" s="1" t="str">
        <v>15</v>
      </c>
      <c r="S48" t="str">
        <v>2026</v>
      </c>
      <c r="T48" s="1">
        <f t="shared" si="3"/>
        <v>46188</v>
      </c>
      <c r="U48" s="19">
        <f t="shared" si="4"/>
        <v>3.6899999999999977</v>
      </c>
      <c r="V48" s="17">
        <f ca="1">(LN(N48/G48)+(L48/100)^2*P48/2)/(L48/100*SQRT(P48))</f>
        <v>1.9905814551287282</v>
      </c>
      <c r="W48" s="17">
        <f ca="1">V48-L48/100*SQRT(P48)</f>
        <v>1.6212599810536976</v>
      </c>
      <c r="X48" s="17">
        <f ca="1">(LN(N48/G48)+P48*(U48/100+(L48/100)^2/2))/((L48/100*SQRT(P48)))</f>
        <v>2.0146700580956844</v>
      </c>
      <c r="Y48" s="17">
        <f ca="1">X48-N48/100*SQRT(R48)</f>
        <v>1.2978195705461535</v>
      </c>
      <c r="Z48" s="20">
        <f ca="1">EXP(-P48)/(N48*L48/100*SQRT(P48))*_xlfn.NORM.S.DIST(X48,FALSE)</f>
        <v>6.0261229536726626E-3</v>
      </c>
      <c r="AA48" s="17">
        <f t="shared" ref="AA48:AA111" ca="1" si="6">(N48*EXP(-P48)*SQRT(P48)*_xlfn.NORM.S.DIST(X48,FALSE))/100</f>
        <v>3.7437200341176213E-3</v>
      </c>
      <c r="AB48" s="17"/>
      <c r="AC48" s="17"/>
      <c r="AD48" s="17"/>
    </row>
    <row r="49" spans="1:30" x14ac:dyDescent="0.25">
      <c r="A49" t="s">
        <v>106</v>
      </c>
      <c r="B49" t="s">
        <v>107</v>
      </c>
      <c r="C49" t="s">
        <v>108</v>
      </c>
      <c r="D49">
        <v>46029</v>
      </c>
      <c r="E49" t="s">
        <v>107</v>
      </c>
      <c r="F49" t="s">
        <v>109</v>
      </c>
      <c r="G49">
        <v>10</v>
      </c>
      <c r="H49">
        <v>8.6129999999999995</v>
      </c>
      <c r="I49">
        <v>0.33300000000000002</v>
      </c>
      <c r="J49" t="s">
        <v>60</v>
      </c>
      <c r="K49">
        <v>4172</v>
      </c>
      <c r="L49">
        <v>75.2166</v>
      </c>
      <c r="M49">
        <v>0.96675999999999995</v>
      </c>
      <c r="N49">
        <f>INDEX(jkm!$H:$H,MATCH(J49,jkm!$J:$J,0),1)</f>
        <v>18.509</v>
      </c>
      <c r="O49" s="3">
        <f t="shared" ca="1" si="0"/>
        <v>88</v>
      </c>
      <c r="P49" s="3">
        <f t="shared" ca="1" si="2"/>
        <v>0.24109589041095891</v>
      </c>
      <c r="Q49" t="str" cm="1">
        <f t="array" ref="Q49:S49">_xlfn.TEXTSPLIT(J49,"/")</f>
        <v>6</v>
      </c>
      <c r="R49" s="1" t="str">
        <v>15</v>
      </c>
      <c r="S49" t="str">
        <v>2026</v>
      </c>
      <c r="T49" s="1">
        <f t="shared" si="3"/>
        <v>46188</v>
      </c>
      <c r="U49" s="19">
        <f t="shared" si="4"/>
        <v>3.6899999999999977</v>
      </c>
      <c r="V49" s="17">
        <f ca="1">(LN(N49/G49)+(L49/100)^2*P49/2)/(L49/100*SQRT(P49))</f>
        <v>1.8516824389204301</v>
      </c>
      <c r="W49" s="17">
        <f ca="1">V49-L49/100*SQRT(P49)</f>
        <v>1.4823575277392578</v>
      </c>
      <c r="X49" s="17">
        <f ca="1">(LN(N49/G49)+P49*(U49/100+(L49/100)^2/2))/((L49/100*SQRT(P49)))</f>
        <v>1.8757708177078556</v>
      </c>
      <c r="Y49" s="17">
        <f ca="1">X49-N49/100*SQRT(R49)</f>
        <v>1.1589203301583249</v>
      </c>
      <c r="Z49" s="20">
        <f ca="1">EXP(-P49)/(N49*L49/100*SQRT(P49))*_xlfn.NORM.S.DIST(X49,FALSE)</f>
        <v>7.8954305368751816E-3</v>
      </c>
      <c r="AA49" s="17">
        <f t="shared" ca="1" si="6"/>
        <v>4.9050702734639001E-3</v>
      </c>
      <c r="AB49" s="17"/>
      <c r="AC49" s="17"/>
      <c r="AD49" s="17"/>
    </row>
    <row r="50" spans="1:30" x14ac:dyDescent="0.25">
      <c r="A50" t="s">
        <v>106</v>
      </c>
      <c r="B50" t="s">
        <v>107</v>
      </c>
      <c r="C50" t="s">
        <v>108</v>
      </c>
      <c r="D50">
        <v>46029</v>
      </c>
      <c r="E50" t="s">
        <v>107</v>
      </c>
      <c r="F50" t="s">
        <v>109</v>
      </c>
      <c r="G50">
        <v>12.5</v>
      </c>
      <c r="H50">
        <v>6.4329999999999998</v>
      </c>
      <c r="I50">
        <v>0.26100000000000001</v>
      </c>
      <c r="J50" t="s">
        <v>60</v>
      </c>
      <c r="K50">
        <v>4172</v>
      </c>
      <c r="L50">
        <v>75.221199999999996</v>
      </c>
      <c r="M50">
        <v>0.89207999999999998</v>
      </c>
      <c r="N50">
        <f>INDEX(jkm!$H:$H,MATCH(J50,jkm!$J:$J,0),1)</f>
        <v>18.509</v>
      </c>
      <c r="O50" s="3">
        <f t="shared" ca="1" si="0"/>
        <v>88</v>
      </c>
      <c r="P50" s="3">
        <f t="shared" ca="1" si="2"/>
        <v>0.24109589041095891</v>
      </c>
      <c r="Q50" t="str" cm="1">
        <f t="array" ref="Q50:S50">_xlfn.TEXTSPLIT(J50,"/")</f>
        <v>6</v>
      </c>
      <c r="R50" s="1" t="str">
        <v>15</v>
      </c>
      <c r="S50" t="str">
        <v>2026</v>
      </c>
      <c r="T50" s="1">
        <f t="shared" si="3"/>
        <v>46188</v>
      </c>
      <c r="U50" s="19">
        <f t="shared" si="4"/>
        <v>3.6899999999999977</v>
      </c>
      <c r="V50" s="17">
        <f ca="1">(LN(N50/G50)+(L50/100)^2*P50/2)/(L50/100*SQRT(P50))</f>
        <v>1.247435668867825</v>
      </c>
      <c r="W50" s="17">
        <f ca="1">V50-L50/100*SQRT(P50)</f>
        <v>0.87808817098914926</v>
      </c>
      <c r="X50" s="17">
        <f ca="1">(LN(N50/G50)+P50*(U50/100+(L50/100)^2/2))/((L50/100*SQRT(P50)))</f>
        <v>1.2715225745792771</v>
      </c>
      <c r="Y50" s="17">
        <f ca="1">X50-N50/100*SQRT(R50)</f>
        <v>0.55467208702974624</v>
      </c>
      <c r="Z50" s="20">
        <f ca="1">EXP(-P50)/(N50*L50/100*SQRT(P50))*_xlfn.NORM.S.DIST(X50,FALSE)</f>
        <v>2.0431876925986379E-2</v>
      </c>
      <c r="AA50" s="17">
        <f t="shared" ca="1" si="6"/>
        <v>1.2694167947608243E-2</v>
      </c>
      <c r="AB50" s="17"/>
      <c r="AC50" s="17"/>
      <c r="AD50" s="17"/>
    </row>
    <row r="51" spans="1:30" x14ac:dyDescent="0.25">
      <c r="A51" t="s">
        <v>106</v>
      </c>
      <c r="B51" t="s">
        <v>107</v>
      </c>
      <c r="C51" t="s">
        <v>108</v>
      </c>
      <c r="D51">
        <v>46029</v>
      </c>
      <c r="E51" t="s">
        <v>107</v>
      </c>
      <c r="F51" t="s">
        <v>109</v>
      </c>
      <c r="G51">
        <v>13</v>
      </c>
      <c r="H51">
        <v>6.0380000000000003</v>
      </c>
      <c r="I51">
        <v>0.24399999999999999</v>
      </c>
      <c r="J51" t="s">
        <v>60</v>
      </c>
      <c r="K51">
        <v>4172</v>
      </c>
      <c r="L51">
        <v>75.222099999999998</v>
      </c>
      <c r="M51">
        <v>0.87131999999999998</v>
      </c>
      <c r="N51">
        <f>INDEX(jkm!$H:$H,MATCH(J51,jkm!$J:$J,0),1)</f>
        <v>18.509</v>
      </c>
      <c r="O51" s="3">
        <f t="shared" ca="1" si="0"/>
        <v>88</v>
      </c>
      <c r="P51" s="3">
        <f t="shared" ca="1" si="2"/>
        <v>0.24109589041095891</v>
      </c>
      <c r="Q51" t="str" cm="1">
        <f t="array" ref="Q51:S51">_xlfn.TEXTSPLIT(J51,"/")</f>
        <v>6</v>
      </c>
      <c r="R51" s="1" t="str">
        <v>15</v>
      </c>
      <c r="S51" t="str">
        <v>2026</v>
      </c>
      <c r="T51" s="1">
        <f t="shared" si="3"/>
        <v>46188</v>
      </c>
      <c r="U51" s="19">
        <f t="shared" si="4"/>
        <v>3.6899999999999977</v>
      </c>
      <c r="V51" s="17">
        <f ca="1">(LN(N51/G51)+(L51/100)^2*P51/2)/(L51/100*SQRT(P51))</f>
        <v>1.1412372393267995</v>
      </c>
      <c r="W51" s="17">
        <f ca="1">V51-L51/100*SQRT(P51)</f>
        <v>0.77188532231165574</v>
      </c>
      <c r="X51" s="17">
        <f ca="1">(LN(N51/G51)+P51*(U51/100+(L51/100)^2/2))/((L51/100*SQRT(P51)))</f>
        <v>1.165323856848808</v>
      </c>
      <c r="Y51" s="17">
        <f ca="1">X51-N51/100*SQRT(R51)</f>
        <v>0.44847336929927717</v>
      </c>
      <c r="Z51" s="20">
        <f ca="1">EXP(-P51)/(N51*L51/100*SQRT(P51))*_xlfn.NORM.S.DIST(X51,FALSE)</f>
        <v>2.3254049623062958E-2</v>
      </c>
      <c r="AA51" s="17">
        <f t="shared" ca="1" si="6"/>
        <v>1.4447734993685214E-2</v>
      </c>
      <c r="AB51" s="17"/>
      <c r="AC51" s="17"/>
      <c r="AD51" s="17"/>
    </row>
    <row r="52" spans="1:30" x14ac:dyDescent="0.25">
      <c r="A52" t="s">
        <v>106</v>
      </c>
      <c r="B52" t="s">
        <v>107</v>
      </c>
      <c r="C52" t="s">
        <v>108</v>
      </c>
      <c r="D52">
        <v>46029</v>
      </c>
      <c r="E52" t="s">
        <v>107</v>
      </c>
      <c r="F52" t="s">
        <v>109</v>
      </c>
      <c r="G52">
        <v>15</v>
      </c>
      <c r="H52">
        <v>4.6139999999999999</v>
      </c>
      <c r="I52">
        <v>0.17399999999999999</v>
      </c>
      <c r="J52" t="s">
        <v>60</v>
      </c>
      <c r="K52">
        <v>4172</v>
      </c>
      <c r="L52">
        <v>75.225700000000003</v>
      </c>
      <c r="M52">
        <v>0.77322999999999997</v>
      </c>
      <c r="N52">
        <f>INDEX(jkm!$H:$H,MATCH(J52,jkm!$J:$J,0),1)</f>
        <v>18.509</v>
      </c>
      <c r="O52" s="3">
        <f t="shared" ca="1" si="0"/>
        <v>88</v>
      </c>
      <c r="P52" s="3">
        <f t="shared" ca="1" si="2"/>
        <v>0.24109589041095891</v>
      </c>
      <c r="Q52" t="str" cm="1">
        <f t="array" ref="Q52:S52">_xlfn.TEXTSPLIT(J52,"/")</f>
        <v>6</v>
      </c>
      <c r="R52" s="1" t="str">
        <v>15</v>
      </c>
      <c r="S52" t="str">
        <v>2026</v>
      </c>
      <c r="T52" s="1">
        <f t="shared" si="3"/>
        <v>46188</v>
      </c>
      <c r="U52" s="19">
        <f t="shared" si="4"/>
        <v>3.6899999999999977</v>
      </c>
      <c r="V52" s="17">
        <f ca="1">(LN(N52/G52)+(L52/100)^2*P52/2)/(L52/100*SQRT(P52))</f>
        <v>0.75378117839061354</v>
      </c>
      <c r="W52" s="17">
        <f ca="1">V52-L52/100*SQRT(P52)</f>
        <v>0.38441158482959753</v>
      </c>
      <c r="X52" s="17">
        <f ca="1">(LN(N52/G52)+P52*(U52/100+(L52/100)^2/2))/((L52/100*SQRT(P52)))</f>
        <v>0.77786664322380583</v>
      </c>
      <c r="Y52" s="17">
        <f ca="1">X52-N52/100*SQRT(R52)</f>
        <v>6.1016155674274986E-2</v>
      </c>
      <c r="Z52" s="20">
        <f ca="1">EXP(-P52)/(N52*L52/100*SQRT(P52))*_xlfn.NORM.S.DIST(X52,FALSE)</f>
        <v>3.3881970370318246E-2</v>
      </c>
      <c r="AA52" s="17">
        <f t="shared" ca="1" si="6"/>
        <v>2.1051866852608937E-2</v>
      </c>
      <c r="AB52" s="17"/>
      <c r="AC52" s="17"/>
      <c r="AD52" s="17"/>
    </row>
    <row r="53" spans="1:30" x14ac:dyDescent="0.25">
      <c r="A53" t="s">
        <v>106</v>
      </c>
      <c r="B53" t="s">
        <v>107</v>
      </c>
      <c r="C53" t="s">
        <v>108</v>
      </c>
      <c r="D53">
        <v>46029</v>
      </c>
      <c r="E53" t="s">
        <v>107</v>
      </c>
      <c r="F53" t="s">
        <v>109</v>
      </c>
      <c r="G53">
        <v>17</v>
      </c>
      <c r="H53">
        <v>3.452</v>
      </c>
      <c r="J53" t="s">
        <v>60</v>
      </c>
      <c r="K53">
        <v>4172</v>
      </c>
      <c r="L53">
        <v>75.230099999999993</v>
      </c>
      <c r="M53">
        <v>0.66071999999999997</v>
      </c>
      <c r="N53">
        <f>INDEX(jkm!$H:$H,MATCH(J53,jkm!$J:$J,0),1)</f>
        <v>18.509</v>
      </c>
      <c r="O53" s="3">
        <f t="shared" ca="1" si="0"/>
        <v>88</v>
      </c>
      <c r="P53" s="3">
        <f t="shared" ca="1" si="2"/>
        <v>0.24109589041095891</v>
      </c>
      <c r="Q53" t="str" cm="1">
        <f t="array" ref="Q53:S53">_xlfn.TEXTSPLIT(J53,"/")</f>
        <v>6</v>
      </c>
      <c r="R53" s="1" t="str">
        <v>15</v>
      </c>
      <c r="S53" t="str">
        <v>2026</v>
      </c>
      <c r="T53" s="1">
        <f t="shared" si="3"/>
        <v>46188</v>
      </c>
      <c r="U53" s="19">
        <f t="shared" si="4"/>
        <v>3.6899999999999977</v>
      </c>
      <c r="V53" s="17">
        <f ca="1">(LN(N53/G53)+(L53/100)^2*P53/2)/(L53/100*SQRT(P53))</f>
        <v>0.41492240642916234</v>
      </c>
      <c r="W53" s="17">
        <f ca="1">V53-L53/100*SQRT(P53)</f>
        <v>4.5531208200969286E-2</v>
      </c>
      <c r="X53" s="17">
        <f ca="1">(LN(N53/G53)+P53*(U53/100+(L53/100)^2/2))/((L53/100*SQRT(P53)))</f>
        <v>0.43900646257028503</v>
      </c>
      <c r="Y53" s="17">
        <f ca="1">X53-N53/100*SQRT(R53)</f>
        <v>-0.27784402497924582</v>
      </c>
      <c r="Z53" s="20">
        <f ca="1">EXP(-P53)/(N53*L53/100*SQRT(P53))*_xlfn.NORM.S.DIST(X53,FALSE)</f>
        <v>4.1637427267467518E-2</v>
      </c>
      <c r="AA53" s="17">
        <f t="shared" ca="1" si="6"/>
        <v>2.5872073998601617E-2</v>
      </c>
      <c r="AB53" s="17"/>
      <c r="AC53" s="17"/>
      <c r="AD53" s="17"/>
    </row>
    <row r="54" spans="1:30" x14ac:dyDescent="0.25">
      <c r="A54" t="s">
        <v>106</v>
      </c>
      <c r="B54" t="s">
        <v>107</v>
      </c>
      <c r="C54" t="s">
        <v>108</v>
      </c>
      <c r="D54">
        <v>46029</v>
      </c>
      <c r="E54" t="s">
        <v>107</v>
      </c>
      <c r="F54" t="s">
        <v>109</v>
      </c>
      <c r="G54">
        <v>20</v>
      </c>
      <c r="H54">
        <v>2.173</v>
      </c>
      <c r="I54">
        <v>3.4000000000000002E-2</v>
      </c>
      <c r="J54" t="s">
        <v>60</v>
      </c>
      <c r="K54">
        <v>4172</v>
      </c>
      <c r="L54">
        <v>75.380200000000002</v>
      </c>
      <c r="M54">
        <v>0.49209000000000003</v>
      </c>
      <c r="N54">
        <f>INDEX(jkm!$H:$H,MATCH(J54,jkm!$J:$J,0),1)</f>
        <v>18.509</v>
      </c>
      <c r="O54" s="3">
        <f t="shared" ca="1" si="0"/>
        <v>88</v>
      </c>
      <c r="P54" s="3">
        <f t="shared" ca="1" si="2"/>
        <v>0.24109589041095891</v>
      </c>
      <c r="Q54" t="str" cm="1">
        <f t="array" ref="Q54:S54">_xlfn.TEXTSPLIT(J54,"/")</f>
        <v>6</v>
      </c>
      <c r="R54" s="1" t="str">
        <v>15</v>
      </c>
      <c r="S54" t="str">
        <v>2026</v>
      </c>
      <c r="T54" s="1">
        <f t="shared" si="3"/>
        <v>46188</v>
      </c>
      <c r="U54" s="19">
        <f t="shared" si="4"/>
        <v>3.6899999999999977</v>
      </c>
      <c r="V54" s="17">
        <f ca="1">(LN(N54/G54)+(L54/100)^2*P54/2)/(L54/100*SQRT(P54))</f>
        <v>-2.4255720947240021E-2</v>
      </c>
      <c r="W54" s="17">
        <f ca="1">V54-L54/100*SQRT(P54)</f>
        <v>-0.39438393293527202</v>
      </c>
      <c r="X54" s="17">
        <f ca="1">(LN(N54/G54)+P54*(U54/100+(L54/100)^2/2))/((L54/100*SQRT(P54)))</f>
        <v>-2.1962191987907366E-4</v>
      </c>
      <c r="Y54" s="17">
        <f ca="1">X54-N54/100*SQRT(R54)</f>
        <v>-0.71707010946940997</v>
      </c>
      <c r="Z54" s="20">
        <f ca="1">EXP(-P54)/(N54*L54/100*SQRT(P54))*_xlfn.NORM.S.DIST(X54,FALSE)</f>
        <v>4.5758132956168165E-2</v>
      </c>
      <c r="AA54" s="17">
        <f t="shared" ca="1" si="6"/>
        <v>2.8489268599126753E-2</v>
      </c>
      <c r="AB54" s="17"/>
      <c r="AC54" s="17"/>
      <c r="AD54" s="17"/>
    </row>
    <row r="55" spans="1:30" x14ac:dyDescent="0.25">
      <c r="A55" t="s">
        <v>106</v>
      </c>
      <c r="B55" t="s">
        <v>107</v>
      </c>
      <c r="C55" t="s">
        <v>108</v>
      </c>
      <c r="D55">
        <v>46029</v>
      </c>
      <c r="E55" t="s">
        <v>107</v>
      </c>
      <c r="F55" t="s">
        <v>109</v>
      </c>
      <c r="G55">
        <v>25</v>
      </c>
      <c r="H55">
        <v>0.96599999999999997</v>
      </c>
      <c r="I55">
        <v>-2.1999999999999999E-2</v>
      </c>
      <c r="J55" t="s">
        <v>60</v>
      </c>
      <c r="K55">
        <v>4172</v>
      </c>
      <c r="L55">
        <v>75.823800000000006</v>
      </c>
      <c r="M55">
        <v>0.27087</v>
      </c>
      <c r="N55">
        <f>INDEX(jkm!$H:$H,MATCH(J55,jkm!$J:$J,0),1)</f>
        <v>18.509</v>
      </c>
      <c r="O55" s="3">
        <f t="shared" ca="1" si="0"/>
        <v>88</v>
      </c>
      <c r="P55" s="3">
        <f t="shared" ca="1" si="2"/>
        <v>0.24109589041095891</v>
      </c>
      <c r="Q55" t="str" cm="1">
        <f t="array" ref="Q55:S55">_xlfn.TEXTSPLIT(J55,"/")</f>
        <v>6</v>
      </c>
      <c r="R55" s="1" t="str">
        <v>15</v>
      </c>
      <c r="S55" t="str">
        <v>2026</v>
      </c>
      <c r="T55" s="1">
        <f t="shared" si="3"/>
        <v>46188</v>
      </c>
      <c r="U55" s="19">
        <f t="shared" si="4"/>
        <v>3.6899999999999977</v>
      </c>
      <c r="V55" s="17">
        <f ca="1">(LN(N55/G55)+(L55/100)^2*P55/2)/(L55/100*SQRT(P55))</f>
        <v>-0.6212967096866181</v>
      </c>
      <c r="W55" s="17">
        <f ca="1">V55-L55/100*SQRT(P55)</f>
        <v>-0.9936030649382378</v>
      </c>
      <c r="X55" s="17">
        <f ca="1">(LN(N55/G55)+P55*(U55/100+(L55/100)^2/2))/((L55/100*SQRT(P55)))</f>
        <v>-0.59740123159263869</v>
      </c>
      <c r="Y55" s="17">
        <f ca="1">X55-N55/100*SQRT(R55)</f>
        <v>-1.3142517191421694</v>
      </c>
      <c r="Z55" s="20">
        <f ca="1">EXP(-P55)/(N55*L55/100*SQRT(P55))*_xlfn.NORM.S.DIST(X55,FALSE)</f>
        <v>3.8055966062188105E-2</v>
      </c>
      <c r="AA55" s="17">
        <f t="shared" ca="1" si="6"/>
        <v>2.3833290989040305E-2</v>
      </c>
      <c r="AB55" s="17"/>
      <c r="AC55" s="17"/>
      <c r="AD55" s="17"/>
    </row>
    <row r="56" spans="1:30" x14ac:dyDescent="0.25">
      <c r="A56" t="s">
        <v>106</v>
      </c>
      <c r="B56" t="s">
        <v>107</v>
      </c>
      <c r="C56" t="s">
        <v>108</v>
      </c>
      <c r="D56">
        <v>46029</v>
      </c>
      <c r="E56" t="s">
        <v>107</v>
      </c>
      <c r="F56" t="s">
        <v>110</v>
      </c>
      <c r="G56">
        <v>5</v>
      </c>
      <c r="H56">
        <v>1E-3</v>
      </c>
      <c r="I56">
        <v>0</v>
      </c>
      <c r="J56" t="s">
        <v>60</v>
      </c>
      <c r="K56">
        <v>4172</v>
      </c>
      <c r="L56">
        <v>75.207599999999999</v>
      </c>
      <c r="M56">
        <v>-1.1E-4</v>
      </c>
      <c r="N56">
        <f>INDEX(jkm!$H:$H,MATCH(J56,jkm!$J:$J,0),1)</f>
        <v>18.509</v>
      </c>
      <c r="O56" s="3">
        <f t="shared" ca="1" si="0"/>
        <v>88</v>
      </c>
      <c r="P56" s="3">
        <f t="shared" ca="1" si="2"/>
        <v>0.24109589041095891</v>
      </c>
      <c r="Q56" t="str" cm="1">
        <f t="array" ref="Q56:S56">_xlfn.TEXTSPLIT(J56,"/")</f>
        <v>6</v>
      </c>
      <c r="R56" s="1" t="str">
        <v>15</v>
      </c>
      <c r="S56" t="str">
        <v>2026</v>
      </c>
      <c r="T56" s="1">
        <f t="shared" si="3"/>
        <v>46188</v>
      </c>
      <c r="U56" s="19">
        <f t="shared" si="4"/>
        <v>3.6899999999999977</v>
      </c>
      <c r="V56" s="17">
        <f ca="1">(LN(N56/G56)+(L56/100)^2*P56/2)/(L56/100*SQRT(P56))</f>
        <v>3.7288795189168082</v>
      </c>
      <c r="W56" s="17">
        <f ca="1">V56-L56/100*SQRT(P56)</f>
        <v>3.3595987991003167</v>
      </c>
      <c r="X56" s="17">
        <f ca="1">(LN(N56/G56)+P56*(U56/100+(L56/100)^2/2))/((L56/100*SQRT(P56)))</f>
        <v>3.7529707803305792</v>
      </c>
      <c r="Y56" s="17">
        <f ca="1">X56-N56/100*SQRT(R56)</f>
        <v>3.0361202927810482</v>
      </c>
      <c r="Z56" s="20">
        <f ca="1">EXP(-P56)/(N56*L56/100*SQRT(P56))*_xlfn.NORM.S.DIST(X56,FALSE)</f>
        <v>4.0085808179182661E-5</v>
      </c>
      <c r="AA56" s="17">
        <f t="shared" ca="1" si="6"/>
        <v>2.4900501406507018E-5</v>
      </c>
      <c r="AB56" s="17"/>
      <c r="AC56" s="17"/>
      <c r="AD56" s="17"/>
    </row>
    <row r="57" spans="1:30" x14ac:dyDescent="0.25">
      <c r="A57" t="s">
        <v>106</v>
      </c>
      <c r="B57" t="s">
        <v>107</v>
      </c>
      <c r="C57" t="s">
        <v>108</v>
      </c>
      <c r="D57">
        <v>46029</v>
      </c>
      <c r="E57" t="s">
        <v>107</v>
      </c>
      <c r="F57" t="s">
        <v>110</v>
      </c>
      <c r="G57">
        <v>8</v>
      </c>
      <c r="H57">
        <v>1.9E-2</v>
      </c>
      <c r="I57">
        <v>-1.2999999999999999E-2</v>
      </c>
      <c r="J57" t="s">
        <v>60</v>
      </c>
      <c r="K57">
        <v>4172</v>
      </c>
      <c r="L57">
        <v>75.213200000000001</v>
      </c>
      <c r="M57">
        <v>-7.4900000000000001E-3</v>
      </c>
      <c r="N57">
        <f>INDEX(jkm!$H:$H,MATCH(J57,jkm!$J:$J,0),1)</f>
        <v>18.509</v>
      </c>
      <c r="O57" s="3">
        <f t="shared" ca="1" si="0"/>
        <v>88</v>
      </c>
      <c r="P57" s="3">
        <f t="shared" ca="1" si="2"/>
        <v>0.24109589041095891</v>
      </c>
      <c r="Q57" t="str" cm="1">
        <f t="array" ref="Q57:S57">_xlfn.TEXTSPLIT(J57,"/")</f>
        <v>6</v>
      </c>
      <c r="R57" s="1" t="str">
        <v>15</v>
      </c>
      <c r="S57" t="str">
        <v>2026</v>
      </c>
      <c r="T57" s="1">
        <f t="shared" si="3"/>
        <v>46188</v>
      </c>
      <c r="U57" s="19">
        <f t="shared" si="4"/>
        <v>3.6899999999999977</v>
      </c>
      <c r="V57" s="17">
        <f ca="1">(LN(N57/G57)+(L57/100)^2*P57/2)/(L57/100*SQRT(P57))</f>
        <v>2.4559698298408779</v>
      </c>
      <c r="W57" s="17">
        <f ca="1">V57-L57/100*SQRT(P57)</f>
        <v>2.0866616131752513</v>
      </c>
      <c r="X57" s="17">
        <f ca="1">(LN(N57/G57)+P57*(U57/100+(L57/100)^2/2))/((L57/100*SQRT(P57)))</f>
        <v>2.4800592975393974</v>
      </c>
      <c r="Y57" s="17">
        <f ca="1">X57-N57/100*SQRT(R57)</f>
        <v>1.7632088099898664</v>
      </c>
      <c r="Z57" s="20">
        <f ca="1">EXP(-P57)/(N57*L57/100*SQRT(P57))*_xlfn.NORM.S.DIST(X57,FALSE)</f>
        <v>2.1175090120261644E-3</v>
      </c>
      <c r="AA57" s="17">
        <f t="shared" ca="1" si="6"/>
        <v>1.3154521415951381E-3</v>
      </c>
      <c r="AB57" s="17"/>
      <c r="AC57" s="17"/>
      <c r="AD57" s="17"/>
    </row>
    <row r="58" spans="1:30" x14ac:dyDescent="0.25">
      <c r="A58" t="s">
        <v>106</v>
      </c>
      <c r="B58" t="s">
        <v>107</v>
      </c>
      <c r="C58" t="s">
        <v>108</v>
      </c>
      <c r="D58">
        <v>46029</v>
      </c>
      <c r="E58" t="s">
        <v>107</v>
      </c>
      <c r="F58" t="s">
        <v>110</v>
      </c>
      <c r="G58">
        <v>8.5</v>
      </c>
      <c r="H58">
        <v>3.1E-2</v>
      </c>
      <c r="I58">
        <v>-1.9E-2</v>
      </c>
      <c r="J58" t="s">
        <v>60</v>
      </c>
      <c r="K58">
        <v>4172</v>
      </c>
      <c r="L58">
        <v>75.214100000000002</v>
      </c>
      <c r="M58">
        <v>-1.159E-2</v>
      </c>
      <c r="N58">
        <f>INDEX(jkm!$H:$H,MATCH(J58,jkm!$J:$J,0),1)</f>
        <v>18.509</v>
      </c>
      <c r="O58" s="3">
        <f t="shared" ca="1" si="0"/>
        <v>88</v>
      </c>
      <c r="P58" s="3">
        <f t="shared" ca="1" si="2"/>
        <v>0.24109589041095891</v>
      </c>
      <c r="Q58" t="str" cm="1">
        <f t="array" ref="Q58:S58">_xlfn.TEXTSPLIT(J58,"/")</f>
        <v>6</v>
      </c>
      <c r="R58" s="1" t="str">
        <v>15</v>
      </c>
      <c r="S58" t="str">
        <v>2026</v>
      </c>
      <c r="T58" s="1">
        <f t="shared" si="3"/>
        <v>46188</v>
      </c>
      <c r="U58" s="19">
        <f t="shared" si="4"/>
        <v>3.6899999999999977</v>
      </c>
      <c r="V58" s="17">
        <f ca="1">(LN(N58/G58)+(L58/100)^2*P58/2)/(L58/100*SQRT(P58))</f>
        <v>2.2917895739516805</v>
      </c>
      <c r="W58" s="17">
        <f ca="1">V58-L58/100*SQRT(P58)</f>
        <v>1.9224769381495861</v>
      </c>
      <c r="X58" s="17">
        <f ca="1">(LN(N58/G58)+P58*(U58/100+(L58/100)^2/2))/((L58/100*SQRT(P58)))</f>
        <v>2.3158787533994469</v>
      </c>
      <c r="Y58" s="17">
        <f ca="1">X58-N58/100*SQRT(R58)</f>
        <v>1.599028265849916</v>
      </c>
      <c r="Z58" s="20">
        <f ca="1">EXP(-P58)/(N58*L58/100*SQRT(P58))*_xlfn.NORM.S.DIST(X58,FALSE)</f>
        <v>3.1390753970769393E-3</v>
      </c>
      <c r="AA58" s="17">
        <f t="shared" ca="1" si="6"/>
        <v>1.9500993107671228E-3</v>
      </c>
      <c r="AB58" s="17"/>
      <c r="AC58" s="17"/>
      <c r="AD58" s="17"/>
    </row>
    <row r="59" spans="1:30" x14ac:dyDescent="0.25">
      <c r="A59" t="s">
        <v>106</v>
      </c>
      <c r="B59" t="s">
        <v>107</v>
      </c>
      <c r="C59" t="s">
        <v>108</v>
      </c>
      <c r="D59">
        <v>46029</v>
      </c>
      <c r="E59" t="s">
        <v>107</v>
      </c>
      <c r="F59" t="s">
        <v>110</v>
      </c>
      <c r="G59">
        <v>9</v>
      </c>
      <c r="H59">
        <v>4.9000000000000002E-2</v>
      </c>
      <c r="I59">
        <v>-2.5999999999999999E-2</v>
      </c>
      <c r="J59" t="s">
        <v>60</v>
      </c>
      <c r="K59">
        <v>4172</v>
      </c>
      <c r="L59">
        <v>75.214699999999993</v>
      </c>
      <c r="M59">
        <v>-1.712E-2</v>
      </c>
      <c r="N59">
        <f>INDEX(jkm!$H:$H,MATCH(J59,jkm!$J:$J,0),1)</f>
        <v>18.509</v>
      </c>
      <c r="O59" s="3">
        <f t="shared" ca="1" si="0"/>
        <v>88</v>
      </c>
      <c r="P59" s="3">
        <f t="shared" ca="1" si="2"/>
        <v>0.24109589041095891</v>
      </c>
      <c r="Q59" t="str" cm="1">
        <f t="array" ref="Q59:S59">_xlfn.TEXTSPLIT(J59,"/")</f>
        <v>6</v>
      </c>
      <c r="R59" s="1" t="str">
        <v>15</v>
      </c>
      <c r="S59" t="str">
        <v>2026</v>
      </c>
      <c r="T59" s="1">
        <f t="shared" si="3"/>
        <v>46188</v>
      </c>
      <c r="U59" s="19">
        <f t="shared" si="4"/>
        <v>3.6899999999999977</v>
      </c>
      <c r="V59" s="17">
        <f ca="1">(LN(N59/G59)+(L59/100)^2*P59/2)/(L59/100*SQRT(P59))</f>
        <v>2.1370057510364489</v>
      </c>
      <c r="W59" s="17">
        <f ca="1">V59-L59/100*SQRT(P59)</f>
        <v>1.7676901691433757</v>
      </c>
      <c r="X59" s="17">
        <f ca="1">(LN(N59/G59)+P59*(U59/100+(L59/100)^2/2))/((L59/100*SQRT(P59)))</f>
        <v>2.1610947383208798</v>
      </c>
      <c r="Y59" s="17">
        <f ca="1">X59-N59/100*SQRT(R59)</f>
        <v>1.4442442507713489</v>
      </c>
      <c r="Z59" s="20">
        <f ca="1">EXP(-P59)/(N59*L59/100*SQRT(P59))*_xlfn.NORM.S.DIST(X59,FALSE)</f>
        <v>4.4388808597508201E-3</v>
      </c>
      <c r="AA59" s="17">
        <f t="shared" ca="1" si="6"/>
        <v>2.7576042188037254E-3</v>
      </c>
      <c r="AB59" s="17"/>
      <c r="AC59" s="17"/>
      <c r="AD59" s="17"/>
    </row>
    <row r="60" spans="1:30" x14ac:dyDescent="0.25">
      <c r="A60" t="s">
        <v>106</v>
      </c>
      <c r="B60" t="s">
        <v>107</v>
      </c>
      <c r="C60" t="s">
        <v>108</v>
      </c>
      <c r="D60">
        <v>46029</v>
      </c>
      <c r="E60" t="s">
        <v>107</v>
      </c>
      <c r="F60" t="s">
        <v>110</v>
      </c>
      <c r="G60">
        <v>9.5</v>
      </c>
      <c r="H60">
        <v>7.1999999999999995E-2</v>
      </c>
      <c r="I60">
        <v>-3.5000000000000003E-2</v>
      </c>
      <c r="J60" t="s">
        <v>60</v>
      </c>
      <c r="K60">
        <v>4172</v>
      </c>
      <c r="L60">
        <v>75.215900000000005</v>
      </c>
      <c r="M60">
        <v>-2.4279999999999999E-2</v>
      </c>
      <c r="N60">
        <f>INDEX(jkm!$H:$H,MATCH(J60,jkm!$J:$J,0),1)</f>
        <v>18.509</v>
      </c>
      <c r="O60" s="3">
        <f t="shared" ca="1" si="0"/>
        <v>88</v>
      </c>
      <c r="P60" s="3">
        <f t="shared" ca="1" si="2"/>
        <v>0.24109589041095891</v>
      </c>
      <c r="Q60" t="str" cm="1">
        <f t="array" ref="Q60:S60">_xlfn.TEXTSPLIT(J60,"/")</f>
        <v>6</v>
      </c>
      <c r="R60" s="1" t="str">
        <v>15</v>
      </c>
      <c r="S60" t="str">
        <v>2026</v>
      </c>
      <c r="T60" s="1">
        <f t="shared" si="3"/>
        <v>46188</v>
      </c>
      <c r="U60" s="19">
        <f t="shared" si="4"/>
        <v>3.6899999999999977</v>
      </c>
      <c r="V60" s="17">
        <f ca="1">(LN(N60/G60)+(L60/100)^2*P60/2)/(L60/100*SQRT(P60))</f>
        <v>1.9905814551287282</v>
      </c>
      <c r="W60" s="17">
        <f ca="1">V60-L60/100*SQRT(P60)</f>
        <v>1.6212599810536976</v>
      </c>
      <c r="X60" s="17">
        <f ca="1">(LN(N60/G60)+P60*(U60/100+(L60/100)^2/2))/((L60/100*SQRT(P60)))</f>
        <v>2.0146700580956844</v>
      </c>
      <c r="Y60" s="17">
        <f ca="1">X60-N60/100*SQRT(R60)</f>
        <v>1.2978195705461535</v>
      </c>
      <c r="Z60" s="20">
        <f ca="1">EXP(-P60)/(N60*L60/100*SQRT(P60))*_xlfn.NORM.S.DIST(X60,FALSE)</f>
        <v>6.0261229536726626E-3</v>
      </c>
      <c r="AA60" s="17">
        <f t="shared" ca="1" si="6"/>
        <v>3.7437200341176213E-3</v>
      </c>
      <c r="AB60" s="17"/>
      <c r="AC60" s="17"/>
      <c r="AD60" s="17"/>
    </row>
    <row r="61" spans="1:30" x14ac:dyDescent="0.25">
      <c r="A61" t="s">
        <v>106</v>
      </c>
      <c r="B61" t="s">
        <v>107</v>
      </c>
      <c r="C61" t="s">
        <v>108</v>
      </c>
      <c r="D61">
        <v>46029</v>
      </c>
      <c r="E61" t="s">
        <v>107</v>
      </c>
      <c r="F61" t="s">
        <v>110</v>
      </c>
      <c r="G61">
        <v>10</v>
      </c>
      <c r="H61">
        <v>0.104</v>
      </c>
      <c r="I61">
        <v>-4.5999999999999999E-2</v>
      </c>
      <c r="J61" t="s">
        <v>60</v>
      </c>
      <c r="K61">
        <v>4172</v>
      </c>
      <c r="L61">
        <v>75.2166</v>
      </c>
      <c r="M61">
        <v>-3.3239999999999999E-2</v>
      </c>
      <c r="N61">
        <f>INDEX(jkm!$H:$H,MATCH(J61,jkm!$J:$J,0),1)</f>
        <v>18.509</v>
      </c>
      <c r="O61" s="3">
        <f t="shared" ca="1" si="0"/>
        <v>88</v>
      </c>
      <c r="P61" s="3">
        <f t="shared" ca="1" si="2"/>
        <v>0.24109589041095891</v>
      </c>
      <c r="Q61" t="str" cm="1">
        <f t="array" ref="Q61:S61">_xlfn.TEXTSPLIT(J61,"/")</f>
        <v>6</v>
      </c>
      <c r="R61" s="1" t="str">
        <v>15</v>
      </c>
      <c r="S61" t="str">
        <v>2026</v>
      </c>
      <c r="T61" s="1">
        <f t="shared" si="3"/>
        <v>46188</v>
      </c>
      <c r="U61" s="19">
        <f t="shared" si="4"/>
        <v>3.6899999999999977</v>
      </c>
      <c r="V61" s="17">
        <f ca="1">(LN(N61/G61)+(L61/100)^2*P61/2)/(L61/100*SQRT(P61))</f>
        <v>1.8516824389204301</v>
      </c>
      <c r="W61" s="17">
        <f ca="1">V61-L61/100*SQRT(P61)</f>
        <v>1.4823575277392578</v>
      </c>
      <c r="X61" s="17">
        <f ca="1">(LN(N61/G61)+P61*(U61/100+(L61/100)^2/2))/((L61/100*SQRT(P61)))</f>
        <v>1.8757708177078556</v>
      </c>
      <c r="Y61" s="17">
        <f ca="1">X61-N61/100*SQRT(R61)</f>
        <v>1.1589203301583249</v>
      </c>
      <c r="Z61" s="20">
        <f ca="1">EXP(-P61)/(N61*L61/100*SQRT(P61))*_xlfn.NORM.S.DIST(X61,FALSE)</f>
        <v>7.8954305368751816E-3</v>
      </c>
      <c r="AA61" s="17">
        <f t="shared" ca="1" si="6"/>
        <v>4.9050702734639001E-3</v>
      </c>
      <c r="AB61" s="17"/>
      <c r="AC61" s="17"/>
      <c r="AD61" s="17"/>
    </row>
    <row r="62" spans="1:30" x14ac:dyDescent="0.25">
      <c r="A62" t="s">
        <v>106</v>
      </c>
      <c r="B62" t="s">
        <v>107</v>
      </c>
      <c r="C62" t="s">
        <v>108</v>
      </c>
      <c r="D62">
        <v>46029</v>
      </c>
      <c r="E62" t="s">
        <v>107</v>
      </c>
      <c r="F62" t="s">
        <v>110</v>
      </c>
      <c r="G62">
        <v>12.5</v>
      </c>
      <c r="H62">
        <v>0.42399999999999999</v>
      </c>
      <c r="I62">
        <v>-0.11799999999999999</v>
      </c>
      <c r="J62" t="s">
        <v>60</v>
      </c>
      <c r="K62">
        <v>4172</v>
      </c>
      <c r="L62">
        <v>75.221199999999996</v>
      </c>
      <c r="M62">
        <v>-0.10792</v>
      </c>
      <c r="N62">
        <f>INDEX(jkm!$H:$H,MATCH(J62,jkm!$J:$J,0),1)</f>
        <v>18.509</v>
      </c>
      <c r="O62" s="3">
        <f t="shared" ca="1" si="0"/>
        <v>88</v>
      </c>
      <c r="P62" s="3">
        <f t="shared" ca="1" si="2"/>
        <v>0.24109589041095891</v>
      </c>
      <c r="Q62" t="str" cm="1">
        <f t="array" ref="Q62:S62">_xlfn.TEXTSPLIT(J62,"/")</f>
        <v>6</v>
      </c>
      <c r="R62" s="1" t="str">
        <v>15</v>
      </c>
      <c r="S62" t="str">
        <v>2026</v>
      </c>
      <c r="T62" s="1">
        <f t="shared" si="3"/>
        <v>46188</v>
      </c>
      <c r="U62" s="19">
        <f t="shared" si="4"/>
        <v>3.6899999999999977</v>
      </c>
      <c r="V62" s="17">
        <f ca="1">(LN(N62/G62)+(L62/100)^2*P62/2)/(L62/100*SQRT(P62))</f>
        <v>1.247435668867825</v>
      </c>
      <c r="W62" s="17">
        <f ca="1">V62-L62/100*SQRT(P62)</f>
        <v>0.87808817098914926</v>
      </c>
      <c r="X62" s="17">
        <f ca="1">(LN(N62/G62)+P62*(U62/100+(L62/100)^2/2))/((L62/100*SQRT(P62)))</f>
        <v>1.2715225745792771</v>
      </c>
      <c r="Y62" s="17">
        <f ca="1">X62-N62/100*SQRT(R62)</f>
        <v>0.55467208702974624</v>
      </c>
      <c r="Z62" s="20">
        <f ca="1">EXP(-P62)/(N62*L62/100*SQRT(P62))*_xlfn.NORM.S.DIST(X62,FALSE)</f>
        <v>2.0431876925986379E-2</v>
      </c>
      <c r="AA62" s="17">
        <f t="shared" ca="1" si="6"/>
        <v>1.2694167947608243E-2</v>
      </c>
      <c r="AB62" s="17"/>
      <c r="AC62" s="17"/>
      <c r="AD62" s="17"/>
    </row>
    <row r="63" spans="1:30" x14ac:dyDescent="0.25">
      <c r="A63" t="s">
        <v>106</v>
      </c>
      <c r="B63" t="s">
        <v>107</v>
      </c>
      <c r="C63" t="s">
        <v>108</v>
      </c>
      <c r="D63">
        <v>46029</v>
      </c>
      <c r="E63" t="s">
        <v>107</v>
      </c>
      <c r="F63" t="s">
        <v>110</v>
      </c>
      <c r="G63">
        <v>13</v>
      </c>
      <c r="H63">
        <v>0.52900000000000003</v>
      </c>
      <c r="I63">
        <v>-0.13500000000000001</v>
      </c>
      <c r="J63" t="s">
        <v>60</v>
      </c>
      <c r="K63">
        <v>4172</v>
      </c>
      <c r="L63">
        <v>75.222099999999998</v>
      </c>
      <c r="M63">
        <v>-0.12867999999999999</v>
      </c>
      <c r="N63">
        <f>INDEX(jkm!$H:$H,MATCH(J63,jkm!$J:$J,0),1)</f>
        <v>18.509</v>
      </c>
      <c r="O63" s="3">
        <f t="shared" ca="1" si="0"/>
        <v>88</v>
      </c>
      <c r="P63" s="3">
        <f t="shared" ca="1" si="2"/>
        <v>0.24109589041095891</v>
      </c>
      <c r="Q63" t="str" cm="1">
        <f t="array" ref="Q63:S63">_xlfn.TEXTSPLIT(J63,"/")</f>
        <v>6</v>
      </c>
      <c r="R63" s="1" t="str">
        <v>15</v>
      </c>
      <c r="S63" t="str">
        <v>2026</v>
      </c>
      <c r="T63" s="1">
        <f t="shared" si="3"/>
        <v>46188</v>
      </c>
      <c r="U63" s="19">
        <f t="shared" si="4"/>
        <v>3.6899999999999977</v>
      </c>
      <c r="V63" s="17">
        <f ca="1">(LN(N63/G63)+(L63/100)^2*P63/2)/(L63/100*SQRT(P63))</f>
        <v>1.1412372393267995</v>
      </c>
      <c r="W63" s="17">
        <f ca="1">V63-L63/100*SQRT(P63)</f>
        <v>0.77188532231165574</v>
      </c>
      <c r="X63" s="17">
        <f ca="1">(LN(N63/G63)+P63*(U63/100+(L63/100)^2/2))/((L63/100*SQRT(P63)))</f>
        <v>1.165323856848808</v>
      </c>
      <c r="Y63" s="17">
        <f ca="1">X63-N63/100*SQRT(R63)</f>
        <v>0.44847336929927717</v>
      </c>
      <c r="Z63" s="20">
        <f ca="1">EXP(-P63)/(N63*L63/100*SQRT(P63))*_xlfn.NORM.S.DIST(X63,FALSE)</f>
        <v>2.3254049623062958E-2</v>
      </c>
      <c r="AA63" s="17">
        <f t="shared" ca="1" si="6"/>
        <v>1.4447734993685214E-2</v>
      </c>
      <c r="AB63" s="17"/>
      <c r="AC63" s="17"/>
      <c r="AD63" s="17"/>
    </row>
    <row r="64" spans="1:30" x14ac:dyDescent="0.25">
      <c r="A64" t="s">
        <v>106</v>
      </c>
      <c r="B64" t="s">
        <v>107</v>
      </c>
      <c r="C64" t="s">
        <v>108</v>
      </c>
      <c r="D64">
        <v>46029</v>
      </c>
      <c r="E64" t="s">
        <v>107</v>
      </c>
      <c r="F64" t="s">
        <v>110</v>
      </c>
      <c r="G64">
        <v>15</v>
      </c>
      <c r="H64">
        <v>1.105</v>
      </c>
      <c r="I64">
        <v>-0.20499999999999999</v>
      </c>
      <c r="J64" t="s">
        <v>60</v>
      </c>
      <c r="K64">
        <v>4172</v>
      </c>
      <c r="L64">
        <v>75.225700000000003</v>
      </c>
      <c r="M64">
        <v>-0.22678000000000001</v>
      </c>
      <c r="N64">
        <f>INDEX(jkm!$H:$H,MATCH(J64,jkm!$J:$J,0),1)</f>
        <v>18.509</v>
      </c>
      <c r="O64" s="3">
        <f t="shared" ca="1" si="0"/>
        <v>88</v>
      </c>
      <c r="P64" s="3">
        <f t="shared" ca="1" si="2"/>
        <v>0.24109589041095891</v>
      </c>
      <c r="Q64" t="str" cm="1">
        <f t="array" ref="Q64:S64">_xlfn.TEXTSPLIT(J64,"/")</f>
        <v>6</v>
      </c>
      <c r="R64" s="1" t="str">
        <v>15</v>
      </c>
      <c r="S64" t="str">
        <v>2026</v>
      </c>
      <c r="T64" s="1">
        <f t="shared" si="3"/>
        <v>46188</v>
      </c>
      <c r="U64" s="19">
        <f t="shared" si="4"/>
        <v>3.6899999999999977</v>
      </c>
      <c r="V64" s="17">
        <f ca="1">(LN(N64/G64)+(L64/100)^2*P64/2)/(L64/100*SQRT(P64))</f>
        <v>0.75378117839061354</v>
      </c>
      <c r="W64" s="17">
        <f ca="1">V64-L64/100*SQRT(P64)</f>
        <v>0.38441158482959753</v>
      </c>
      <c r="X64" s="17">
        <f ca="1">(LN(N64/G64)+P64*(U64/100+(L64/100)^2/2))/((L64/100*SQRT(P64)))</f>
        <v>0.77786664322380583</v>
      </c>
      <c r="Y64" s="17">
        <f ca="1">X64-N64/100*SQRT(R64)</f>
        <v>6.1016155674274986E-2</v>
      </c>
      <c r="Z64" s="20">
        <f ca="1">EXP(-P64)/(N64*L64/100*SQRT(P64))*_xlfn.NORM.S.DIST(X64,FALSE)</f>
        <v>3.3881970370318246E-2</v>
      </c>
      <c r="AA64" s="17">
        <f t="shared" ca="1" si="6"/>
        <v>2.1051866852608937E-2</v>
      </c>
      <c r="AB64" s="17"/>
      <c r="AC64" s="17"/>
      <c r="AD64" s="17"/>
    </row>
    <row r="65" spans="1:30" x14ac:dyDescent="0.25">
      <c r="A65" t="s">
        <v>106</v>
      </c>
      <c r="B65" t="s">
        <v>107</v>
      </c>
      <c r="C65" t="s">
        <v>108</v>
      </c>
      <c r="D65">
        <v>46029</v>
      </c>
      <c r="E65" t="s">
        <v>107</v>
      </c>
      <c r="F65" t="s">
        <v>110</v>
      </c>
      <c r="G65">
        <v>17</v>
      </c>
      <c r="H65">
        <v>1.9430000000000001</v>
      </c>
      <c r="J65" t="s">
        <v>60</v>
      </c>
      <c r="K65">
        <v>4172</v>
      </c>
      <c r="L65">
        <v>75.230099999999993</v>
      </c>
      <c r="M65">
        <v>-0.33928000000000003</v>
      </c>
      <c r="N65">
        <f>INDEX(jkm!$H:$H,MATCH(J65,jkm!$J:$J,0),1)</f>
        <v>18.509</v>
      </c>
      <c r="O65" s="3">
        <f t="shared" ca="1" si="0"/>
        <v>88</v>
      </c>
      <c r="P65" s="3">
        <f t="shared" ca="1" si="2"/>
        <v>0.24109589041095891</v>
      </c>
      <c r="Q65" t="str" cm="1">
        <f t="array" ref="Q65:S65">_xlfn.TEXTSPLIT(J65,"/")</f>
        <v>6</v>
      </c>
      <c r="R65" s="1" t="str">
        <v>15</v>
      </c>
      <c r="S65" t="str">
        <v>2026</v>
      </c>
      <c r="T65" s="1">
        <f t="shared" si="3"/>
        <v>46188</v>
      </c>
      <c r="U65" s="19">
        <f t="shared" si="4"/>
        <v>3.6899999999999977</v>
      </c>
      <c r="V65" s="17">
        <f ca="1">(LN(N65/G65)+(L65/100)^2*P65/2)/(L65/100*SQRT(P65))</f>
        <v>0.41492240642916234</v>
      </c>
      <c r="W65" s="17">
        <f ca="1">V65-L65/100*SQRT(P65)</f>
        <v>4.5531208200969286E-2</v>
      </c>
      <c r="X65" s="17">
        <f ca="1">(LN(N65/G65)+P65*(U65/100+(L65/100)^2/2))/((L65/100*SQRT(P65)))</f>
        <v>0.43900646257028503</v>
      </c>
      <c r="Y65" s="17">
        <f ca="1">X65-N65/100*SQRT(R65)</f>
        <v>-0.27784402497924582</v>
      </c>
      <c r="Z65" s="20">
        <f ca="1">EXP(-P65)/(N65*L65/100*SQRT(P65))*_xlfn.NORM.S.DIST(X65,FALSE)</f>
        <v>4.1637427267467518E-2</v>
      </c>
      <c r="AA65" s="17">
        <f t="shared" ca="1" si="6"/>
        <v>2.5872073998601617E-2</v>
      </c>
      <c r="AB65" s="17"/>
      <c r="AC65" s="17"/>
      <c r="AD65" s="17"/>
    </row>
    <row r="66" spans="1:30" x14ac:dyDescent="0.25">
      <c r="A66" t="s">
        <v>106</v>
      </c>
      <c r="B66" t="s">
        <v>107</v>
      </c>
      <c r="C66" t="s">
        <v>108</v>
      </c>
      <c r="D66">
        <v>46029</v>
      </c>
      <c r="E66" t="s">
        <v>107</v>
      </c>
      <c r="F66" t="s">
        <v>110</v>
      </c>
      <c r="G66">
        <v>20</v>
      </c>
      <c r="H66">
        <v>3.6640000000000001</v>
      </c>
      <c r="I66">
        <v>-0.34499999999999997</v>
      </c>
      <c r="J66" t="s">
        <v>60</v>
      </c>
      <c r="K66">
        <v>4172</v>
      </c>
      <c r="L66">
        <v>75.380200000000002</v>
      </c>
      <c r="M66">
        <v>-0.50790999999999997</v>
      </c>
      <c r="N66">
        <f>INDEX(jkm!$H:$H,MATCH(J66,jkm!$J:$J,0),1)</f>
        <v>18.509</v>
      </c>
      <c r="O66" s="3">
        <f t="shared" ref="O66:O129" ca="1" si="7">T66-TODAY()</f>
        <v>88</v>
      </c>
      <c r="P66" s="3">
        <f t="shared" ca="1" si="2"/>
        <v>0.24109589041095891</v>
      </c>
      <c r="Q66" t="str" cm="1">
        <f t="array" ref="Q66:S66">_xlfn.TEXTSPLIT(J66,"/")</f>
        <v>6</v>
      </c>
      <c r="R66" s="1" t="str">
        <v>15</v>
      </c>
      <c r="S66" t="str">
        <v>2026</v>
      </c>
      <c r="T66" s="1">
        <f t="shared" si="3"/>
        <v>46188</v>
      </c>
      <c r="U66" s="19">
        <f t="shared" si="4"/>
        <v>3.6899999999999977</v>
      </c>
      <c r="V66" s="17">
        <f ca="1">(LN(N66/G66)+(L66/100)^2*P66/2)/(L66/100*SQRT(P66))</f>
        <v>-2.4255720947240021E-2</v>
      </c>
      <c r="W66" s="17">
        <f ca="1">V66-L66/100*SQRT(P66)</f>
        <v>-0.39438393293527202</v>
      </c>
      <c r="X66" s="17">
        <f ca="1">(LN(N66/G66)+P66*(U66/100+(L66/100)^2/2))/((L66/100*SQRT(P66)))</f>
        <v>-2.1962191987907366E-4</v>
      </c>
      <c r="Y66" s="17">
        <f ca="1">X66-N66/100*SQRT(R66)</f>
        <v>-0.71707010946940997</v>
      </c>
      <c r="Z66" s="20">
        <f ca="1">EXP(-P66)/(N66*L66/100*SQRT(P66))*_xlfn.NORM.S.DIST(X66,FALSE)</f>
        <v>4.5758132956168165E-2</v>
      </c>
      <c r="AA66" s="17">
        <f t="shared" ca="1" si="6"/>
        <v>2.8489268599126753E-2</v>
      </c>
      <c r="AB66" s="17"/>
      <c r="AC66" s="17"/>
      <c r="AD66" s="17"/>
    </row>
    <row r="67" spans="1:30" x14ac:dyDescent="0.25">
      <c r="A67" t="s">
        <v>106</v>
      </c>
      <c r="B67" t="s">
        <v>107</v>
      </c>
      <c r="C67" t="s">
        <v>108</v>
      </c>
      <c r="D67">
        <v>46029</v>
      </c>
      <c r="E67" t="s">
        <v>107</v>
      </c>
      <c r="F67" t="s">
        <v>110</v>
      </c>
      <c r="G67">
        <v>25</v>
      </c>
      <c r="H67">
        <v>7.4569999999999999</v>
      </c>
      <c r="I67">
        <v>-0.40100000000000002</v>
      </c>
      <c r="J67" t="s">
        <v>60</v>
      </c>
      <c r="K67">
        <v>4172</v>
      </c>
      <c r="L67">
        <v>75.823800000000006</v>
      </c>
      <c r="M67">
        <v>-0.72912999999999994</v>
      </c>
      <c r="N67">
        <f>INDEX(jkm!$H:$H,MATCH(J67,jkm!$J:$J,0),1)</f>
        <v>18.509</v>
      </c>
      <c r="O67" s="3">
        <f t="shared" ca="1" si="7"/>
        <v>88</v>
      </c>
      <c r="P67" s="3">
        <f t="shared" ref="P67:P130" ca="1" si="8">O67/365</f>
        <v>0.24109589041095891</v>
      </c>
      <c r="Q67" t="str" cm="1">
        <f t="array" ref="Q67:S67">_xlfn.TEXTSPLIT(J67,"/")</f>
        <v>6</v>
      </c>
      <c r="R67" s="1" t="str">
        <v>15</v>
      </c>
      <c r="S67" t="str">
        <v>2026</v>
      </c>
      <c r="T67" s="1">
        <f t="shared" ref="T67:T130" si="9">DATE(S67,Q67,R67)</f>
        <v>46188</v>
      </c>
      <c r="U67" s="19">
        <f t="shared" si="4"/>
        <v>3.6899999999999977</v>
      </c>
      <c r="V67" s="17">
        <f ca="1">(LN(N67/G67)+(L67/100)^2*P67/2)/(L67/100*SQRT(P67))</f>
        <v>-0.6212967096866181</v>
      </c>
      <c r="W67" s="17">
        <f ca="1">V67-L67/100*SQRT(P67)</f>
        <v>-0.9936030649382378</v>
      </c>
      <c r="X67" s="17">
        <f ca="1">(LN(N67/G67)+P67*(U67/100+(L67/100)^2/2))/((L67/100*SQRT(P67)))</f>
        <v>-0.59740123159263869</v>
      </c>
      <c r="Y67" s="17">
        <f ca="1">X67-N67/100*SQRT(R67)</f>
        <v>-1.3142517191421694</v>
      </c>
      <c r="Z67" s="20">
        <f ca="1">EXP(-P67)/(N67*L67/100*SQRT(P67))*_xlfn.NORM.S.DIST(X67,FALSE)</f>
        <v>3.8055966062188105E-2</v>
      </c>
      <c r="AA67" s="17">
        <f t="shared" ca="1" si="6"/>
        <v>2.3833290989040305E-2</v>
      </c>
      <c r="AB67" s="17"/>
      <c r="AC67" s="17"/>
      <c r="AD67" s="17"/>
    </row>
    <row r="68" spans="1:30" x14ac:dyDescent="0.25">
      <c r="A68" t="s">
        <v>106</v>
      </c>
      <c r="B68" t="s">
        <v>107</v>
      </c>
      <c r="C68" t="s">
        <v>108</v>
      </c>
      <c r="D68">
        <v>46030</v>
      </c>
      <c r="E68" t="s">
        <v>107</v>
      </c>
      <c r="F68" t="s">
        <v>109</v>
      </c>
      <c r="G68">
        <v>5</v>
      </c>
      <c r="H68">
        <v>13.093999999999999</v>
      </c>
      <c r="I68">
        <v>0.46600000000000003</v>
      </c>
      <c r="J68" t="s">
        <v>61</v>
      </c>
      <c r="K68">
        <v>4172</v>
      </c>
      <c r="L68">
        <v>77.616399999999999</v>
      </c>
      <c r="M68">
        <v>0.99907000000000001</v>
      </c>
      <c r="N68">
        <f>INDEX(jkm!$H:$H,MATCH(J68,jkm!$J:$J,0),1)</f>
        <v>18.091999999999999</v>
      </c>
      <c r="O68" s="3">
        <f t="shared" ca="1" si="7"/>
        <v>118</v>
      </c>
      <c r="P68" s="3">
        <f t="shared" ca="1" si="8"/>
        <v>0.32328767123287672</v>
      </c>
      <c r="Q68" t="str" cm="1">
        <f t="array" ref="Q68:S68">_xlfn.TEXTSPLIT(J68,"/")</f>
        <v>7</v>
      </c>
      <c r="R68" s="1" t="str">
        <v>15</v>
      </c>
      <c r="S68" t="str">
        <v>2026</v>
      </c>
      <c r="T68" s="1">
        <f t="shared" si="9"/>
        <v>46218</v>
      </c>
      <c r="U68" s="19">
        <f t="shared" ref="U68:U131" si="10">U67</f>
        <v>3.6899999999999977</v>
      </c>
      <c r="V68" s="17">
        <f ca="1">(LN(N68/G68)+(L68/100)^2*P68/2)/(L68/100*SQRT(P68))</f>
        <v>3.1347520631578507</v>
      </c>
      <c r="W68" s="17">
        <f ca="1">V68-L68/100*SQRT(P68)</f>
        <v>2.6934376954200014</v>
      </c>
      <c r="X68" s="17">
        <f ca="1">(LN(N68/G68)+P68*(U68/100+(L68/100)^2/2))/((L68/100*SQRT(P68)))</f>
        <v>3.1617833948809535</v>
      </c>
      <c r="Y68" s="17">
        <f ca="1">X68-N68/100*SQRT(R68)</f>
        <v>2.4610832478851075</v>
      </c>
      <c r="Z68" s="20">
        <f ca="1">EXP(-P68)/(N68*L68/100*SQRT(P68))*_xlfn.NORM.S.DIST(X68,FALSE)</f>
        <v>2.4405050444841788E-4</v>
      </c>
      <c r="AA68" s="17">
        <f t="shared" ca="1" si="6"/>
        <v>2.0044512861000694E-4</v>
      </c>
      <c r="AB68" s="17"/>
      <c r="AC68" s="17"/>
      <c r="AD68" s="17"/>
    </row>
    <row r="69" spans="1:30" x14ac:dyDescent="0.25">
      <c r="A69" t="s">
        <v>106</v>
      </c>
      <c r="B69" t="s">
        <v>107</v>
      </c>
      <c r="C69" t="s">
        <v>108</v>
      </c>
      <c r="D69">
        <v>46030</v>
      </c>
      <c r="E69" t="s">
        <v>107</v>
      </c>
      <c r="F69" t="s">
        <v>109</v>
      </c>
      <c r="G69">
        <v>8</v>
      </c>
      <c r="H69">
        <v>10.161</v>
      </c>
      <c r="I69">
        <v>0.435</v>
      </c>
      <c r="J69" t="s">
        <v>61</v>
      </c>
      <c r="K69">
        <v>4172</v>
      </c>
      <c r="L69">
        <v>77.622100000000003</v>
      </c>
      <c r="M69">
        <v>0.98011000000000004</v>
      </c>
      <c r="N69">
        <f>INDEX(jkm!$H:$H,MATCH(J69,jkm!$J:$J,0),1)</f>
        <v>18.091999999999999</v>
      </c>
      <c r="O69" s="3">
        <f t="shared" ca="1" si="7"/>
        <v>118</v>
      </c>
      <c r="P69" s="3">
        <f t="shared" ca="1" si="8"/>
        <v>0.32328767123287672</v>
      </c>
      <c r="Q69" t="str" cm="1">
        <f t="array" ref="Q69:S69">_xlfn.TEXTSPLIT(J69,"/")</f>
        <v>7</v>
      </c>
      <c r="R69" s="1" t="str">
        <v>15</v>
      </c>
      <c r="S69" t="str">
        <v>2026</v>
      </c>
      <c r="T69" s="1">
        <f t="shared" si="9"/>
        <v>46218</v>
      </c>
      <c r="U69" s="19">
        <f t="shared" si="10"/>
        <v>3.6899999999999977</v>
      </c>
      <c r="V69" s="17">
        <f ca="1">(LN(N69/G69)+(L69/100)^2*P69/2)/(L69/100*SQRT(P69))</f>
        <v>2.0696238112224221</v>
      </c>
      <c r="W69" s="17">
        <f ca="1">V69-L69/100*SQRT(P69)</f>
        <v>1.6282770342012758</v>
      </c>
      <c r="X69" s="17">
        <f ca="1">(LN(N69/G69)+P69*(U69/100+(L69/100)^2/2))/((L69/100*SQRT(P69)))</f>
        <v>2.0966531579619851</v>
      </c>
      <c r="Y69" s="17">
        <f ca="1">X69-N69/100*SQRT(R69)</f>
        <v>1.3959530109661391</v>
      </c>
      <c r="Z69" s="20">
        <f ca="1">EXP(-P69)/(N69*L69/100*SQRT(P69))*_xlfn.NORM.S.DIST(X69,FALSE)</f>
        <v>4.0148755900188612E-3</v>
      </c>
      <c r="AA69" s="17">
        <f t="shared" ca="1" si="6"/>
        <v>3.2977655834581674E-3</v>
      </c>
      <c r="AB69" s="17"/>
      <c r="AC69" s="17"/>
      <c r="AD69" s="17"/>
    </row>
    <row r="70" spans="1:30" x14ac:dyDescent="0.25">
      <c r="A70" t="s">
        <v>106</v>
      </c>
      <c r="B70" t="s">
        <v>107</v>
      </c>
      <c r="C70" t="s">
        <v>108</v>
      </c>
      <c r="D70">
        <v>46030</v>
      </c>
      <c r="E70" t="s">
        <v>107</v>
      </c>
      <c r="F70" t="s">
        <v>109</v>
      </c>
      <c r="G70">
        <v>9</v>
      </c>
      <c r="H70">
        <v>9.2309999999999999</v>
      </c>
      <c r="I70">
        <v>0.41199999999999998</v>
      </c>
      <c r="J70" t="s">
        <v>61</v>
      </c>
      <c r="K70">
        <v>4172</v>
      </c>
      <c r="L70">
        <v>77.624200000000002</v>
      </c>
      <c r="M70">
        <v>0.96338000000000001</v>
      </c>
      <c r="N70">
        <f>INDEX(jkm!$H:$H,MATCH(J70,jkm!$J:$J,0),1)</f>
        <v>18.091999999999999</v>
      </c>
      <c r="O70" s="3">
        <f t="shared" ca="1" si="7"/>
        <v>118</v>
      </c>
      <c r="P70" s="3">
        <f t="shared" ca="1" si="8"/>
        <v>0.32328767123287672</v>
      </c>
      <c r="Q70" t="str" cm="1">
        <f t="array" ref="Q70:S70">_xlfn.TEXTSPLIT(J70,"/")</f>
        <v>7</v>
      </c>
      <c r="R70" s="1" t="str">
        <v>15</v>
      </c>
      <c r="S70" t="str">
        <v>2026</v>
      </c>
      <c r="T70" s="1">
        <f t="shared" si="9"/>
        <v>46218</v>
      </c>
      <c r="U70" s="19">
        <f t="shared" si="10"/>
        <v>3.6899999999999977</v>
      </c>
      <c r="V70" s="17">
        <f ca="1">(LN(N70/G70)+(L70/100)^2*P70/2)/(L70/100*SQRT(P70))</f>
        <v>1.8027151198862428</v>
      </c>
      <c r="W70" s="17">
        <f ca="1">V70-L70/100*SQRT(P70)</f>
        <v>1.3613564026028291</v>
      </c>
      <c r="X70" s="17">
        <f ca="1">(LN(N70/G70)+P70*(U70/100+(L70/100)^2/2))/((L70/100*SQRT(P70)))</f>
        <v>1.8297437353895656</v>
      </c>
      <c r="Y70" s="17">
        <f ca="1">X70-N70/100*SQRT(R70)</f>
        <v>1.1290435883937198</v>
      </c>
      <c r="Z70" s="20">
        <f ca="1">EXP(-P70)/(N70*L70/100*SQRT(P70))*_xlfn.NORM.S.DIST(X70,FALSE)</f>
        <v>6.7799889396737076E-3</v>
      </c>
      <c r="AA70" s="17">
        <f t="shared" ca="1" si="6"/>
        <v>5.5691436954610251E-3</v>
      </c>
      <c r="AB70" s="17"/>
      <c r="AC70" s="17"/>
      <c r="AD70" s="17"/>
    </row>
    <row r="71" spans="1:30" x14ac:dyDescent="0.25">
      <c r="A71" t="s">
        <v>106</v>
      </c>
      <c r="B71" t="s">
        <v>107</v>
      </c>
      <c r="C71" t="s">
        <v>108</v>
      </c>
      <c r="D71">
        <v>46030</v>
      </c>
      <c r="E71" t="s">
        <v>107</v>
      </c>
      <c r="F71" t="s">
        <v>109</v>
      </c>
      <c r="G71">
        <v>10</v>
      </c>
      <c r="H71">
        <v>8.3420000000000005</v>
      </c>
      <c r="I71">
        <v>0.38300000000000001</v>
      </c>
      <c r="J71" t="s">
        <v>61</v>
      </c>
      <c r="K71">
        <v>4172</v>
      </c>
      <c r="L71">
        <v>77.626099999999994</v>
      </c>
      <c r="M71">
        <v>0.93998000000000004</v>
      </c>
      <c r="N71">
        <f>INDEX(jkm!$H:$H,MATCH(J71,jkm!$J:$J,0),1)</f>
        <v>18.091999999999999</v>
      </c>
      <c r="O71" s="3">
        <f t="shared" ca="1" si="7"/>
        <v>118</v>
      </c>
      <c r="P71" s="3">
        <f t="shared" ca="1" si="8"/>
        <v>0.32328767123287672</v>
      </c>
      <c r="Q71" t="str" cm="1">
        <f t="array" ref="Q71:S71">_xlfn.TEXTSPLIT(J71,"/")</f>
        <v>7</v>
      </c>
      <c r="R71" s="1" t="str">
        <v>15</v>
      </c>
      <c r="S71" t="str">
        <v>2026</v>
      </c>
      <c r="T71" s="1">
        <f t="shared" si="9"/>
        <v>46218</v>
      </c>
      <c r="U71" s="19">
        <f t="shared" si="10"/>
        <v>3.6899999999999977</v>
      </c>
      <c r="V71" s="17">
        <f ca="1">(LN(N71/G71)+(L71/100)^2*P71/2)/(L71/100*SQRT(P71))</f>
        <v>1.5639690860163979</v>
      </c>
      <c r="W71" s="17">
        <f ca="1">V71-L71/100*SQRT(P71)</f>
        <v>1.1225995656385519</v>
      </c>
      <c r="X71" s="17">
        <f ca="1">(LN(N71/G71)+P71*(U71/100+(L71/100)^2/2))/((L71/100*SQRT(P71)))</f>
        <v>1.5909970399591187</v>
      </c>
      <c r="Y71" s="17">
        <f ca="1">X71-N71/100*SQRT(R71)</f>
        <v>0.89029689296327275</v>
      </c>
      <c r="Z71" s="20">
        <f ca="1">EXP(-P71)/(N71*L71/100*SQRT(P71))*_xlfn.NORM.S.DIST(X71,FALSE)</f>
        <v>1.0199067270603537E-2</v>
      </c>
      <c r="AA71" s="17">
        <f t="shared" ca="1" si="6"/>
        <v>8.377810345251235E-3</v>
      </c>
      <c r="AB71" s="17"/>
      <c r="AC71" s="17"/>
      <c r="AD71" s="17"/>
    </row>
    <row r="72" spans="1:30" x14ac:dyDescent="0.25">
      <c r="A72" t="s">
        <v>106</v>
      </c>
      <c r="B72" t="s">
        <v>107</v>
      </c>
      <c r="C72" t="s">
        <v>108</v>
      </c>
      <c r="D72">
        <v>46030</v>
      </c>
      <c r="E72" t="s">
        <v>107</v>
      </c>
      <c r="F72" t="s">
        <v>109</v>
      </c>
      <c r="G72">
        <v>12.5</v>
      </c>
      <c r="H72">
        <v>6.343</v>
      </c>
      <c r="I72">
        <v>0.29599999999999999</v>
      </c>
      <c r="J72" t="s">
        <v>61</v>
      </c>
      <c r="K72">
        <v>4172</v>
      </c>
      <c r="L72">
        <v>77.630799999999994</v>
      </c>
      <c r="M72">
        <v>0.85387999999999997</v>
      </c>
      <c r="N72">
        <f>INDEX(jkm!$H:$H,MATCH(J72,jkm!$J:$J,0),1)</f>
        <v>18.091999999999999</v>
      </c>
      <c r="O72" s="3">
        <f t="shared" ca="1" si="7"/>
        <v>118</v>
      </c>
      <c r="P72" s="3">
        <f t="shared" ca="1" si="8"/>
        <v>0.32328767123287672</v>
      </c>
      <c r="Q72" t="str" cm="1">
        <f t="array" ref="Q72:S72">_xlfn.TEXTSPLIT(J72,"/")</f>
        <v>7</v>
      </c>
      <c r="R72" s="1" t="str">
        <v>15</v>
      </c>
      <c r="S72" t="str">
        <v>2026</v>
      </c>
      <c r="T72" s="1">
        <f t="shared" si="9"/>
        <v>46218</v>
      </c>
      <c r="U72" s="19">
        <f t="shared" si="10"/>
        <v>3.6899999999999977</v>
      </c>
      <c r="V72" s="17">
        <f ca="1">(LN(N72/G72)+(L72/100)^2*P72/2)/(L72/100*SQRT(P72))</f>
        <v>1.0583609078600005</v>
      </c>
      <c r="W72" s="17">
        <f ca="1">V72-L72/100*SQRT(P72)</f>
        <v>0.61696466403803218</v>
      </c>
      <c r="X72" s="17">
        <f ca="1">(LN(N72/G72)+P72*(U72/100+(L72/100)^2/2))/((L72/100*SQRT(P72)))</f>
        <v>1.0853872254498365</v>
      </c>
      <c r="Y72" s="17">
        <f ca="1">X72-N72/100*SQRT(R72)</f>
        <v>0.38468707845399053</v>
      </c>
      <c r="Z72" s="20">
        <f ca="1">EXP(-P72)/(N72*L72/100*SQRT(P72))*_xlfn.NORM.S.DIST(X72,FALSE)</f>
        <v>2.0062227198832668E-2</v>
      </c>
      <c r="AA72" s="17">
        <f t="shared" ca="1" si="6"/>
        <v>1.6480694424933148E-2</v>
      </c>
      <c r="AB72" s="17"/>
      <c r="AC72" s="17"/>
      <c r="AD72" s="17"/>
    </row>
    <row r="73" spans="1:30" x14ac:dyDescent="0.25">
      <c r="A73" t="s">
        <v>106</v>
      </c>
      <c r="B73" t="s">
        <v>107</v>
      </c>
      <c r="C73" t="s">
        <v>108</v>
      </c>
      <c r="D73">
        <v>46030</v>
      </c>
      <c r="E73" t="s">
        <v>107</v>
      </c>
      <c r="F73" t="s">
        <v>109</v>
      </c>
      <c r="G73">
        <v>13</v>
      </c>
      <c r="H73">
        <v>5.9859999999999998</v>
      </c>
      <c r="I73">
        <v>0.27700000000000002</v>
      </c>
      <c r="J73" t="s">
        <v>61</v>
      </c>
      <c r="K73">
        <v>4172</v>
      </c>
      <c r="L73">
        <v>77.631600000000006</v>
      </c>
      <c r="M73">
        <v>0.83274999999999999</v>
      </c>
      <c r="N73">
        <f>INDEX(jkm!$H:$H,MATCH(J73,jkm!$J:$J,0),1)</f>
        <v>18.091999999999999</v>
      </c>
      <c r="O73" s="3">
        <f t="shared" ca="1" si="7"/>
        <v>118</v>
      </c>
      <c r="P73" s="3">
        <f t="shared" ca="1" si="8"/>
        <v>0.32328767123287672</v>
      </c>
      <c r="Q73" t="str" cm="1">
        <f t="array" ref="Q73:S73">_xlfn.TEXTSPLIT(J73,"/")</f>
        <v>7</v>
      </c>
      <c r="R73" s="1" t="str">
        <v>15</v>
      </c>
      <c r="S73" t="str">
        <v>2026</v>
      </c>
      <c r="T73" s="1">
        <f t="shared" si="9"/>
        <v>46218</v>
      </c>
      <c r="U73" s="19">
        <f t="shared" si="10"/>
        <v>3.6899999999999977</v>
      </c>
      <c r="V73" s="17">
        <f ca="1">(LN(N73/G73)+(L73/100)^2*P73/2)/(L73/100*SQRT(P73))</f>
        <v>0.96949944639577823</v>
      </c>
      <c r="W73" s="17">
        <f ca="1">V73-L73/100*SQRT(P73)</f>
        <v>0.52809865390246991</v>
      </c>
      <c r="X73" s="17">
        <f ca="1">(LN(N73/G73)+P73*(U73/100+(L73/100)^2/2))/((L73/100*SQRT(P73)))</f>
        <v>0.99652548547719655</v>
      </c>
      <c r="Y73" s="17">
        <f ca="1">X73-N73/100*SQRT(R73)</f>
        <v>0.29582533848135062</v>
      </c>
      <c r="Z73" s="20">
        <f ca="1">EXP(-P73)/(N73*L73/100*SQRT(P73))*_xlfn.NORM.S.DIST(X73,FALSE)</f>
        <v>2.2006320137498821E-2</v>
      </c>
      <c r="AA73" s="17">
        <f t="shared" ca="1" si="6"/>
        <v>1.8077911863360583E-2</v>
      </c>
      <c r="AB73" s="17"/>
      <c r="AC73" s="17"/>
      <c r="AD73" s="17"/>
    </row>
    <row r="74" spans="1:30" x14ac:dyDescent="0.25">
      <c r="A74" t="s">
        <v>106</v>
      </c>
      <c r="B74" t="s">
        <v>107</v>
      </c>
      <c r="C74" t="s">
        <v>108</v>
      </c>
      <c r="D74">
        <v>46030</v>
      </c>
      <c r="E74" t="s">
        <v>107</v>
      </c>
      <c r="F74" t="s">
        <v>109</v>
      </c>
      <c r="G74">
        <v>15</v>
      </c>
      <c r="H74">
        <v>4.71</v>
      </c>
      <c r="I74">
        <v>0.20499999999999999</v>
      </c>
      <c r="J74" t="s">
        <v>61</v>
      </c>
      <c r="K74">
        <v>4172</v>
      </c>
      <c r="L74">
        <v>77.635599999999997</v>
      </c>
      <c r="M74">
        <v>0.74007999999999996</v>
      </c>
      <c r="N74">
        <f>INDEX(jkm!$H:$H,MATCH(J74,jkm!$J:$J,0),1)</f>
        <v>18.091999999999999</v>
      </c>
      <c r="O74" s="3">
        <f t="shared" ca="1" si="7"/>
        <v>118</v>
      </c>
      <c r="P74" s="3">
        <f t="shared" ca="1" si="8"/>
        <v>0.32328767123287672</v>
      </c>
      <c r="Q74" t="str" cm="1">
        <f t="array" ref="Q74:S74">_xlfn.TEXTSPLIT(J74,"/")</f>
        <v>7</v>
      </c>
      <c r="R74" s="1" t="str">
        <v>15</v>
      </c>
      <c r="S74" t="str">
        <v>2026</v>
      </c>
      <c r="T74" s="1">
        <f t="shared" si="9"/>
        <v>46218</v>
      </c>
      <c r="U74" s="19">
        <f t="shared" si="10"/>
        <v>3.6899999999999977</v>
      </c>
      <c r="V74" s="17">
        <f ca="1">(LN(N74/G74)+(L74/100)^2*P74/2)/(L74/100*SQRT(P74))</f>
        <v>0.64529187136803878</v>
      </c>
      <c r="W74" s="17">
        <f ca="1">V74-L74/100*SQRT(P74)</f>
        <v>0.2038683355180308</v>
      </c>
      <c r="X74" s="17">
        <f ca="1">(LN(N74/G74)+P74*(U74/100+(L74/100)^2/2))/((L74/100*SQRT(P74)))</f>
        <v>0.67231651799346626</v>
      </c>
      <c r="Y74" s="17">
        <f ca="1">X74-N74/100*SQRT(R74)</f>
        <v>-2.8383629002379673E-2</v>
      </c>
      <c r="Z74" s="20">
        <f ca="1">EXP(-P74)/(N74*L74/100*SQRT(P74))*_xlfn.NORM.S.DIST(X74,FALSE)</f>
        <v>2.8841200518799306E-2</v>
      </c>
      <c r="AA74" s="17">
        <f t="shared" ca="1" si="6"/>
        <v>2.3693899866943285E-2</v>
      </c>
      <c r="AB74" s="17"/>
      <c r="AC74" s="17"/>
      <c r="AD74" s="17"/>
    </row>
    <row r="75" spans="1:30" x14ac:dyDescent="0.25">
      <c r="A75" t="s">
        <v>106</v>
      </c>
      <c r="B75" t="s">
        <v>107</v>
      </c>
      <c r="C75" t="s">
        <v>108</v>
      </c>
      <c r="D75">
        <v>46030</v>
      </c>
      <c r="E75" t="s">
        <v>107</v>
      </c>
      <c r="F75" t="s">
        <v>109</v>
      </c>
      <c r="G75">
        <v>17</v>
      </c>
      <c r="H75">
        <v>3.6659999999999999</v>
      </c>
      <c r="J75" t="s">
        <v>61</v>
      </c>
      <c r="K75">
        <v>4172</v>
      </c>
      <c r="L75">
        <v>77.641999999999996</v>
      </c>
      <c r="M75">
        <v>0.64149</v>
      </c>
      <c r="N75">
        <f>INDEX(jkm!$H:$H,MATCH(J75,jkm!$J:$J,0),1)</f>
        <v>18.091999999999999</v>
      </c>
      <c r="O75" s="3">
        <f t="shared" ca="1" si="7"/>
        <v>118</v>
      </c>
      <c r="P75" s="3">
        <f t="shared" ca="1" si="8"/>
        <v>0.32328767123287672</v>
      </c>
      <c r="Q75" t="str" cm="1">
        <f t="array" ref="Q75:S75">_xlfn.TEXTSPLIT(J75,"/")</f>
        <v>7</v>
      </c>
      <c r="R75" s="1" t="str">
        <v>15</v>
      </c>
      <c r="S75" t="str">
        <v>2026</v>
      </c>
      <c r="T75" s="1">
        <f t="shared" si="9"/>
        <v>46218</v>
      </c>
      <c r="U75" s="19">
        <f t="shared" si="10"/>
        <v>3.6899999999999977</v>
      </c>
      <c r="V75" s="17">
        <f ca="1">(LN(N75/G75)+(L75/100)^2*P75/2)/(L75/100*SQRT(P75))</f>
        <v>0.36175410546603209</v>
      </c>
      <c r="W75" s="17">
        <f ca="1">V75-L75/100*SQRT(P75)</f>
        <v>-7.9705819754695539E-2</v>
      </c>
      <c r="X75" s="17">
        <f ca="1">(LN(N75/G75)+P75*(U75/100+(L75/100)^2/2))/((L75/100*SQRT(P75)))</f>
        <v>0.38877652446030103</v>
      </c>
      <c r="Y75" s="17">
        <f ca="1">X75-N75/100*SQRT(R75)</f>
        <v>-0.3119236225355449</v>
      </c>
      <c r="Z75" s="20">
        <f ca="1">EXP(-P75)/(N75*L75/100*SQRT(P75))*_xlfn.NORM.S.DIST(X75,FALSE)</f>
        <v>3.3520381694054545E-2</v>
      </c>
      <c r="AA75" s="17">
        <f t="shared" ca="1" si="6"/>
        <v>2.7540255829266364E-2</v>
      </c>
      <c r="AB75" s="17"/>
      <c r="AC75" s="17"/>
      <c r="AD75" s="17"/>
    </row>
    <row r="76" spans="1:30" x14ac:dyDescent="0.25">
      <c r="A76" t="s">
        <v>106</v>
      </c>
      <c r="B76" t="s">
        <v>107</v>
      </c>
      <c r="C76" t="s">
        <v>108</v>
      </c>
      <c r="D76">
        <v>46030</v>
      </c>
      <c r="E76" t="s">
        <v>107</v>
      </c>
      <c r="F76" t="s">
        <v>109</v>
      </c>
      <c r="G76">
        <v>20</v>
      </c>
      <c r="H76">
        <v>2.4929999999999999</v>
      </c>
      <c r="I76">
        <v>6.3E-2</v>
      </c>
      <c r="J76" t="s">
        <v>61</v>
      </c>
      <c r="K76">
        <v>4172</v>
      </c>
      <c r="L76">
        <v>77.863900000000001</v>
      </c>
      <c r="M76">
        <v>0.49946000000000002</v>
      </c>
      <c r="N76">
        <f>INDEX(jkm!$H:$H,MATCH(J76,jkm!$J:$J,0),1)</f>
        <v>18.091999999999999</v>
      </c>
      <c r="O76" s="3">
        <f t="shared" ca="1" si="7"/>
        <v>118</v>
      </c>
      <c r="P76" s="3">
        <f t="shared" ca="1" si="8"/>
        <v>0.32328767123287672</v>
      </c>
      <c r="Q76" t="str" cm="1">
        <f t="array" ref="Q76:S76">_xlfn.TEXTSPLIT(J76,"/")</f>
        <v>7</v>
      </c>
      <c r="R76" s="1" t="str">
        <v>15</v>
      </c>
      <c r="S76" t="str">
        <v>2026</v>
      </c>
      <c r="T76" s="1">
        <f t="shared" si="9"/>
        <v>46218</v>
      </c>
      <c r="U76" s="19">
        <f t="shared" si="10"/>
        <v>3.6899999999999977</v>
      </c>
      <c r="V76" s="17">
        <f ca="1">(LN(N76/G76)+(L76/100)^2*P76/2)/(L76/100*SQRT(P76))</f>
        <v>-5.1075181175947656E-3</v>
      </c>
      <c r="W76" s="17">
        <f ca="1">V76-L76/100*SQRT(P76)</f>
        <v>-0.44782913105124167</v>
      </c>
      <c r="X76" s="17">
        <f ca="1">(LN(N76/G76)+P76*(U76/100+(L76/100)^2/2))/((L76/100*SQRT(P76)))</f>
        <v>2.1837891187012751E-2</v>
      </c>
      <c r="Y76" s="17">
        <f ca="1">X76-N76/100*SQRT(R76)</f>
        <v>-0.67886225580883319</v>
      </c>
      <c r="Z76" s="20">
        <f ca="1">EXP(-P76)/(N76*L76/100*SQRT(P76))*_xlfn.NORM.S.DIST(X76,FALSE)</f>
        <v>3.6040196892708917E-2</v>
      </c>
      <c r="AA76" s="17">
        <f t="shared" ca="1" si="6"/>
        <v>2.9695155821955043E-2</v>
      </c>
      <c r="AB76" s="17"/>
      <c r="AC76" s="17"/>
      <c r="AD76" s="17"/>
    </row>
    <row r="77" spans="1:30" x14ac:dyDescent="0.25">
      <c r="A77" t="s">
        <v>106</v>
      </c>
      <c r="B77" t="s">
        <v>107</v>
      </c>
      <c r="C77" t="s">
        <v>108</v>
      </c>
      <c r="D77">
        <v>46030</v>
      </c>
      <c r="E77" t="s">
        <v>107</v>
      </c>
      <c r="F77" t="s">
        <v>109</v>
      </c>
      <c r="G77">
        <v>25</v>
      </c>
      <c r="H77">
        <v>1.302</v>
      </c>
      <c r="I77">
        <v>-4.0000000000000001E-3</v>
      </c>
      <c r="J77" t="s">
        <v>61</v>
      </c>
      <c r="K77">
        <v>4172</v>
      </c>
      <c r="L77">
        <v>78.393100000000004</v>
      </c>
      <c r="M77">
        <v>0.31039</v>
      </c>
      <c r="N77">
        <f>INDEX(jkm!$H:$H,MATCH(J77,jkm!$J:$J,0),1)</f>
        <v>18.091999999999999</v>
      </c>
      <c r="O77" s="3">
        <f t="shared" ca="1" si="7"/>
        <v>118</v>
      </c>
      <c r="P77" s="3">
        <f t="shared" ca="1" si="8"/>
        <v>0.32328767123287672</v>
      </c>
      <c r="Q77" t="str" cm="1">
        <f t="array" ref="Q77:S77">_xlfn.TEXTSPLIT(J77,"/")</f>
        <v>7</v>
      </c>
      <c r="R77" s="1" t="str">
        <v>15</v>
      </c>
      <c r="S77" t="str">
        <v>2026</v>
      </c>
      <c r="T77" s="1">
        <f t="shared" si="9"/>
        <v>46218</v>
      </c>
      <c r="U77" s="19">
        <f t="shared" si="10"/>
        <v>3.6899999999999977</v>
      </c>
      <c r="V77" s="17">
        <f ca="1">(LN(N77/G77)+(L77/100)^2*P77/2)/(L77/100*SQRT(P77))</f>
        <v>-0.50269855429778365</v>
      </c>
      <c r="W77" s="17">
        <f ca="1">V77-L77/100*SQRT(P77)</f>
        <v>-0.9484291133228091</v>
      </c>
      <c r="X77" s="17">
        <f ca="1">(LN(N77/G77)+P77*(U77/100+(L77/100)^2/2))/((L77/100*SQRT(P77)))</f>
        <v>-0.47593504251482022</v>
      </c>
      <c r="Y77" s="17">
        <f ca="1">X77-N77/100*SQRT(R77)</f>
        <v>-1.1766351895106661</v>
      </c>
      <c r="Z77" s="20">
        <f ca="1">EXP(-P77)/(N77*L77/100*SQRT(P77))*_xlfn.NORM.S.DIST(X77,FALSE)</f>
        <v>3.1971432760550401E-2</v>
      </c>
      <c r="AA77" s="17">
        <f t="shared" ca="1" si="6"/>
        <v>2.6521753771199485E-2</v>
      </c>
      <c r="AB77" s="17"/>
      <c r="AC77" s="17"/>
      <c r="AD77" s="17"/>
    </row>
    <row r="78" spans="1:30" x14ac:dyDescent="0.25">
      <c r="A78" t="s">
        <v>106</v>
      </c>
      <c r="B78" t="s">
        <v>107</v>
      </c>
      <c r="C78" t="s">
        <v>108</v>
      </c>
      <c r="D78">
        <v>46030</v>
      </c>
      <c r="E78" t="s">
        <v>107</v>
      </c>
      <c r="F78" t="s">
        <v>110</v>
      </c>
      <c r="G78">
        <v>5</v>
      </c>
      <c r="H78">
        <v>2E-3</v>
      </c>
      <c r="I78">
        <v>-3.0000000000000001E-3</v>
      </c>
      <c r="J78" t="s">
        <v>61</v>
      </c>
      <c r="K78">
        <v>4172</v>
      </c>
      <c r="L78">
        <v>77.616399999999999</v>
      </c>
      <c r="M78">
        <v>-9.3000000000000005E-4</v>
      </c>
      <c r="N78">
        <f>INDEX(jkm!$H:$H,MATCH(J78,jkm!$J:$J,0),1)</f>
        <v>18.091999999999999</v>
      </c>
      <c r="O78" s="3">
        <f t="shared" ca="1" si="7"/>
        <v>118</v>
      </c>
      <c r="P78" s="3">
        <f t="shared" ca="1" si="8"/>
        <v>0.32328767123287672</v>
      </c>
      <c r="Q78" t="str" cm="1">
        <f t="array" ref="Q78:S78">_xlfn.TEXTSPLIT(J78,"/")</f>
        <v>7</v>
      </c>
      <c r="R78" s="1" t="str">
        <v>15</v>
      </c>
      <c r="S78" t="str">
        <v>2026</v>
      </c>
      <c r="T78" s="1">
        <f t="shared" si="9"/>
        <v>46218</v>
      </c>
      <c r="U78" s="19">
        <f t="shared" si="10"/>
        <v>3.6899999999999977</v>
      </c>
      <c r="V78" s="17">
        <f ca="1">(LN(N78/G78)+(L78/100)^2*P78/2)/(L78/100*SQRT(P78))</f>
        <v>3.1347520631578507</v>
      </c>
      <c r="W78" s="17">
        <f ca="1">V78-L78/100*SQRT(P78)</f>
        <v>2.6934376954200014</v>
      </c>
      <c r="X78" s="17">
        <f ca="1">(LN(N78/G78)+P78*(U78/100+(L78/100)^2/2))/((L78/100*SQRT(P78)))</f>
        <v>3.1617833948809535</v>
      </c>
      <c r="Y78" s="17">
        <f ca="1">X78-N78/100*SQRT(R78)</f>
        <v>2.4610832478851075</v>
      </c>
      <c r="Z78" s="20">
        <f ca="1">EXP(-P78)/(N78*L78/100*SQRT(P78))*_xlfn.NORM.S.DIST(X78,FALSE)</f>
        <v>2.4405050444841788E-4</v>
      </c>
      <c r="AA78" s="17">
        <f t="shared" ca="1" si="6"/>
        <v>2.0044512861000694E-4</v>
      </c>
      <c r="AB78" s="17"/>
      <c r="AC78" s="17"/>
      <c r="AD78" s="17"/>
    </row>
    <row r="79" spans="1:30" x14ac:dyDescent="0.25">
      <c r="A79" t="s">
        <v>106</v>
      </c>
      <c r="B79" t="s">
        <v>107</v>
      </c>
      <c r="C79" t="s">
        <v>108</v>
      </c>
      <c r="D79">
        <v>46030</v>
      </c>
      <c r="E79" t="s">
        <v>107</v>
      </c>
      <c r="F79" t="s">
        <v>110</v>
      </c>
      <c r="G79">
        <v>8</v>
      </c>
      <c r="H79">
        <v>6.9000000000000006E-2</v>
      </c>
      <c r="I79">
        <v>-3.4000000000000002E-2</v>
      </c>
      <c r="J79" t="s">
        <v>61</v>
      </c>
      <c r="K79">
        <v>4172</v>
      </c>
      <c r="L79">
        <v>77.622100000000003</v>
      </c>
      <c r="M79">
        <v>-1.9890000000000001E-2</v>
      </c>
      <c r="N79">
        <f>INDEX(jkm!$H:$H,MATCH(J79,jkm!$J:$J,0),1)</f>
        <v>18.091999999999999</v>
      </c>
      <c r="O79" s="3">
        <f t="shared" ca="1" si="7"/>
        <v>118</v>
      </c>
      <c r="P79" s="3">
        <f t="shared" ca="1" si="8"/>
        <v>0.32328767123287672</v>
      </c>
      <c r="Q79" t="str" cm="1">
        <f t="array" ref="Q79:S79">_xlfn.TEXTSPLIT(J79,"/")</f>
        <v>7</v>
      </c>
      <c r="R79" s="1" t="str">
        <v>15</v>
      </c>
      <c r="S79" t="str">
        <v>2026</v>
      </c>
      <c r="T79" s="1">
        <f t="shared" si="9"/>
        <v>46218</v>
      </c>
      <c r="U79" s="19">
        <f t="shared" si="10"/>
        <v>3.6899999999999977</v>
      </c>
      <c r="V79" s="17">
        <f ca="1">(LN(N79/G79)+(L79/100)^2*P79/2)/(L79/100*SQRT(P79))</f>
        <v>2.0696238112224221</v>
      </c>
      <c r="W79" s="17">
        <f ca="1">V79-L79/100*SQRT(P79)</f>
        <v>1.6282770342012758</v>
      </c>
      <c r="X79" s="17">
        <f ca="1">(LN(N79/G79)+P79*(U79/100+(L79/100)^2/2))/((L79/100*SQRT(P79)))</f>
        <v>2.0966531579619851</v>
      </c>
      <c r="Y79" s="17">
        <f ca="1">X79-N79/100*SQRT(R79)</f>
        <v>1.3959530109661391</v>
      </c>
      <c r="Z79" s="20">
        <f ca="1">EXP(-P79)/(N79*L79/100*SQRT(P79))*_xlfn.NORM.S.DIST(X79,FALSE)</f>
        <v>4.0148755900188612E-3</v>
      </c>
      <c r="AA79" s="17">
        <f t="shared" ca="1" si="6"/>
        <v>3.2977655834581674E-3</v>
      </c>
      <c r="AB79" s="17"/>
      <c r="AC79" s="17"/>
      <c r="AD79" s="17"/>
    </row>
    <row r="80" spans="1:30" x14ac:dyDescent="0.25">
      <c r="A80" t="s">
        <v>106</v>
      </c>
      <c r="B80" t="s">
        <v>107</v>
      </c>
      <c r="C80" t="s">
        <v>108</v>
      </c>
      <c r="D80">
        <v>46030</v>
      </c>
      <c r="E80" t="s">
        <v>107</v>
      </c>
      <c r="F80" t="s">
        <v>110</v>
      </c>
      <c r="G80">
        <v>9</v>
      </c>
      <c r="H80">
        <v>0.13900000000000001</v>
      </c>
      <c r="I80">
        <v>-5.7000000000000002E-2</v>
      </c>
      <c r="J80" t="s">
        <v>61</v>
      </c>
      <c r="K80">
        <v>4172</v>
      </c>
      <c r="L80">
        <v>77.624200000000002</v>
      </c>
      <c r="M80">
        <v>-3.662E-2</v>
      </c>
      <c r="N80">
        <f>INDEX(jkm!$H:$H,MATCH(J80,jkm!$J:$J,0),1)</f>
        <v>18.091999999999999</v>
      </c>
      <c r="O80" s="3">
        <f t="shared" ca="1" si="7"/>
        <v>118</v>
      </c>
      <c r="P80" s="3">
        <f t="shared" ca="1" si="8"/>
        <v>0.32328767123287672</v>
      </c>
      <c r="Q80" t="str" cm="1">
        <f t="array" ref="Q80:S80">_xlfn.TEXTSPLIT(J80,"/")</f>
        <v>7</v>
      </c>
      <c r="R80" s="1" t="str">
        <v>15</v>
      </c>
      <c r="S80" t="str">
        <v>2026</v>
      </c>
      <c r="T80" s="1">
        <f t="shared" si="9"/>
        <v>46218</v>
      </c>
      <c r="U80" s="19">
        <f t="shared" si="10"/>
        <v>3.6899999999999977</v>
      </c>
      <c r="V80" s="17">
        <f ca="1">(LN(N80/G80)+(L80/100)^2*P80/2)/(L80/100*SQRT(P80))</f>
        <v>1.8027151198862428</v>
      </c>
      <c r="W80" s="17">
        <f ca="1">V80-L80/100*SQRT(P80)</f>
        <v>1.3613564026028291</v>
      </c>
      <c r="X80" s="17">
        <f ca="1">(LN(N80/G80)+P80*(U80/100+(L80/100)^2/2))/((L80/100*SQRT(P80)))</f>
        <v>1.8297437353895656</v>
      </c>
      <c r="Y80" s="17">
        <f ca="1">X80-N80/100*SQRT(R80)</f>
        <v>1.1290435883937198</v>
      </c>
      <c r="Z80" s="20">
        <f ca="1">EXP(-P80)/(N80*L80/100*SQRT(P80))*_xlfn.NORM.S.DIST(X80,FALSE)</f>
        <v>6.7799889396737076E-3</v>
      </c>
      <c r="AA80" s="17">
        <f t="shared" ca="1" si="6"/>
        <v>5.5691436954610251E-3</v>
      </c>
      <c r="AB80" s="17"/>
      <c r="AC80" s="17"/>
      <c r="AD80" s="17"/>
    </row>
    <row r="81" spans="1:30" x14ac:dyDescent="0.25">
      <c r="A81" t="s">
        <v>106</v>
      </c>
      <c r="B81" t="s">
        <v>107</v>
      </c>
      <c r="C81" t="s">
        <v>108</v>
      </c>
      <c r="D81">
        <v>46030</v>
      </c>
      <c r="E81" t="s">
        <v>107</v>
      </c>
      <c r="F81" t="s">
        <v>110</v>
      </c>
      <c r="G81">
        <v>10</v>
      </c>
      <c r="H81">
        <v>0.25</v>
      </c>
      <c r="I81">
        <v>-8.5999999999999993E-2</v>
      </c>
      <c r="J81" t="s">
        <v>61</v>
      </c>
      <c r="K81">
        <v>4172</v>
      </c>
      <c r="L81">
        <v>77.626099999999994</v>
      </c>
      <c r="M81">
        <v>-6.0019999999999997E-2</v>
      </c>
      <c r="N81">
        <f>INDEX(jkm!$H:$H,MATCH(J81,jkm!$J:$J,0),1)</f>
        <v>18.091999999999999</v>
      </c>
      <c r="O81" s="3">
        <f t="shared" ca="1" si="7"/>
        <v>118</v>
      </c>
      <c r="P81" s="3">
        <f t="shared" ca="1" si="8"/>
        <v>0.32328767123287672</v>
      </c>
      <c r="Q81" t="str" cm="1">
        <f t="array" ref="Q81:S81">_xlfn.TEXTSPLIT(J81,"/")</f>
        <v>7</v>
      </c>
      <c r="R81" s="1" t="str">
        <v>15</v>
      </c>
      <c r="S81" t="str">
        <v>2026</v>
      </c>
      <c r="T81" s="1">
        <f t="shared" si="9"/>
        <v>46218</v>
      </c>
      <c r="U81" s="19">
        <f t="shared" si="10"/>
        <v>3.6899999999999977</v>
      </c>
      <c r="V81" s="17">
        <f ca="1">(LN(N81/G81)+(L81/100)^2*P81/2)/(L81/100*SQRT(P81))</f>
        <v>1.5639690860163979</v>
      </c>
      <c r="W81" s="17">
        <f ca="1">V81-L81/100*SQRT(P81)</f>
        <v>1.1225995656385519</v>
      </c>
      <c r="X81" s="17">
        <f ca="1">(LN(N81/G81)+P81*(U81/100+(L81/100)^2/2))/((L81/100*SQRT(P81)))</f>
        <v>1.5909970399591187</v>
      </c>
      <c r="Y81" s="17">
        <f ca="1">X81-N81/100*SQRT(R81)</f>
        <v>0.89029689296327275</v>
      </c>
      <c r="Z81" s="20">
        <f ca="1">EXP(-P81)/(N81*L81/100*SQRT(P81))*_xlfn.NORM.S.DIST(X81,FALSE)</f>
        <v>1.0199067270603537E-2</v>
      </c>
      <c r="AA81" s="17">
        <f t="shared" ca="1" si="6"/>
        <v>8.377810345251235E-3</v>
      </c>
      <c r="AB81" s="17"/>
      <c r="AC81" s="17"/>
      <c r="AD81" s="17"/>
    </row>
    <row r="82" spans="1:30" x14ac:dyDescent="0.25">
      <c r="A82" t="s">
        <v>106</v>
      </c>
      <c r="B82" t="s">
        <v>107</v>
      </c>
      <c r="C82" t="s">
        <v>108</v>
      </c>
      <c r="D82">
        <v>46030</v>
      </c>
      <c r="E82" t="s">
        <v>107</v>
      </c>
      <c r="F82" t="s">
        <v>110</v>
      </c>
      <c r="G82">
        <v>12.5</v>
      </c>
      <c r="H82">
        <v>0.751</v>
      </c>
      <c r="I82">
        <v>-0.17299999999999999</v>
      </c>
      <c r="J82" t="s">
        <v>61</v>
      </c>
      <c r="K82">
        <v>4172</v>
      </c>
      <c r="L82">
        <v>77.630799999999994</v>
      </c>
      <c r="M82">
        <v>-0.14612</v>
      </c>
      <c r="N82">
        <f>INDEX(jkm!$H:$H,MATCH(J82,jkm!$J:$J,0),1)</f>
        <v>18.091999999999999</v>
      </c>
      <c r="O82" s="3">
        <f t="shared" ca="1" si="7"/>
        <v>118</v>
      </c>
      <c r="P82" s="3">
        <f t="shared" ca="1" si="8"/>
        <v>0.32328767123287672</v>
      </c>
      <c r="Q82" t="str" cm="1">
        <f t="array" ref="Q82:S82">_xlfn.TEXTSPLIT(J82,"/")</f>
        <v>7</v>
      </c>
      <c r="R82" s="1" t="str">
        <v>15</v>
      </c>
      <c r="S82" t="str">
        <v>2026</v>
      </c>
      <c r="T82" s="1">
        <f t="shared" si="9"/>
        <v>46218</v>
      </c>
      <c r="U82" s="19">
        <f t="shared" si="10"/>
        <v>3.6899999999999977</v>
      </c>
      <c r="V82" s="17">
        <f ca="1">(LN(N82/G82)+(L82/100)^2*P82/2)/(L82/100*SQRT(P82))</f>
        <v>1.0583609078600005</v>
      </c>
      <c r="W82" s="17">
        <f ca="1">V82-L82/100*SQRT(P82)</f>
        <v>0.61696466403803218</v>
      </c>
      <c r="X82" s="17">
        <f ca="1">(LN(N82/G82)+P82*(U82/100+(L82/100)^2/2))/((L82/100*SQRT(P82)))</f>
        <v>1.0853872254498365</v>
      </c>
      <c r="Y82" s="17">
        <f ca="1">X82-N82/100*SQRT(R82)</f>
        <v>0.38468707845399053</v>
      </c>
      <c r="Z82" s="20">
        <f ca="1">EXP(-P82)/(N82*L82/100*SQRT(P82))*_xlfn.NORM.S.DIST(X82,FALSE)</f>
        <v>2.0062227198832668E-2</v>
      </c>
      <c r="AA82" s="17">
        <f t="shared" ca="1" si="6"/>
        <v>1.6480694424933148E-2</v>
      </c>
      <c r="AB82" s="17"/>
      <c r="AC82" s="17"/>
      <c r="AD82" s="17"/>
    </row>
    <row r="83" spans="1:30" x14ac:dyDescent="0.25">
      <c r="A83" t="s">
        <v>106</v>
      </c>
      <c r="B83" t="s">
        <v>107</v>
      </c>
      <c r="C83" t="s">
        <v>108</v>
      </c>
      <c r="D83">
        <v>46030</v>
      </c>
      <c r="E83" t="s">
        <v>107</v>
      </c>
      <c r="F83" t="s">
        <v>110</v>
      </c>
      <c r="G83">
        <v>13</v>
      </c>
      <c r="H83">
        <v>0.89400000000000002</v>
      </c>
      <c r="I83">
        <v>-0.192</v>
      </c>
      <c r="J83" t="s">
        <v>61</v>
      </c>
      <c r="K83">
        <v>4172</v>
      </c>
      <c r="L83">
        <v>77.631600000000006</v>
      </c>
      <c r="M83">
        <v>-0.16725000000000001</v>
      </c>
      <c r="N83">
        <f>INDEX(jkm!$H:$H,MATCH(J83,jkm!$J:$J,0),1)</f>
        <v>18.091999999999999</v>
      </c>
      <c r="O83" s="3">
        <f t="shared" ca="1" si="7"/>
        <v>118</v>
      </c>
      <c r="P83" s="3">
        <f t="shared" ca="1" si="8"/>
        <v>0.32328767123287672</v>
      </c>
      <c r="Q83" t="str" cm="1">
        <f t="array" ref="Q83:S83">_xlfn.TEXTSPLIT(J83,"/")</f>
        <v>7</v>
      </c>
      <c r="R83" s="1" t="str">
        <v>15</v>
      </c>
      <c r="S83" t="str">
        <v>2026</v>
      </c>
      <c r="T83" s="1">
        <f t="shared" si="9"/>
        <v>46218</v>
      </c>
      <c r="U83" s="19">
        <f t="shared" si="10"/>
        <v>3.6899999999999977</v>
      </c>
      <c r="V83" s="17">
        <f ca="1">(LN(N83/G83)+(L83/100)^2*P83/2)/(L83/100*SQRT(P83))</f>
        <v>0.96949944639577823</v>
      </c>
      <c r="W83" s="17">
        <f ca="1">V83-L83/100*SQRT(P83)</f>
        <v>0.52809865390246991</v>
      </c>
      <c r="X83" s="17">
        <f ca="1">(LN(N83/G83)+P83*(U83/100+(L83/100)^2/2))/((L83/100*SQRT(P83)))</f>
        <v>0.99652548547719655</v>
      </c>
      <c r="Y83" s="17">
        <f ca="1">X83-N83/100*SQRT(R83)</f>
        <v>0.29582533848135062</v>
      </c>
      <c r="Z83" s="20">
        <f ca="1">EXP(-P83)/(N83*L83/100*SQRT(P83))*_xlfn.NORM.S.DIST(X83,FALSE)</f>
        <v>2.2006320137498821E-2</v>
      </c>
      <c r="AA83" s="17">
        <f t="shared" ca="1" si="6"/>
        <v>1.8077911863360583E-2</v>
      </c>
      <c r="AB83" s="17"/>
      <c r="AC83" s="17"/>
      <c r="AD83" s="17"/>
    </row>
    <row r="84" spans="1:30" x14ac:dyDescent="0.25">
      <c r="A84" t="s">
        <v>106</v>
      </c>
      <c r="B84" t="s">
        <v>107</v>
      </c>
      <c r="C84" t="s">
        <v>108</v>
      </c>
      <c r="D84">
        <v>46030</v>
      </c>
      <c r="E84" t="s">
        <v>107</v>
      </c>
      <c r="F84" t="s">
        <v>110</v>
      </c>
      <c r="G84">
        <v>15</v>
      </c>
      <c r="H84">
        <v>1.6180000000000001</v>
      </c>
      <c r="I84">
        <v>-0.26400000000000001</v>
      </c>
      <c r="J84" t="s">
        <v>61</v>
      </c>
      <c r="K84">
        <v>4172</v>
      </c>
      <c r="L84">
        <v>77.635599999999997</v>
      </c>
      <c r="M84">
        <v>-0.25991999999999998</v>
      </c>
      <c r="N84">
        <f>INDEX(jkm!$H:$H,MATCH(J84,jkm!$J:$J,0),1)</f>
        <v>18.091999999999999</v>
      </c>
      <c r="O84" s="3">
        <f t="shared" ca="1" si="7"/>
        <v>118</v>
      </c>
      <c r="P84" s="3">
        <f t="shared" ca="1" si="8"/>
        <v>0.32328767123287672</v>
      </c>
      <c r="Q84" t="str" cm="1">
        <f t="array" ref="Q84:S84">_xlfn.TEXTSPLIT(J84,"/")</f>
        <v>7</v>
      </c>
      <c r="R84" s="1" t="str">
        <v>15</v>
      </c>
      <c r="S84" t="str">
        <v>2026</v>
      </c>
      <c r="T84" s="1">
        <f t="shared" si="9"/>
        <v>46218</v>
      </c>
      <c r="U84" s="19">
        <f t="shared" si="10"/>
        <v>3.6899999999999977</v>
      </c>
      <c r="V84" s="17">
        <f ca="1">(LN(N84/G84)+(L84/100)^2*P84/2)/(L84/100*SQRT(P84))</f>
        <v>0.64529187136803878</v>
      </c>
      <c r="W84" s="17">
        <f ca="1">V84-L84/100*SQRT(P84)</f>
        <v>0.2038683355180308</v>
      </c>
      <c r="X84" s="17">
        <f ca="1">(LN(N84/G84)+P84*(U84/100+(L84/100)^2/2))/((L84/100*SQRT(P84)))</f>
        <v>0.67231651799346626</v>
      </c>
      <c r="Y84" s="17">
        <f ca="1">X84-N84/100*SQRT(R84)</f>
        <v>-2.8383629002379673E-2</v>
      </c>
      <c r="Z84" s="20">
        <f ca="1">EXP(-P84)/(N84*L84/100*SQRT(P84))*_xlfn.NORM.S.DIST(X84,FALSE)</f>
        <v>2.8841200518799306E-2</v>
      </c>
      <c r="AA84" s="17">
        <f t="shared" ca="1" si="6"/>
        <v>2.3693899866943285E-2</v>
      </c>
      <c r="AB84" s="17"/>
      <c r="AC84" s="17"/>
      <c r="AD84" s="17"/>
    </row>
    <row r="85" spans="1:30" x14ac:dyDescent="0.25">
      <c r="A85" t="s">
        <v>106</v>
      </c>
      <c r="B85" t="s">
        <v>107</v>
      </c>
      <c r="C85" t="s">
        <v>108</v>
      </c>
      <c r="D85">
        <v>46030</v>
      </c>
      <c r="E85" t="s">
        <v>107</v>
      </c>
      <c r="F85" t="s">
        <v>110</v>
      </c>
      <c r="G85">
        <v>17</v>
      </c>
      <c r="H85">
        <v>2.5739999999999998</v>
      </c>
      <c r="J85" t="s">
        <v>61</v>
      </c>
      <c r="K85">
        <v>4172</v>
      </c>
      <c r="L85">
        <v>77.641999999999996</v>
      </c>
      <c r="M85">
        <v>-0.35851</v>
      </c>
      <c r="N85">
        <f>INDEX(jkm!$H:$H,MATCH(J85,jkm!$J:$J,0),1)</f>
        <v>18.091999999999999</v>
      </c>
      <c r="O85" s="3">
        <f t="shared" ca="1" si="7"/>
        <v>118</v>
      </c>
      <c r="P85" s="3">
        <f t="shared" ca="1" si="8"/>
        <v>0.32328767123287672</v>
      </c>
      <c r="Q85" t="str" cm="1">
        <f t="array" ref="Q85:S85">_xlfn.TEXTSPLIT(J85,"/")</f>
        <v>7</v>
      </c>
      <c r="R85" s="1" t="str">
        <v>15</v>
      </c>
      <c r="S85" t="str">
        <v>2026</v>
      </c>
      <c r="T85" s="1">
        <f t="shared" si="9"/>
        <v>46218</v>
      </c>
      <c r="U85" s="19">
        <f t="shared" si="10"/>
        <v>3.6899999999999977</v>
      </c>
      <c r="V85" s="17">
        <f ca="1">(LN(N85/G85)+(L85/100)^2*P85/2)/(L85/100*SQRT(P85))</f>
        <v>0.36175410546603209</v>
      </c>
      <c r="W85" s="17">
        <f ca="1">V85-L85/100*SQRT(P85)</f>
        <v>-7.9705819754695539E-2</v>
      </c>
      <c r="X85" s="17">
        <f ca="1">(LN(N85/G85)+P85*(U85/100+(L85/100)^2/2))/((L85/100*SQRT(P85)))</f>
        <v>0.38877652446030103</v>
      </c>
      <c r="Y85" s="17">
        <f ca="1">X85-N85/100*SQRT(R85)</f>
        <v>-0.3119236225355449</v>
      </c>
      <c r="Z85" s="20">
        <f ca="1">EXP(-P85)/(N85*L85/100*SQRT(P85))*_xlfn.NORM.S.DIST(X85,FALSE)</f>
        <v>3.3520381694054545E-2</v>
      </c>
      <c r="AA85" s="17">
        <f t="shared" ca="1" si="6"/>
        <v>2.7540255829266364E-2</v>
      </c>
      <c r="AB85" s="17"/>
      <c r="AC85" s="17"/>
      <c r="AD85" s="17"/>
    </row>
    <row r="86" spans="1:30" x14ac:dyDescent="0.25">
      <c r="A86" t="s">
        <v>106</v>
      </c>
      <c r="B86" t="s">
        <v>107</v>
      </c>
      <c r="C86" t="s">
        <v>108</v>
      </c>
      <c r="D86">
        <v>46030</v>
      </c>
      <c r="E86" t="s">
        <v>107</v>
      </c>
      <c r="F86" t="s">
        <v>110</v>
      </c>
      <c r="G86">
        <v>20</v>
      </c>
      <c r="H86">
        <v>4.4009999999999998</v>
      </c>
      <c r="I86">
        <v>-0.40600000000000003</v>
      </c>
      <c r="J86" t="s">
        <v>61</v>
      </c>
      <c r="K86">
        <v>4172</v>
      </c>
      <c r="L86">
        <v>77.863900000000001</v>
      </c>
      <c r="M86">
        <v>-0.50053999999999998</v>
      </c>
      <c r="N86">
        <f>INDEX(jkm!$H:$H,MATCH(J86,jkm!$J:$J,0),1)</f>
        <v>18.091999999999999</v>
      </c>
      <c r="O86" s="3">
        <f t="shared" ca="1" si="7"/>
        <v>118</v>
      </c>
      <c r="P86" s="3">
        <f t="shared" ca="1" si="8"/>
        <v>0.32328767123287672</v>
      </c>
      <c r="Q86" t="str" cm="1">
        <f t="array" ref="Q86:S86">_xlfn.TEXTSPLIT(J86,"/")</f>
        <v>7</v>
      </c>
      <c r="R86" s="1" t="str">
        <v>15</v>
      </c>
      <c r="S86" t="str">
        <v>2026</v>
      </c>
      <c r="T86" s="1">
        <f t="shared" si="9"/>
        <v>46218</v>
      </c>
      <c r="U86" s="19">
        <f t="shared" si="10"/>
        <v>3.6899999999999977</v>
      </c>
      <c r="V86" s="17">
        <f ca="1">(LN(N86/G86)+(L86/100)^2*P86/2)/(L86/100*SQRT(P86))</f>
        <v>-5.1075181175947656E-3</v>
      </c>
      <c r="W86" s="17">
        <f ca="1">V86-L86/100*SQRT(P86)</f>
        <v>-0.44782913105124167</v>
      </c>
      <c r="X86" s="17">
        <f ca="1">(LN(N86/G86)+P86*(U86/100+(L86/100)^2/2))/((L86/100*SQRT(P86)))</f>
        <v>2.1837891187012751E-2</v>
      </c>
      <c r="Y86" s="17">
        <f ca="1">X86-N86/100*SQRT(R86)</f>
        <v>-0.67886225580883319</v>
      </c>
      <c r="Z86" s="20">
        <f ca="1">EXP(-P86)/(N86*L86/100*SQRT(P86))*_xlfn.NORM.S.DIST(X86,FALSE)</f>
        <v>3.6040196892708917E-2</v>
      </c>
      <c r="AA86" s="17">
        <f t="shared" ca="1" si="6"/>
        <v>2.9695155821955043E-2</v>
      </c>
      <c r="AB86" s="17"/>
      <c r="AC86" s="17"/>
      <c r="AD86" s="17"/>
    </row>
    <row r="87" spans="1:30" x14ac:dyDescent="0.25">
      <c r="A87" t="s">
        <v>106</v>
      </c>
      <c r="B87" t="s">
        <v>107</v>
      </c>
      <c r="C87" t="s">
        <v>108</v>
      </c>
      <c r="D87">
        <v>46030</v>
      </c>
      <c r="E87" t="s">
        <v>107</v>
      </c>
      <c r="F87" t="s">
        <v>110</v>
      </c>
      <c r="G87">
        <v>25</v>
      </c>
      <c r="H87">
        <v>8.2100000000000009</v>
      </c>
      <c r="I87">
        <v>-0.47299999999999998</v>
      </c>
      <c r="J87" t="s">
        <v>61</v>
      </c>
      <c r="K87">
        <v>4172</v>
      </c>
      <c r="L87">
        <v>78.393100000000004</v>
      </c>
      <c r="M87">
        <v>-0.68960999999999995</v>
      </c>
      <c r="N87">
        <f>INDEX(jkm!$H:$H,MATCH(J87,jkm!$J:$J,0),1)</f>
        <v>18.091999999999999</v>
      </c>
      <c r="O87" s="3">
        <f t="shared" ca="1" si="7"/>
        <v>118</v>
      </c>
      <c r="P87" s="3">
        <f t="shared" ca="1" si="8"/>
        <v>0.32328767123287672</v>
      </c>
      <c r="Q87" t="str" cm="1">
        <f t="array" ref="Q87:S87">_xlfn.TEXTSPLIT(J87,"/")</f>
        <v>7</v>
      </c>
      <c r="R87" s="1" t="str">
        <v>15</v>
      </c>
      <c r="S87" t="str">
        <v>2026</v>
      </c>
      <c r="T87" s="1">
        <f t="shared" si="9"/>
        <v>46218</v>
      </c>
      <c r="U87" s="19">
        <f t="shared" si="10"/>
        <v>3.6899999999999977</v>
      </c>
      <c r="V87" s="17">
        <f ca="1">(LN(N87/G87)+(L87/100)^2*P87/2)/(L87/100*SQRT(P87))</f>
        <v>-0.50269855429778365</v>
      </c>
      <c r="W87" s="17">
        <f ca="1">V87-L87/100*SQRT(P87)</f>
        <v>-0.9484291133228091</v>
      </c>
      <c r="X87" s="17">
        <f ca="1">(LN(N87/G87)+P87*(U87/100+(L87/100)^2/2))/((L87/100*SQRT(P87)))</f>
        <v>-0.47593504251482022</v>
      </c>
      <c r="Y87" s="17">
        <f ca="1">X87-N87/100*SQRT(R87)</f>
        <v>-1.1766351895106661</v>
      </c>
      <c r="Z87" s="20">
        <f ca="1">EXP(-P87)/(N87*L87/100*SQRT(P87))*_xlfn.NORM.S.DIST(X87,FALSE)</f>
        <v>3.1971432760550401E-2</v>
      </c>
      <c r="AA87" s="17">
        <f t="shared" ca="1" si="6"/>
        <v>2.6521753771199485E-2</v>
      </c>
      <c r="AB87" s="17"/>
      <c r="AC87" s="17"/>
      <c r="AD87" s="17"/>
    </row>
    <row r="88" spans="1:30" x14ac:dyDescent="0.25">
      <c r="A88" t="s">
        <v>106</v>
      </c>
      <c r="B88" t="s">
        <v>107</v>
      </c>
      <c r="C88" t="s">
        <v>108</v>
      </c>
      <c r="D88">
        <v>46031</v>
      </c>
      <c r="E88" t="s">
        <v>107</v>
      </c>
      <c r="F88" t="s">
        <v>109</v>
      </c>
      <c r="G88">
        <v>5</v>
      </c>
      <c r="H88">
        <v>12.811</v>
      </c>
      <c r="I88">
        <v>0.51300000000000001</v>
      </c>
      <c r="J88" t="s">
        <v>62</v>
      </c>
      <c r="K88">
        <v>4172</v>
      </c>
      <c r="L88">
        <v>79.231999999999999</v>
      </c>
      <c r="M88">
        <v>0.99705999999999995</v>
      </c>
      <c r="N88">
        <f>INDEX(jkm!$H:$H,MATCH(J88,jkm!$J:$J,0),1)</f>
        <v>17.802</v>
      </c>
      <c r="O88" s="3">
        <f t="shared" ca="1" si="7"/>
        <v>148</v>
      </c>
      <c r="P88" s="3">
        <f t="shared" ca="1" si="8"/>
        <v>0.40547945205479452</v>
      </c>
      <c r="Q88" t="str" cm="1">
        <f t="array" ref="Q88:S88">_xlfn.TEXTSPLIT(J88,"/")</f>
        <v>8</v>
      </c>
      <c r="R88" s="1" t="str">
        <v>14</v>
      </c>
      <c r="S88" t="str">
        <v>2026</v>
      </c>
      <c r="T88" s="1">
        <f t="shared" si="9"/>
        <v>46248</v>
      </c>
      <c r="U88" s="19">
        <f t="shared" si="10"/>
        <v>3.6899999999999977</v>
      </c>
      <c r="V88" s="17">
        <f ca="1">(LN(N88/G88)+(L88/100)^2*P88/2)/(L88/100*SQRT(P88))</f>
        <v>2.7692174722415968</v>
      </c>
      <c r="W88" s="17">
        <f ca="1">V88-L88/100*SQRT(P88)</f>
        <v>2.2646897386535887</v>
      </c>
      <c r="X88" s="17">
        <f ca="1">(LN(N88/G88)+P88*(U88/100+(L88/100)^2/2))/((L88/100*SQRT(P88)))</f>
        <v>2.7988733083527588</v>
      </c>
      <c r="Y88" s="17">
        <f ca="1">X88-N88/100*SQRT(R88)</f>
        <v>2.1327834603592617</v>
      </c>
      <c r="Z88" s="20">
        <f ca="1">EXP(-P88)/(N88*L88/100*SQRT(P88))*_xlfn.NORM.S.DIST(X88,FALSE)</f>
        <v>5.8937834704112565E-4</v>
      </c>
      <c r="AA88" s="17">
        <f t="shared" ca="1" si="6"/>
        <v>6.0006906638885053E-4</v>
      </c>
      <c r="AB88" s="17"/>
      <c r="AC88" s="17"/>
      <c r="AD88" s="17"/>
    </row>
    <row r="89" spans="1:30" x14ac:dyDescent="0.25">
      <c r="A89" t="s">
        <v>106</v>
      </c>
      <c r="B89" t="s">
        <v>107</v>
      </c>
      <c r="C89" t="s">
        <v>108</v>
      </c>
      <c r="D89">
        <v>46031</v>
      </c>
      <c r="E89" t="s">
        <v>107</v>
      </c>
      <c r="F89" t="s">
        <v>109</v>
      </c>
      <c r="G89">
        <v>8</v>
      </c>
      <c r="H89">
        <v>9.9480000000000004</v>
      </c>
      <c r="I89">
        <v>0.46200000000000002</v>
      </c>
      <c r="J89" t="s">
        <v>62</v>
      </c>
      <c r="K89">
        <v>4172</v>
      </c>
      <c r="L89">
        <v>79.237899999999996</v>
      </c>
      <c r="M89">
        <v>0.96626999999999996</v>
      </c>
      <c r="N89">
        <f>INDEX(jkm!$H:$H,MATCH(J89,jkm!$J:$J,0),1)</f>
        <v>17.802</v>
      </c>
      <c r="O89" s="3">
        <f t="shared" ca="1" si="7"/>
        <v>148</v>
      </c>
      <c r="P89" s="3">
        <f t="shared" ca="1" si="8"/>
        <v>0.40547945205479452</v>
      </c>
      <c r="Q89" t="str" cm="1">
        <f t="array" ref="Q89:S89">_xlfn.TEXTSPLIT(J89,"/")</f>
        <v>8</v>
      </c>
      <c r="R89" s="1" t="str">
        <v>14</v>
      </c>
      <c r="S89" t="str">
        <v>2026</v>
      </c>
      <c r="T89" s="1">
        <f t="shared" si="9"/>
        <v>46248</v>
      </c>
      <c r="U89" s="19">
        <f t="shared" si="10"/>
        <v>3.6899999999999977</v>
      </c>
      <c r="V89" s="17">
        <f ca="1">(LN(N89/G89)+(L89/100)^2*P89/2)/(L89/100*SQRT(P89))</f>
        <v>1.8375467667016632</v>
      </c>
      <c r="W89" s="17">
        <f ca="1">V89-L89/100*SQRT(P89)</f>
        <v>1.3329814635252544</v>
      </c>
      <c r="X89" s="17">
        <f ca="1">(LN(N89/G89)+P89*(U89/100+(L89/100)^2/2))/((L89/100*SQRT(P89)))</f>
        <v>1.8672003946594913</v>
      </c>
      <c r="Y89" s="17">
        <f ca="1">X89-N89/100*SQRT(R89)</f>
        <v>1.2011105466659941</v>
      </c>
      <c r="Z89" s="20">
        <f ca="1">EXP(-P89)/(N89*L89/100*SQRT(P89))*_xlfn.NORM.S.DIST(X89,FALSE)</f>
        <v>5.1803148302371543E-3</v>
      </c>
      <c r="AA89" s="17">
        <f t="shared" ca="1" si="6"/>
        <v>5.2746731821584018E-3</v>
      </c>
      <c r="AB89" s="17"/>
      <c r="AC89" s="17"/>
      <c r="AD89" s="17"/>
    </row>
    <row r="90" spans="1:30" x14ac:dyDescent="0.25">
      <c r="A90" t="s">
        <v>106</v>
      </c>
      <c r="B90" t="s">
        <v>107</v>
      </c>
      <c r="C90" t="s">
        <v>108</v>
      </c>
      <c r="D90">
        <v>46031</v>
      </c>
      <c r="E90" t="s">
        <v>107</v>
      </c>
      <c r="F90" t="s">
        <v>109</v>
      </c>
      <c r="G90">
        <v>9</v>
      </c>
      <c r="H90">
        <v>9.0630000000000006</v>
      </c>
      <c r="I90">
        <v>0.432</v>
      </c>
      <c r="J90" t="s">
        <v>62</v>
      </c>
      <c r="K90">
        <v>4172</v>
      </c>
      <c r="L90">
        <v>79.240099999999998</v>
      </c>
      <c r="M90">
        <v>0.94484000000000001</v>
      </c>
      <c r="N90">
        <f>INDEX(jkm!$H:$H,MATCH(J90,jkm!$J:$J,0),1)</f>
        <v>17.802</v>
      </c>
      <c r="O90" s="3">
        <f t="shared" ca="1" si="7"/>
        <v>148</v>
      </c>
      <c r="P90" s="3">
        <f t="shared" ca="1" si="8"/>
        <v>0.40547945205479452</v>
      </c>
      <c r="Q90" t="str" cm="1">
        <f t="array" ref="Q90:S90">_xlfn.TEXTSPLIT(J90,"/")</f>
        <v>8</v>
      </c>
      <c r="R90" s="1" t="str">
        <v>14</v>
      </c>
      <c r="S90" t="str">
        <v>2026</v>
      </c>
      <c r="T90" s="1">
        <f t="shared" si="9"/>
        <v>46248</v>
      </c>
      <c r="U90" s="19">
        <f t="shared" si="10"/>
        <v>3.6899999999999977</v>
      </c>
      <c r="V90" s="17">
        <f ca="1">(LN(N90/G90)+(L90/100)^2*P90/2)/(L90/100*SQRT(P90))</f>
        <v>1.6040815681654097</v>
      </c>
      <c r="W90" s="17">
        <f ca="1">V90-L90/100*SQRT(P90)</f>
        <v>1.0995022559899361</v>
      </c>
      <c r="X90" s="17">
        <f ca="1">(LN(N90/G90)+P90*(U90/100+(L90/100)^2/2))/((L90/100*SQRT(P90)))</f>
        <v>1.6337343728281952</v>
      </c>
      <c r="Y90" s="17">
        <f ca="1">X90-N90/100*SQRT(R90)</f>
        <v>0.96764452483469821</v>
      </c>
      <c r="Z90" s="20">
        <f ca="1">EXP(-P90)/(N90*L90/100*SQRT(P90))*_xlfn.NORM.S.DIST(X90,FALSE)</f>
        <v>7.7952355861924394E-3</v>
      </c>
      <c r="AA90" s="17">
        <f t="shared" ca="1" si="6"/>
        <v>7.9374445461449766E-3</v>
      </c>
      <c r="AB90" s="17"/>
      <c r="AC90" s="17"/>
      <c r="AD90" s="17"/>
    </row>
    <row r="91" spans="1:30" x14ac:dyDescent="0.25">
      <c r="A91" t="s">
        <v>106</v>
      </c>
      <c r="B91" t="s">
        <v>107</v>
      </c>
      <c r="C91" t="s">
        <v>108</v>
      </c>
      <c r="D91">
        <v>46031</v>
      </c>
      <c r="E91" t="s">
        <v>107</v>
      </c>
      <c r="F91" t="s">
        <v>109</v>
      </c>
      <c r="G91">
        <v>9.6999999999999993</v>
      </c>
      <c r="H91">
        <v>8.4719999999999995</v>
      </c>
      <c r="I91">
        <v>0.40899999999999997</v>
      </c>
      <c r="J91" t="s">
        <v>62</v>
      </c>
      <c r="K91">
        <v>4172</v>
      </c>
      <c r="L91">
        <v>79.241500000000002</v>
      </c>
      <c r="M91">
        <v>0.92637000000000003</v>
      </c>
      <c r="N91">
        <f>INDEX(jkm!$H:$H,MATCH(J91,jkm!$J:$J,0),1)</f>
        <v>17.802</v>
      </c>
      <c r="O91" s="3">
        <f t="shared" ca="1" si="7"/>
        <v>148</v>
      </c>
      <c r="P91" s="3">
        <f t="shared" ca="1" si="8"/>
        <v>0.40547945205479452</v>
      </c>
      <c r="Q91" t="str" cm="1">
        <f t="array" ref="Q91:S91">_xlfn.TEXTSPLIT(J91,"/")</f>
        <v>8</v>
      </c>
      <c r="R91" s="1" t="str">
        <v>14</v>
      </c>
      <c r="S91" t="str">
        <v>2026</v>
      </c>
      <c r="T91" s="1">
        <f t="shared" si="9"/>
        <v>46248</v>
      </c>
      <c r="U91" s="19">
        <f t="shared" si="10"/>
        <v>3.6899999999999977</v>
      </c>
      <c r="V91" s="17">
        <f ca="1">(LN(N91/G91)+(L91/100)^2*P91/2)/(L91/100*SQRT(P91))</f>
        <v>1.4556216834751965</v>
      </c>
      <c r="W91" s="17">
        <f ca="1">V91-L91/100*SQRT(P91)</f>
        <v>0.95103345648213633</v>
      </c>
      <c r="X91" s="17">
        <f ca="1">(LN(N91/G91)+P91*(U91/100+(L91/100)^2/2))/((L91/100*SQRT(P91)))</f>
        <v>1.4852739642467565</v>
      </c>
      <c r="Y91" s="17">
        <f ca="1">X91-N91/100*SQRT(R91)</f>
        <v>0.81918411625325949</v>
      </c>
      <c r="Z91" s="20">
        <f ca="1">EXP(-P91)/(N91*L91/100*SQRT(P91))*_xlfn.NORM.S.DIST(X91,FALSE)</f>
        <v>9.8258796265138278E-3</v>
      </c>
      <c r="AA91" s="17">
        <f t="shared" ca="1" si="6"/>
        <v>1.0005310518916006E-2</v>
      </c>
      <c r="AB91" s="17"/>
      <c r="AC91" s="17"/>
      <c r="AD91" s="17"/>
    </row>
    <row r="92" spans="1:30" x14ac:dyDescent="0.25">
      <c r="A92" t="s">
        <v>106</v>
      </c>
      <c r="B92" t="s">
        <v>107</v>
      </c>
      <c r="C92" t="s">
        <v>108</v>
      </c>
      <c r="D92">
        <v>46031</v>
      </c>
      <c r="E92" t="s">
        <v>107</v>
      </c>
      <c r="F92" t="s">
        <v>109</v>
      </c>
      <c r="G92">
        <v>9.8000000000000007</v>
      </c>
      <c r="H92">
        <v>8.39</v>
      </c>
      <c r="I92">
        <v>0.40600000000000003</v>
      </c>
      <c r="J92" t="s">
        <v>62</v>
      </c>
      <c r="K92">
        <v>4172</v>
      </c>
      <c r="L92">
        <v>79.241699999999994</v>
      </c>
      <c r="M92">
        <v>0.92351000000000005</v>
      </c>
      <c r="N92">
        <f>INDEX(jkm!$H:$H,MATCH(J92,jkm!$J:$J,0),1)</f>
        <v>17.802</v>
      </c>
      <c r="O92" s="3">
        <f t="shared" ca="1" si="7"/>
        <v>148</v>
      </c>
      <c r="P92" s="3">
        <f t="shared" ca="1" si="8"/>
        <v>0.40547945205479452</v>
      </c>
      <c r="Q92" t="str" cm="1">
        <f t="array" ref="Q92:S92">_xlfn.TEXTSPLIT(J92,"/")</f>
        <v>8</v>
      </c>
      <c r="R92" s="1" t="str">
        <v>14</v>
      </c>
      <c r="S92" t="str">
        <v>2026</v>
      </c>
      <c r="T92" s="1">
        <f t="shared" si="9"/>
        <v>46248</v>
      </c>
      <c r="U92" s="19">
        <f t="shared" si="10"/>
        <v>3.6899999999999977</v>
      </c>
      <c r="V92" s="17">
        <f ca="1">(LN(N92/G92)+(L92/100)^2*P92/2)/(L92/100*SQRT(P92))</f>
        <v>1.4352928590749909</v>
      </c>
      <c r="W92" s="17">
        <f ca="1">V92-L92/100*SQRT(P92)</f>
        <v>0.93070335853656128</v>
      </c>
      <c r="X92" s="17">
        <f ca="1">(LN(N92/G92)+P92*(U92/100+(L92/100)^2/2))/((L92/100*SQRT(P92)))</f>
        <v>1.4649450650064586</v>
      </c>
      <c r="Y92" s="17">
        <f ca="1">X92-N92/100*SQRT(R92)</f>
        <v>0.79885521701296158</v>
      </c>
      <c r="Z92" s="20">
        <f ca="1">EXP(-P92)/(N92*L92/100*SQRT(P92))*_xlfn.NORM.S.DIST(X92,FALSE)</f>
        <v>1.0124968601773572E-2</v>
      </c>
      <c r="AA92" s="17">
        <f t="shared" ca="1" si="6"/>
        <v>1.0309887194678713E-2</v>
      </c>
      <c r="AB92" s="17"/>
      <c r="AC92" s="17"/>
      <c r="AD92" s="17"/>
    </row>
    <row r="93" spans="1:30" x14ac:dyDescent="0.25">
      <c r="A93" t="s">
        <v>106</v>
      </c>
      <c r="B93" t="s">
        <v>107</v>
      </c>
      <c r="C93" t="s">
        <v>108</v>
      </c>
      <c r="D93">
        <v>46031</v>
      </c>
      <c r="E93" t="s">
        <v>107</v>
      </c>
      <c r="F93" t="s">
        <v>109</v>
      </c>
      <c r="G93">
        <v>10</v>
      </c>
      <c r="H93">
        <v>8.2260000000000009</v>
      </c>
      <c r="I93">
        <v>0.39900000000000002</v>
      </c>
      <c r="J93" t="s">
        <v>62</v>
      </c>
      <c r="K93">
        <v>4172</v>
      </c>
      <c r="L93">
        <v>79.242000000000004</v>
      </c>
      <c r="M93">
        <v>0.91762999999999995</v>
      </c>
      <c r="N93">
        <f>INDEX(jkm!$H:$H,MATCH(J93,jkm!$J:$J,0),1)</f>
        <v>17.802</v>
      </c>
      <c r="O93" s="3">
        <f t="shared" ca="1" si="7"/>
        <v>148</v>
      </c>
      <c r="P93" s="3">
        <f t="shared" ca="1" si="8"/>
        <v>0.40547945205479452</v>
      </c>
      <c r="Q93" t="str" cm="1">
        <f t="array" ref="Q93:S93">_xlfn.TEXTSPLIT(J93,"/")</f>
        <v>8</v>
      </c>
      <c r="R93" s="1" t="str">
        <v>14</v>
      </c>
      <c r="S93" t="str">
        <v>2026</v>
      </c>
      <c r="T93" s="1">
        <f t="shared" si="9"/>
        <v>46248</v>
      </c>
      <c r="U93" s="19">
        <f t="shared" si="10"/>
        <v>3.6899999999999977</v>
      </c>
      <c r="V93" s="17">
        <f ca="1">(LN(N93/G93)+(L93/100)^2*P93/2)/(L93/100*SQRT(P93))</f>
        <v>1.3952515804871746</v>
      </c>
      <c r="W93" s="17">
        <f ca="1">V93-L93/100*SQRT(P93)</f>
        <v>0.89066016963069061</v>
      </c>
      <c r="X93" s="17">
        <f ca="1">(LN(N93/G93)+P93*(U93/100+(L93/100)^2/2))/((L93/100*SQRT(P93)))</f>
        <v>1.424903674159212</v>
      </c>
      <c r="Y93" s="17">
        <f ca="1">X93-N93/100*SQRT(R93)</f>
        <v>0.75881382616571502</v>
      </c>
      <c r="Z93" s="20">
        <f ca="1">EXP(-P93)/(N93*L93/100*SQRT(P93))*_xlfn.NORM.S.DIST(X93,FALSE)</f>
        <v>1.0728003878150164E-2</v>
      </c>
      <c r="AA93" s="17">
        <f t="shared" ca="1" si="6"/>
        <v>1.092397743578535E-2</v>
      </c>
      <c r="AB93" s="17"/>
      <c r="AC93" s="17"/>
      <c r="AD93" s="17"/>
    </row>
    <row r="94" spans="1:30" x14ac:dyDescent="0.25">
      <c r="A94" t="s">
        <v>106</v>
      </c>
      <c r="B94" t="s">
        <v>107</v>
      </c>
      <c r="C94" t="s">
        <v>108</v>
      </c>
      <c r="D94">
        <v>46031</v>
      </c>
      <c r="E94" t="s">
        <v>107</v>
      </c>
      <c r="F94" t="s">
        <v>109</v>
      </c>
      <c r="G94">
        <v>12.5</v>
      </c>
      <c r="H94">
        <v>6.3730000000000002</v>
      </c>
      <c r="I94">
        <v>0.30599999999999999</v>
      </c>
      <c r="J94" t="s">
        <v>62</v>
      </c>
      <c r="K94">
        <v>4172</v>
      </c>
      <c r="L94">
        <v>79.247</v>
      </c>
      <c r="M94">
        <v>0.82894999999999996</v>
      </c>
      <c r="N94">
        <f>INDEX(jkm!$H:$H,MATCH(J94,jkm!$J:$J,0),1)</f>
        <v>17.802</v>
      </c>
      <c r="O94" s="3">
        <f t="shared" ca="1" si="7"/>
        <v>148</v>
      </c>
      <c r="P94" s="3">
        <f t="shared" ca="1" si="8"/>
        <v>0.40547945205479452</v>
      </c>
      <c r="Q94" t="str" cm="1">
        <f t="array" ref="Q94:S94">_xlfn.TEXTSPLIT(J94,"/")</f>
        <v>8</v>
      </c>
      <c r="R94" s="1" t="str">
        <v>14</v>
      </c>
      <c r="S94" t="str">
        <v>2026</v>
      </c>
      <c r="T94" s="1">
        <f t="shared" si="9"/>
        <v>46248</v>
      </c>
      <c r="U94" s="19">
        <f t="shared" si="10"/>
        <v>3.6899999999999977</v>
      </c>
      <c r="V94" s="17">
        <f ca="1">(LN(N94/G94)+(L94/100)^2*P94/2)/(L94/100*SQRT(P94))</f>
        <v>0.95299706994696032</v>
      </c>
      <c r="W94" s="17">
        <f ca="1">V94-L94/100*SQRT(P94)</f>
        <v>0.44837382045623841</v>
      </c>
      <c r="X94" s="17">
        <f ca="1">(LN(N94/G94)+P94*(U94/100+(L94/100)^2/2))/((L94/100*SQRT(P94)))</f>
        <v>0.98264729275362261</v>
      </c>
      <c r="Y94" s="17">
        <f ca="1">X94-N94/100*SQRT(R94)</f>
        <v>0.31655744476012559</v>
      </c>
      <c r="Z94" s="20">
        <f ca="1">EXP(-P94)/(N94*L94/100*SQRT(P94))*_xlfn.NORM.S.DIST(X94,FALSE)</f>
        <v>1.8268381908062029E-2</v>
      </c>
      <c r="AA94" s="17">
        <f t="shared" ca="1" si="6"/>
        <v>1.860327289588742E-2</v>
      </c>
      <c r="AB94" s="17"/>
      <c r="AC94" s="17"/>
      <c r="AD94" s="17"/>
    </row>
    <row r="95" spans="1:30" x14ac:dyDescent="0.25">
      <c r="A95" t="s">
        <v>106</v>
      </c>
      <c r="B95" t="s">
        <v>107</v>
      </c>
      <c r="C95" t="s">
        <v>108</v>
      </c>
      <c r="D95">
        <v>46031</v>
      </c>
      <c r="E95" t="s">
        <v>107</v>
      </c>
      <c r="F95" t="s">
        <v>109</v>
      </c>
      <c r="G95">
        <v>13</v>
      </c>
      <c r="H95">
        <v>6.0439999999999996</v>
      </c>
      <c r="I95">
        <v>0.28699999999999998</v>
      </c>
      <c r="J95" t="s">
        <v>62</v>
      </c>
      <c r="K95">
        <v>4172</v>
      </c>
      <c r="L95">
        <v>79.248000000000005</v>
      </c>
      <c r="M95">
        <v>0.80861000000000005</v>
      </c>
      <c r="N95">
        <f>INDEX(jkm!$H:$H,MATCH(J95,jkm!$J:$J,0),1)</f>
        <v>17.802</v>
      </c>
      <c r="O95" s="3">
        <f t="shared" ca="1" si="7"/>
        <v>148</v>
      </c>
      <c r="P95" s="3">
        <f t="shared" ca="1" si="8"/>
        <v>0.40547945205479452</v>
      </c>
      <c r="Q95" t="str" cm="1">
        <f t="array" ref="Q95:S95">_xlfn.TEXTSPLIT(J95,"/")</f>
        <v>8</v>
      </c>
      <c r="R95" s="1" t="str">
        <v>14</v>
      </c>
      <c r="S95" t="str">
        <v>2026</v>
      </c>
      <c r="T95" s="1">
        <f t="shared" si="9"/>
        <v>46248</v>
      </c>
      <c r="U95" s="19">
        <f t="shared" si="10"/>
        <v>3.6899999999999977</v>
      </c>
      <c r="V95" s="17">
        <f ca="1">(LN(N95/G95)+(L95/100)^2*P95/2)/(L95/100*SQRT(P95))</f>
        <v>0.87526963002519609</v>
      </c>
      <c r="W95" s="17">
        <f ca="1">V95-L95/100*SQRT(P95)</f>
        <v>0.3706400128076266</v>
      </c>
      <c r="X95" s="17">
        <f ca="1">(LN(N95/G95)+P95*(U95/100+(L95/100)^2/2))/((L95/100*SQRT(P95)))</f>
        <v>0.90491947868711287</v>
      </c>
      <c r="Y95" s="17">
        <f ca="1">X95-N95/100*SQRT(R95)</f>
        <v>0.23882963069361585</v>
      </c>
      <c r="Z95" s="20">
        <f ca="1">EXP(-P95)/(N95*L95/100*SQRT(P95))*_xlfn.NORM.S.DIST(X95,FALSE)</f>
        <v>1.9658649150101577E-2</v>
      </c>
      <c r="AA95" s="17">
        <f t="shared" ca="1" si="6"/>
        <v>2.0019278752880232E-2</v>
      </c>
      <c r="AB95" s="17"/>
      <c r="AC95" s="17"/>
      <c r="AD95" s="17"/>
    </row>
    <row r="96" spans="1:30" x14ac:dyDescent="0.25">
      <c r="A96" t="s">
        <v>106</v>
      </c>
      <c r="B96" t="s">
        <v>107</v>
      </c>
      <c r="C96" t="s">
        <v>108</v>
      </c>
      <c r="D96">
        <v>46031</v>
      </c>
      <c r="E96" t="s">
        <v>107</v>
      </c>
      <c r="F96" t="s">
        <v>109</v>
      </c>
      <c r="G96">
        <v>15</v>
      </c>
      <c r="H96">
        <v>4.87</v>
      </c>
      <c r="I96">
        <v>0.215</v>
      </c>
      <c r="J96" t="s">
        <v>62</v>
      </c>
      <c r="K96">
        <v>4172</v>
      </c>
      <c r="L96">
        <v>79.251900000000006</v>
      </c>
      <c r="M96">
        <v>0.72277999999999998</v>
      </c>
      <c r="N96">
        <f>INDEX(jkm!$H:$H,MATCH(J96,jkm!$J:$J,0),1)</f>
        <v>17.802</v>
      </c>
      <c r="O96" s="3">
        <f t="shared" ca="1" si="7"/>
        <v>148</v>
      </c>
      <c r="P96" s="3">
        <f t="shared" ca="1" si="8"/>
        <v>0.40547945205479452</v>
      </c>
      <c r="Q96" t="str" cm="1">
        <f t="array" ref="Q96:S96">_xlfn.TEXTSPLIT(J96,"/")</f>
        <v>8</v>
      </c>
      <c r="R96" s="1" t="str">
        <v>14</v>
      </c>
      <c r="S96" t="str">
        <v>2026</v>
      </c>
      <c r="T96" s="1">
        <f t="shared" si="9"/>
        <v>46248</v>
      </c>
      <c r="U96" s="19">
        <f t="shared" si="10"/>
        <v>3.6899999999999977</v>
      </c>
      <c r="V96" s="17">
        <f ca="1">(LN(N96/G96)+(L96/100)^2*P96/2)/(L96/100*SQRT(P96))</f>
        <v>0.59168935549708501</v>
      </c>
      <c r="W96" s="17">
        <f ca="1">V96-L96/100*SQRT(P96)</f>
        <v>8.7034904144809966E-2</v>
      </c>
      <c r="X96" s="17">
        <f ca="1">(LN(N96/G96)+P96*(U96/100+(L96/100)^2/2))/((L96/100*SQRT(P96)))</f>
        <v>0.62133774508471107</v>
      </c>
      <c r="Y96" s="17">
        <f ca="1">X96-N96/100*SQRT(R96)</f>
        <v>-4.4752102908785951E-2</v>
      </c>
      <c r="Z96" s="20">
        <f ca="1">EXP(-P96)/(N96*L96/100*SQRT(P96))*_xlfn.NORM.S.DIST(X96,FALSE)</f>
        <v>2.4407184242181707E-2</v>
      </c>
      <c r="AA96" s="17">
        <f t="shared" ca="1" si="6"/>
        <v>2.4856146887908236E-2</v>
      </c>
      <c r="AB96" s="17"/>
      <c r="AC96" s="17"/>
      <c r="AD96" s="17"/>
    </row>
    <row r="97" spans="1:30" x14ac:dyDescent="0.25">
      <c r="A97" t="s">
        <v>106</v>
      </c>
      <c r="B97" t="s">
        <v>107</v>
      </c>
      <c r="C97" t="s">
        <v>108</v>
      </c>
      <c r="D97">
        <v>46031</v>
      </c>
      <c r="E97" t="s">
        <v>107</v>
      </c>
      <c r="F97" t="s">
        <v>109</v>
      </c>
      <c r="G97">
        <v>17</v>
      </c>
      <c r="H97">
        <v>3.9049999999999998</v>
      </c>
      <c r="J97" t="s">
        <v>62</v>
      </c>
      <c r="K97">
        <v>4172</v>
      </c>
      <c r="L97">
        <v>79.266099999999994</v>
      </c>
      <c r="M97">
        <v>0.63487000000000005</v>
      </c>
      <c r="N97">
        <f>INDEX(jkm!$H:$H,MATCH(J97,jkm!$J:$J,0),1)</f>
        <v>17.802</v>
      </c>
      <c r="O97" s="3">
        <f t="shared" ca="1" si="7"/>
        <v>148</v>
      </c>
      <c r="P97" s="3">
        <f t="shared" ca="1" si="8"/>
        <v>0.40547945205479452</v>
      </c>
      <c r="Q97" t="str" cm="1">
        <f t="array" ref="Q97:S97">_xlfn.TEXTSPLIT(J97,"/")</f>
        <v>8</v>
      </c>
      <c r="R97" s="1" t="str">
        <v>14</v>
      </c>
      <c r="S97" t="str">
        <v>2026</v>
      </c>
      <c r="T97" s="1">
        <f t="shared" si="9"/>
        <v>46248</v>
      </c>
      <c r="U97" s="19">
        <f t="shared" si="10"/>
        <v>3.6899999999999977</v>
      </c>
      <c r="V97" s="17">
        <f ca="1">(LN(N97/G97)+(L97/100)^2*P97/2)/(L97/100*SQRT(P97))</f>
        <v>0.34370068757935712</v>
      </c>
      <c r="W97" s="17">
        <f ca="1">V97-L97/100*SQRT(P97)</f>
        <v>-0.16104418549415367</v>
      </c>
      <c r="X97" s="17">
        <f ca="1">(LN(N97/G97)+P97*(U97/100+(L97/100)^2/2))/((L97/100*SQRT(P97)))</f>
        <v>0.37334376585316625</v>
      </c>
      <c r="Y97" s="17">
        <f ca="1">X97-N97/100*SQRT(R97)</f>
        <v>-0.29274608214033077</v>
      </c>
      <c r="Z97" s="20">
        <f ca="1">EXP(-P97)/(N97*L97/100*SQRT(P97))*_xlfn.NORM.S.DIST(X97,FALSE)</f>
        <v>2.7606075591755E-2</v>
      </c>
      <c r="AA97" s="17">
        <f t="shared" ca="1" si="6"/>
        <v>2.8118918178861207E-2</v>
      </c>
      <c r="AB97" s="17"/>
      <c r="AC97" s="17"/>
      <c r="AD97" s="17"/>
    </row>
    <row r="98" spans="1:30" x14ac:dyDescent="0.25">
      <c r="A98" t="s">
        <v>106</v>
      </c>
      <c r="B98" t="s">
        <v>107</v>
      </c>
      <c r="C98" t="s">
        <v>108</v>
      </c>
      <c r="D98">
        <v>46031</v>
      </c>
      <c r="E98" t="s">
        <v>107</v>
      </c>
      <c r="F98" t="s">
        <v>109</v>
      </c>
      <c r="G98">
        <v>20</v>
      </c>
      <c r="H98">
        <v>2.819</v>
      </c>
      <c r="I98">
        <v>7.3999999999999996E-2</v>
      </c>
      <c r="J98" t="s">
        <v>62</v>
      </c>
      <c r="K98">
        <v>4172</v>
      </c>
      <c r="L98">
        <v>79.925899999999999</v>
      </c>
      <c r="M98">
        <v>0.51156000000000001</v>
      </c>
      <c r="N98">
        <f>INDEX(jkm!$H:$H,MATCH(J98,jkm!$J:$J,0),1)</f>
        <v>17.802</v>
      </c>
      <c r="O98" s="3">
        <f t="shared" ca="1" si="7"/>
        <v>148</v>
      </c>
      <c r="P98" s="3">
        <f t="shared" ca="1" si="8"/>
        <v>0.40547945205479452</v>
      </c>
      <c r="Q98" t="str" cm="1">
        <f t="array" ref="Q98:S98">_xlfn.TEXTSPLIT(J98,"/")</f>
        <v>8</v>
      </c>
      <c r="R98" s="1" t="str">
        <v>14</v>
      </c>
      <c r="S98" t="str">
        <v>2026</v>
      </c>
      <c r="T98" s="1">
        <f t="shared" si="9"/>
        <v>46248</v>
      </c>
      <c r="U98" s="19">
        <f t="shared" si="10"/>
        <v>3.6899999999999977</v>
      </c>
      <c r="V98" s="17">
        <f ca="1">(LN(N98/G98)+(L98/100)^2*P98/2)/(L98/100*SQRT(P98))</f>
        <v>2.5723155391820025E-2</v>
      </c>
      <c r="W98" s="17">
        <f ca="1">V98-L98/100*SQRT(P98)</f>
        <v>-0.48322314385572862</v>
      </c>
      <c r="X98" s="17">
        <f ca="1">(LN(N98/G98)+P98*(U98/100+(L98/100)^2/2))/((L98/100*SQRT(P98)))</f>
        <v>5.5121525716828254E-2</v>
      </c>
      <c r="Y98" s="17">
        <f ca="1">X98-N98/100*SQRT(R98)</f>
        <v>-0.61096832227666875</v>
      </c>
      <c r="Z98" s="20">
        <f ca="1">EXP(-P98)/(N98*L98/100*SQRT(P98))*_xlfn.NORM.S.DIST(X98,FALSE)</f>
        <v>2.9309745227521472E-2</v>
      </c>
      <c r="AA98" s="17">
        <f t="shared" ca="1" si="6"/>
        <v>3.0102739685464366E-2</v>
      </c>
      <c r="AB98" s="17"/>
      <c r="AC98" s="17"/>
      <c r="AD98" s="17"/>
    </row>
    <row r="99" spans="1:30" x14ac:dyDescent="0.25">
      <c r="A99" t="s">
        <v>106</v>
      </c>
      <c r="B99" t="s">
        <v>107</v>
      </c>
      <c r="C99" t="s">
        <v>108</v>
      </c>
      <c r="D99">
        <v>46031</v>
      </c>
      <c r="E99" t="s">
        <v>107</v>
      </c>
      <c r="F99" t="s">
        <v>109</v>
      </c>
      <c r="G99">
        <v>25</v>
      </c>
      <c r="H99">
        <v>1.6719999999999999</v>
      </c>
      <c r="I99">
        <v>5.0000000000000001E-3</v>
      </c>
      <c r="J99" t="s">
        <v>62</v>
      </c>
      <c r="K99">
        <v>4172</v>
      </c>
      <c r="L99">
        <v>81.280500000000004</v>
      </c>
      <c r="M99">
        <v>0.34783999999999998</v>
      </c>
      <c r="N99">
        <f>INDEX(jkm!$H:$H,MATCH(J99,jkm!$J:$J,0),1)</f>
        <v>17.802</v>
      </c>
      <c r="O99" s="3">
        <f t="shared" ca="1" si="7"/>
        <v>148</v>
      </c>
      <c r="P99" s="3">
        <f t="shared" ca="1" si="8"/>
        <v>0.40547945205479452</v>
      </c>
      <c r="Q99" t="str" cm="1">
        <f t="array" ref="Q99:S99">_xlfn.TEXTSPLIT(J99,"/")</f>
        <v>8</v>
      </c>
      <c r="R99" s="1" t="str">
        <v>14</v>
      </c>
      <c r="S99" t="str">
        <v>2026</v>
      </c>
      <c r="T99" s="1">
        <f t="shared" si="9"/>
        <v>46248</v>
      </c>
      <c r="U99" s="19">
        <f t="shared" si="10"/>
        <v>3.6899999999999977</v>
      </c>
      <c r="V99" s="17">
        <f ca="1">(LN(N99/G99)+(L99/100)^2*P99/2)/(L99/100*SQRT(P99))</f>
        <v>-0.39728696023022581</v>
      </c>
      <c r="W99" s="17">
        <f ca="1">V99-L99/100*SQRT(P99)</f>
        <v>-0.91485898226551565</v>
      </c>
      <c r="X99" s="17">
        <f ca="1">(LN(N99/G99)+P99*(U99/100+(L99/100)^2/2))/((L99/100*SQRT(P99)))</f>
        <v>-0.36837853561719341</v>
      </c>
      <c r="Y99" s="17">
        <f ca="1">X99-N99/100*SQRT(R99)</f>
        <v>-1.0344683836106905</v>
      </c>
      <c r="Z99" s="20">
        <f ca="1">EXP(-P99)/(N99*L99/100*SQRT(P99))*_xlfn.NORM.S.DIST(X99,FALSE)</f>
        <v>2.6971525568663904E-2</v>
      </c>
      <c r="AA99" s="17">
        <f t="shared" ca="1" si="6"/>
        <v>2.8170744366086395E-2</v>
      </c>
      <c r="AB99" s="17"/>
      <c r="AC99" s="17"/>
      <c r="AD99" s="17"/>
    </row>
    <row r="100" spans="1:30" x14ac:dyDescent="0.25">
      <c r="A100" t="s">
        <v>106</v>
      </c>
      <c r="B100" t="s">
        <v>107</v>
      </c>
      <c r="C100" t="s">
        <v>108</v>
      </c>
      <c r="D100">
        <v>46031</v>
      </c>
      <c r="E100" t="s">
        <v>107</v>
      </c>
      <c r="F100" t="s">
        <v>110</v>
      </c>
      <c r="G100">
        <v>5</v>
      </c>
      <c r="H100">
        <v>8.9999999999999993E-3</v>
      </c>
      <c r="I100">
        <v>-7.0000000000000001E-3</v>
      </c>
      <c r="J100" t="s">
        <v>62</v>
      </c>
      <c r="K100">
        <v>4172</v>
      </c>
      <c r="L100">
        <v>79.231999999999999</v>
      </c>
      <c r="M100">
        <v>-2.9399999999999999E-3</v>
      </c>
      <c r="N100">
        <f>INDEX(jkm!$H:$H,MATCH(J100,jkm!$J:$J,0),1)</f>
        <v>17.802</v>
      </c>
      <c r="O100" s="3">
        <f t="shared" ca="1" si="7"/>
        <v>148</v>
      </c>
      <c r="P100" s="3">
        <f t="shared" ca="1" si="8"/>
        <v>0.40547945205479452</v>
      </c>
      <c r="Q100" t="str" cm="1">
        <f t="array" ref="Q100:S100">_xlfn.TEXTSPLIT(J100,"/")</f>
        <v>8</v>
      </c>
      <c r="R100" s="1" t="str">
        <v>14</v>
      </c>
      <c r="S100" t="str">
        <v>2026</v>
      </c>
      <c r="T100" s="1">
        <f t="shared" si="9"/>
        <v>46248</v>
      </c>
      <c r="U100" s="19">
        <f t="shared" si="10"/>
        <v>3.6899999999999977</v>
      </c>
      <c r="V100" s="17">
        <f ca="1">(LN(N100/G100)+(L100/100)^2*P100/2)/(L100/100*SQRT(P100))</f>
        <v>2.7692174722415968</v>
      </c>
      <c r="W100" s="17">
        <f ca="1">V100-L100/100*SQRT(P100)</f>
        <v>2.2646897386535887</v>
      </c>
      <c r="X100" s="17">
        <f ca="1">(LN(N100/G100)+P100*(U100/100+(L100/100)^2/2))/((L100/100*SQRT(P100)))</f>
        <v>2.7988733083527588</v>
      </c>
      <c r="Y100" s="17">
        <f ca="1">X100-N100/100*SQRT(R100)</f>
        <v>2.1327834603592617</v>
      </c>
      <c r="Z100" s="20">
        <f ca="1">EXP(-P100)/(N100*L100/100*SQRT(P100))*_xlfn.NORM.S.DIST(X100,FALSE)</f>
        <v>5.8937834704112565E-4</v>
      </c>
      <c r="AA100" s="17">
        <f t="shared" ca="1" si="6"/>
        <v>6.0006906638885053E-4</v>
      </c>
      <c r="AB100" s="17"/>
      <c r="AC100" s="17"/>
      <c r="AD100" s="17"/>
    </row>
    <row r="101" spans="1:30" x14ac:dyDescent="0.25">
      <c r="A101" t="s">
        <v>106</v>
      </c>
      <c r="B101" t="s">
        <v>107</v>
      </c>
      <c r="C101" t="s">
        <v>108</v>
      </c>
      <c r="D101">
        <v>46031</v>
      </c>
      <c r="E101" t="s">
        <v>107</v>
      </c>
      <c r="F101" t="s">
        <v>110</v>
      </c>
      <c r="G101">
        <v>8</v>
      </c>
      <c r="H101">
        <v>0.14599999999999999</v>
      </c>
      <c r="I101">
        <v>-5.8000000000000003E-2</v>
      </c>
      <c r="J101" t="s">
        <v>62</v>
      </c>
      <c r="K101">
        <v>4172</v>
      </c>
      <c r="L101">
        <v>79.237899999999996</v>
      </c>
      <c r="M101">
        <v>-3.3730000000000003E-2</v>
      </c>
      <c r="N101">
        <f>INDEX(jkm!$H:$H,MATCH(J101,jkm!$J:$J,0),1)</f>
        <v>17.802</v>
      </c>
      <c r="O101" s="3">
        <f t="shared" ca="1" si="7"/>
        <v>148</v>
      </c>
      <c r="P101" s="3">
        <f t="shared" ca="1" si="8"/>
        <v>0.40547945205479452</v>
      </c>
      <c r="Q101" t="str" cm="1">
        <f t="array" ref="Q101:S101">_xlfn.TEXTSPLIT(J101,"/")</f>
        <v>8</v>
      </c>
      <c r="R101" s="1" t="str">
        <v>14</v>
      </c>
      <c r="S101" t="str">
        <v>2026</v>
      </c>
      <c r="T101" s="1">
        <f t="shared" si="9"/>
        <v>46248</v>
      </c>
      <c r="U101" s="19">
        <f t="shared" si="10"/>
        <v>3.6899999999999977</v>
      </c>
      <c r="V101" s="17">
        <f ca="1">(LN(N101/G101)+(L101/100)^2*P101/2)/(L101/100*SQRT(P101))</f>
        <v>1.8375467667016632</v>
      </c>
      <c r="W101" s="17">
        <f ca="1">V101-L101/100*SQRT(P101)</f>
        <v>1.3329814635252544</v>
      </c>
      <c r="X101" s="17">
        <f ca="1">(LN(N101/G101)+P101*(U101/100+(L101/100)^2/2))/((L101/100*SQRT(P101)))</f>
        <v>1.8672003946594913</v>
      </c>
      <c r="Y101" s="17">
        <f ca="1">X101-N101/100*SQRT(R101)</f>
        <v>1.2011105466659941</v>
      </c>
      <c r="Z101" s="20">
        <f ca="1">EXP(-P101)/(N101*L101/100*SQRT(P101))*_xlfn.NORM.S.DIST(X101,FALSE)</f>
        <v>5.1803148302371543E-3</v>
      </c>
      <c r="AA101" s="17">
        <f t="shared" ca="1" si="6"/>
        <v>5.2746731821584018E-3</v>
      </c>
      <c r="AB101" s="17"/>
      <c r="AC101" s="17"/>
      <c r="AD101" s="17"/>
    </row>
    <row r="102" spans="1:30" x14ac:dyDescent="0.25">
      <c r="A102" t="s">
        <v>106</v>
      </c>
      <c r="B102" t="s">
        <v>107</v>
      </c>
      <c r="C102" t="s">
        <v>108</v>
      </c>
      <c r="D102">
        <v>46031</v>
      </c>
      <c r="E102" t="s">
        <v>107</v>
      </c>
      <c r="F102" t="s">
        <v>110</v>
      </c>
      <c r="G102">
        <v>9</v>
      </c>
      <c r="H102">
        <v>0.26100000000000001</v>
      </c>
      <c r="I102">
        <v>-8.7999999999999995E-2</v>
      </c>
      <c r="J102" t="s">
        <v>62</v>
      </c>
      <c r="K102">
        <v>4172</v>
      </c>
      <c r="L102">
        <v>79.240099999999998</v>
      </c>
      <c r="M102">
        <v>-5.5160000000000001E-2</v>
      </c>
      <c r="N102">
        <f>INDEX(jkm!$H:$H,MATCH(J102,jkm!$J:$J,0),1)</f>
        <v>17.802</v>
      </c>
      <c r="O102" s="3">
        <f t="shared" ca="1" si="7"/>
        <v>148</v>
      </c>
      <c r="P102" s="3">
        <f t="shared" ca="1" si="8"/>
        <v>0.40547945205479452</v>
      </c>
      <c r="Q102" t="str" cm="1">
        <f t="array" ref="Q102:S102">_xlfn.TEXTSPLIT(J102,"/")</f>
        <v>8</v>
      </c>
      <c r="R102" s="1" t="str">
        <v>14</v>
      </c>
      <c r="S102" t="str">
        <v>2026</v>
      </c>
      <c r="T102" s="1">
        <f t="shared" si="9"/>
        <v>46248</v>
      </c>
      <c r="U102" s="19">
        <f t="shared" si="10"/>
        <v>3.6899999999999977</v>
      </c>
      <c r="V102" s="17">
        <f ca="1">(LN(N102/G102)+(L102/100)^2*P102/2)/(L102/100*SQRT(P102))</f>
        <v>1.6040815681654097</v>
      </c>
      <c r="W102" s="17">
        <f ca="1">V102-L102/100*SQRT(P102)</f>
        <v>1.0995022559899361</v>
      </c>
      <c r="X102" s="17">
        <f ca="1">(LN(N102/G102)+P102*(U102/100+(L102/100)^2/2))/((L102/100*SQRT(P102)))</f>
        <v>1.6337343728281952</v>
      </c>
      <c r="Y102" s="17">
        <f ca="1">X102-N102/100*SQRT(R102)</f>
        <v>0.96764452483469821</v>
      </c>
      <c r="Z102" s="20">
        <f ca="1">EXP(-P102)/(N102*L102/100*SQRT(P102))*_xlfn.NORM.S.DIST(X102,FALSE)</f>
        <v>7.7952355861924394E-3</v>
      </c>
      <c r="AA102" s="17">
        <f t="shared" ca="1" si="6"/>
        <v>7.9374445461449766E-3</v>
      </c>
      <c r="AB102" s="17"/>
      <c r="AC102" s="17"/>
      <c r="AD102" s="17"/>
    </row>
    <row r="103" spans="1:30" x14ac:dyDescent="0.25">
      <c r="A103" t="s">
        <v>106</v>
      </c>
      <c r="B103" t="s">
        <v>107</v>
      </c>
      <c r="C103" t="s">
        <v>108</v>
      </c>
      <c r="D103">
        <v>46031</v>
      </c>
      <c r="E103" t="s">
        <v>107</v>
      </c>
      <c r="F103" t="s">
        <v>110</v>
      </c>
      <c r="G103">
        <v>9.6999999999999993</v>
      </c>
      <c r="H103">
        <v>0.37</v>
      </c>
      <c r="I103">
        <v>-0.111</v>
      </c>
      <c r="J103" t="s">
        <v>62</v>
      </c>
      <c r="K103">
        <v>4172</v>
      </c>
      <c r="L103">
        <v>79.241500000000002</v>
      </c>
      <c r="M103">
        <v>-7.3630000000000001E-2</v>
      </c>
      <c r="N103">
        <f>INDEX(jkm!$H:$H,MATCH(J103,jkm!$J:$J,0),1)</f>
        <v>17.802</v>
      </c>
      <c r="O103" s="3">
        <f t="shared" ca="1" si="7"/>
        <v>148</v>
      </c>
      <c r="P103" s="3">
        <f t="shared" ca="1" si="8"/>
        <v>0.40547945205479452</v>
      </c>
      <c r="Q103" t="str" cm="1">
        <f t="array" ref="Q103:S103">_xlfn.TEXTSPLIT(J103,"/")</f>
        <v>8</v>
      </c>
      <c r="R103" s="1" t="str">
        <v>14</v>
      </c>
      <c r="S103" t="str">
        <v>2026</v>
      </c>
      <c r="T103" s="1">
        <f t="shared" si="9"/>
        <v>46248</v>
      </c>
      <c r="U103" s="19">
        <f t="shared" si="10"/>
        <v>3.6899999999999977</v>
      </c>
      <c r="V103" s="17">
        <f ca="1">(LN(N103/G103)+(L103/100)^2*P103/2)/(L103/100*SQRT(P103))</f>
        <v>1.4556216834751965</v>
      </c>
      <c r="W103" s="17">
        <f ca="1">V103-L103/100*SQRT(P103)</f>
        <v>0.95103345648213633</v>
      </c>
      <c r="X103" s="17">
        <f ca="1">(LN(N103/G103)+P103*(U103/100+(L103/100)^2/2))/((L103/100*SQRT(P103)))</f>
        <v>1.4852739642467565</v>
      </c>
      <c r="Y103" s="17">
        <f ca="1">X103-N103/100*SQRT(R103)</f>
        <v>0.81918411625325949</v>
      </c>
      <c r="Z103" s="20">
        <f ca="1">EXP(-P103)/(N103*L103/100*SQRT(P103))*_xlfn.NORM.S.DIST(X103,FALSE)</f>
        <v>9.8258796265138278E-3</v>
      </c>
      <c r="AA103" s="17">
        <f t="shared" ca="1" si="6"/>
        <v>1.0005310518916006E-2</v>
      </c>
      <c r="AB103" s="17"/>
      <c r="AC103" s="17"/>
      <c r="AD103" s="17"/>
    </row>
    <row r="104" spans="1:30" x14ac:dyDescent="0.25">
      <c r="A104" t="s">
        <v>106</v>
      </c>
      <c r="B104" t="s">
        <v>107</v>
      </c>
      <c r="C104" t="s">
        <v>108</v>
      </c>
      <c r="D104">
        <v>46031</v>
      </c>
      <c r="E104" t="s">
        <v>107</v>
      </c>
      <c r="F104" t="s">
        <v>110</v>
      </c>
      <c r="G104">
        <v>9.8000000000000007</v>
      </c>
      <c r="H104">
        <v>0.38800000000000001</v>
      </c>
      <c r="I104">
        <v>-0.114</v>
      </c>
      <c r="J104" t="s">
        <v>62</v>
      </c>
      <c r="K104">
        <v>4172</v>
      </c>
      <c r="L104">
        <v>79.241699999999994</v>
      </c>
      <c r="M104">
        <v>-7.6490000000000002E-2</v>
      </c>
      <c r="N104">
        <f>INDEX(jkm!$H:$H,MATCH(J104,jkm!$J:$J,0),1)</f>
        <v>17.802</v>
      </c>
      <c r="O104" s="3">
        <f t="shared" ca="1" si="7"/>
        <v>148</v>
      </c>
      <c r="P104" s="3">
        <f t="shared" ca="1" si="8"/>
        <v>0.40547945205479452</v>
      </c>
      <c r="Q104" t="str" cm="1">
        <f t="array" ref="Q104:S104">_xlfn.TEXTSPLIT(J104,"/")</f>
        <v>8</v>
      </c>
      <c r="R104" s="1" t="str">
        <v>14</v>
      </c>
      <c r="S104" t="str">
        <v>2026</v>
      </c>
      <c r="T104" s="1">
        <f t="shared" si="9"/>
        <v>46248</v>
      </c>
      <c r="U104" s="19">
        <f t="shared" si="10"/>
        <v>3.6899999999999977</v>
      </c>
      <c r="V104" s="17">
        <f ca="1">(LN(N104/G104)+(L104/100)^2*P104/2)/(L104/100*SQRT(P104))</f>
        <v>1.4352928590749909</v>
      </c>
      <c r="W104" s="17">
        <f ca="1">V104-L104/100*SQRT(P104)</f>
        <v>0.93070335853656128</v>
      </c>
      <c r="X104" s="17">
        <f ca="1">(LN(N104/G104)+P104*(U104/100+(L104/100)^2/2))/((L104/100*SQRT(P104)))</f>
        <v>1.4649450650064586</v>
      </c>
      <c r="Y104" s="17">
        <f ca="1">X104-N104/100*SQRT(R104)</f>
        <v>0.79885521701296158</v>
      </c>
      <c r="Z104" s="20">
        <f ca="1">EXP(-P104)/(N104*L104/100*SQRT(P104))*_xlfn.NORM.S.DIST(X104,FALSE)</f>
        <v>1.0124968601773572E-2</v>
      </c>
      <c r="AA104" s="17">
        <f t="shared" ca="1" si="6"/>
        <v>1.0309887194678713E-2</v>
      </c>
      <c r="AB104" s="17"/>
      <c r="AC104" s="17"/>
      <c r="AD104" s="17"/>
    </row>
    <row r="105" spans="1:30" x14ac:dyDescent="0.25">
      <c r="A105" t="s">
        <v>106</v>
      </c>
      <c r="B105" t="s">
        <v>107</v>
      </c>
      <c r="C105" t="s">
        <v>108</v>
      </c>
      <c r="D105">
        <v>46031</v>
      </c>
      <c r="E105" t="s">
        <v>107</v>
      </c>
      <c r="F105" t="s">
        <v>110</v>
      </c>
      <c r="G105">
        <v>10</v>
      </c>
      <c r="H105">
        <v>0.42399999999999999</v>
      </c>
      <c r="I105">
        <v>-0.121</v>
      </c>
      <c r="J105" t="s">
        <v>62</v>
      </c>
      <c r="K105">
        <v>4172</v>
      </c>
      <c r="L105">
        <v>79.242000000000004</v>
      </c>
      <c r="M105">
        <v>-8.2369999999999999E-2</v>
      </c>
      <c r="N105">
        <f>INDEX(jkm!$H:$H,MATCH(J105,jkm!$J:$J,0),1)</f>
        <v>17.802</v>
      </c>
      <c r="O105" s="3">
        <f t="shared" ca="1" si="7"/>
        <v>148</v>
      </c>
      <c r="P105" s="3">
        <f t="shared" ca="1" si="8"/>
        <v>0.40547945205479452</v>
      </c>
      <c r="Q105" t="str" cm="1">
        <f t="array" ref="Q105:S105">_xlfn.TEXTSPLIT(J105,"/")</f>
        <v>8</v>
      </c>
      <c r="R105" s="1" t="str">
        <v>14</v>
      </c>
      <c r="S105" t="str">
        <v>2026</v>
      </c>
      <c r="T105" s="1">
        <f t="shared" si="9"/>
        <v>46248</v>
      </c>
      <c r="U105" s="19">
        <f t="shared" si="10"/>
        <v>3.6899999999999977</v>
      </c>
      <c r="V105" s="17">
        <f ca="1">(LN(N105/G105)+(L105/100)^2*P105/2)/(L105/100*SQRT(P105))</f>
        <v>1.3952515804871746</v>
      </c>
      <c r="W105" s="17">
        <f ca="1">V105-L105/100*SQRT(P105)</f>
        <v>0.89066016963069061</v>
      </c>
      <c r="X105" s="17">
        <f ca="1">(LN(N105/G105)+P105*(U105/100+(L105/100)^2/2))/((L105/100*SQRT(P105)))</f>
        <v>1.424903674159212</v>
      </c>
      <c r="Y105" s="17">
        <f ca="1">X105-N105/100*SQRT(R105)</f>
        <v>0.75881382616571502</v>
      </c>
      <c r="Z105" s="20">
        <f ca="1">EXP(-P105)/(N105*L105/100*SQRT(P105))*_xlfn.NORM.S.DIST(X105,FALSE)</f>
        <v>1.0728003878150164E-2</v>
      </c>
      <c r="AA105" s="17">
        <f t="shared" ca="1" si="6"/>
        <v>1.092397743578535E-2</v>
      </c>
      <c r="AB105" s="17"/>
      <c r="AC105" s="17"/>
      <c r="AD105" s="17"/>
    </row>
    <row r="106" spans="1:30" x14ac:dyDescent="0.25">
      <c r="A106" t="s">
        <v>106</v>
      </c>
      <c r="B106" t="s">
        <v>107</v>
      </c>
      <c r="C106" t="s">
        <v>108</v>
      </c>
      <c r="D106">
        <v>46031</v>
      </c>
      <c r="E106" t="s">
        <v>107</v>
      </c>
      <c r="F106" t="s">
        <v>110</v>
      </c>
      <c r="G106">
        <v>12.5</v>
      </c>
      <c r="H106">
        <v>1.071</v>
      </c>
      <c r="I106">
        <v>-0.214</v>
      </c>
      <c r="J106" t="s">
        <v>62</v>
      </c>
      <c r="K106">
        <v>4172</v>
      </c>
      <c r="L106">
        <v>79.247</v>
      </c>
      <c r="M106">
        <v>-0.17105000000000001</v>
      </c>
      <c r="N106">
        <f>INDEX(jkm!$H:$H,MATCH(J106,jkm!$J:$J,0),1)</f>
        <v>17.802</v>
      </c>
      <c r="O106" s="3">
        <f t="shared" ca="1" si="7"/>
        <v>148</v>
      </c>
      <c r="P106" s="3">
        <f t="shared" ca="1" si="8"/>
        <v>0.40547945205479452</v>
      </c>
      <c r="Q106" t="str" cm="1">
        <f t="array" ref="Q106:S106">_xlfn.TEXTSPLIT(J106,"/")</f>
        <v>8</v>
      </c>
      <c r="R106" s="1" t="str">
        <v>14</v>
      </c>
      <c r="S106" t="str">
        <v>2026</v>
      </c>
      <c r="T106" s="1">
        <f t="shared" si="9"/>
        <v>46248</v>
      </c>
      <c r="U106" s="19">
        <f t="shared" si="10"/>
        <v>3.6899999999999977</v>
      </c>
      <c r="V106" s="17">
        <f ca="1">(LN(N106/G106)+(L106/100)^2*P106/2)/(L106/100*SQRT(P106))</f>
        <v>0.95299706994696032</v>
      </c>
      <c r="W106" s="17">
        <f ca="1">V106-L106/100*SQRT(P106)</f>
        <v>0.44837382045623841</v>
      </c>
      <c r="X106" s="17">
        <f ca="1">(LN(N106/G106)+P106*(U106/100+(L106/100)^2/2))/((L106/100*SQRT(P106)))</f>
        <v>0.98264729275362261</v>
      </c>
      <c r="Y106" s="17">
        <f ca="1">X106-N106/100*SQRT(R106)</f>
        <v>0.31655744476012559</v>
      </c>
      <c r="Z106" s="20">
        <f ca="1">EXP(-P106)/(N106*L106/100*SQRT(P106))*_xlfn.NORM.S.DIST(X106,FALSE)</f>
        <v>1.8268381908062029E-2</v>
      </c>
      <c r="AA106" s="17">
        <f t="shared" ca="1" si="6"/>
        <v>1.860327289588742E-2</v>
      </c>
      <c r="AB106" s="17"/>
      <c r="AC106" s="17"/>
      <c r="AD106" s="17"/>
    </row>
    <row r="107" spans="1:30" x14ac:dyDescent="0.25">
      <c r="A107" t="s">
        <v>106</v>
      </c>
      <c r="B107" t="s">
        <v>107</v>
      </c>
      <c r="C107" t="s">
        <v>108</v>
      </c>
      <c r="D107">
        <v>46031</v>
      </c>
      <c r="E107" t="s">
        <v>107</v>
      </c>
      <c r="F107" t="s">
        <v>110</v>
      </c>
      <c r="G107">
        <v>13</v>
      </c>
      <c r="H107">
        <v>1.242</v>
      </c>
      <c r="I107">
        <v>-0.23300000000000001</v>
      </c>
      <c r="J107" t="s">
        <v>62</v>
      </c>
      <c r="K107">
        <v>4172</v>
      </c>
      <c r="L107">
        <v>79.248000000000005</v>
      </c>
      <c r="M107">
        <v>-0.19139</v>
      </c>
      <c r="N107">
        <f>INDEX(jkm!$H:$H,MATCH(J107,jkm!$J:$J,0),1)</f>
        <v>17.802</v>
      </c>
      <c r="O107" s="3">
        <f t="shared" ca="1" si="7"/>
        <v>148</v>
      </c>
      <c r="P107" s="3">
        <f t="shared" ca="1" si="8"/>
        <v>0.40547945205479452</v>
      </c>
      <c r="Q107" t="str" cm="1">
        <f t="array" ref="Q107:S107">_xlfn.TEXTSPLIT(J107,"/")</f>
        <v>8</v>
      </c>
      <c r="R107" s="1" t="str">
        <v>14</v>
      </c>
      <c r="S107" t="str">
        <v>2026</v>
      </c>
      <c r="T107" s="1">
        <f t="shared" si="9"/>
        <v>46248</v>
      </c>
      <c r="U107" s="19">
        <f t="shared" si="10"/>
        <v>3.6899999999999977</v>
      </c>
      <c r="V107" s="17">
        <f ca="1">(LN(N107/G107)+(L107/100)^2*P107/2)/(L107/100*SQRT(P107))</f>
        <v>0.87526963002519609</v>
      </c>
      <c r="W107" s="17">
        <f ca="1">V107-L107/100*SQRT(P107)</f>
        <v>0.3706400128076266</v>
      </c>
      <c r="X107" s="17">
        <f ca="1">(LN(N107/G107)+P107*(U107/100+(L107/100)^2/2))/((L107/100*SQRT(P107)))</f>
        <v>0.90491947868711287</v>
      </c>
      <c r="Y107" s="17">
        <f ca="1">X107-N107/100*SQRT(R107)</f>
        <v>0.23882963069361585</v>
      </c>
      <c r="Z107" s="20">
        <f ca="1">EXP(-P107)/(N107*L107/100*SQRT(P107))*_xlfn.NORM.S.DIST(X107,FALSE)</f>
        <v>1.9658649150101577E-2</v>
      </c>
      <c r="AA107" s="17">
        <f t="shared" ca="1" si="6"/>
        <v>2.0019278752880232E-2</v>
      </c>
      <c r="AB107" s="17"/>
      <c r="AC107" s="17"/>
      <c r="AD107" s="17"/>
    </row>
    <row r="108" spans="1:30" x14ac:dyDescent="0.25">
      <c r="A108" t="s">
        <v>106</v>
      </c>
      <c r="B108" t="s">
        <v>107</v>
      </c>
      <c r="C108" t="s">
        <v>108</v>
      </c>
      <c r="D108">
        <v>46031</v>
      </c>
      <c r="E108" t="s">
        <v>107</v>
      </c>
      <c r="F108" t="s">
        <v>110</v>
      </c>
      <c r="G108">
        <v>15</v>
      </c>
      <c r="H108">
        <v>2.0680000000000001</v>
      </c>
      <c r="I108">
        <v>-0.30499999999999999</v>
      </c>
      <c r="J108" t="s">
        <v>62</v>
      </c>
      <c r="K108">
        <v>4172</v>
      </c>
      <c r="L108">
        <v>79.251900000000006</v>
      </c>
      <c r="M108">
        <v>-0.27722000000000002</v>
      </c>
      <c r="N108">
        <f>INDEX(jkm!$H:$H,MATCH(J108,jkm!$J:$J,0),1)</f>
        <v>17.802</v>
      </c>
      <c r="O108" s="3">
        <f t="shared" ca="1" si="7"/>
        <v>148</v>
      </c>
      <c r="P108" s="3">
        <f t="shared" ca="1" si="8"/>
        <v>0.40547945205479452</v>
      </c>
      <c r="Q108" t="str" cm="1">
        <f t="array" ref="Q108:S108">_xlfn.TEXTSPLIT(J108,"/")</f>
        <v>8</v>
      </c>
      <c r="R108" s="1" t="str">
        <v>14</v>
      </c>
      <c r="S108" t="str">
        <v>2026</v>
      </c>
      <c r="T108" s="1">
        <f t="shared" si="9"/>
        <v>46248</v>
      </c>
      <c r="U108" s="19">
        <f t="shared" si="10"/>
        <v>3.6899999999999977</v>
      </c>
      <c r="V108" s="17">
        <f ca="1">(LN(N108/G108)+(L108/100)^2*P108/2)/(L108/100*SQRT(P108))</f>
        <v>0.59168935549708501</v>
      </c>
      <c r="W108" s="17">
        <f ca="1">V108-L108/100*SQRT(P108)</f>
        <v>8.7034904144809966E-2</v>
      </c>
      <c r="X108" s="17">
        <f ca="1">(LN(N108/G108)+P108*(U108/100+(L108/100)^2/2))/((L108/100*SQRT(P108)))</f>
        <v>0.62133774508471107</v>
      </c>
      <c r="Y108" s="17">
        <f ca="1">X108-N108/100*SQRT(R108)</f>
        <v>-4.4752102908785951E-2</v>
      </c>
      <c r="Z108" s="20">
        <f ca="1">EXP(-P108)/(N108*L108/100*SQRT(P108))*_xlfn.NORM.S.DIST(X108,FALSE)</f>
        <v>2.4407184242181707E-2</v>
      </c>
      <c r="AA108" s="17">
        <f t="shared" ca="1" si="6"/>
        <v>2.4856146887908236E-2</v>
      </c>
      <c r="AB108" s="17"/>
      <c r="AC108" s="17"/>
      <c r="AD108" s="17"/>
    </row>
    <row r="109" spans="1:30" x14ac:dyDescent="0.25">
      <c r="A109" t="s">
        <v>106</v>
      </c>
      <c r="B109" t="s">
        <v>107</v>
      </c>
      <c r="C109" t="s">
        <v>108</v>
      </c>
      <c r="D109">
        <v>46031</v>
      </c>
      <c r="E109" t="s">
        <v>107</v>
      </c>
      <c r="F109" t="s">
        <v>110</v>
      </c>
      <c r="G109">
        <v>17</v>
      </c>
      <c r="H109">
        <v>3.1030000000000002</v>
      </c>
      <c r="J109" t="s">
        <v>62</v>
      </c>
      <c r="K109">
        <v>4172</v>
      </c>
      <c r="L109">
        <v>79.266099999999994</v>
      </c>
      <c r="M109">
        <v>-0.36513000000000001</v>
      </c>
      <c r="N109">
        <f>INDEX(jkm!$H:$H,MATCH(J109,jkm!$J:$J,0),1)</f>
        <v>17.802</v>
      </c>
      <c r="O109" s="3">
        <f t="shared" ca="1" si="7"/>
        <v>148</v>
      </c>
      <c r="P109" s="3">
        <f t="shared" ca="1" si="8"/>
        <v>0.40547945205479452</v>
      </c>
      <c r="Q109" t="str" cm="1">
        <f t="array" ref="Q109:S109">_xlfn.TEXTSPLIT(J109,"/")</f>
        <v>8</v>
      </c>
      <c r="R109" s="1" t="str">
        <v>14</v>
      </c>
      <c r="S109" t="str">
        <v>2026</v>
      </c>
      <c r="T109" s="1">
        <f t="shared" si="9"/>
        <v>46248</v>
      </c>
      <c r="U109" s="19">
        <f t="shared" si="10"/>
        <v>3.6899999999999977</v>
      </c>
      <c r="V109" s="17">
        <f ca="1">(LN(N109/G109)+(L109/100)^2*P109/2)/(L109/100*SQRT(P109))</f>
        <v>0.34370068757935712</v>
      </c>
      <c r="W109" s="17">
        <f ca="1">V109-L109/100*SQRT(P109)</f>
        <v>-0.16104418549415367</v>
      </c>
      <c r="X109" s="17">
        <f ca="1">(LN(N109/G109)+P109*(U109/100+(L109/100)^2/2))/((L109/100*SQRT(P109)))</f>
        <v>0.37334376585316625</v>
      </c>
      <c r="Y109" s="17">
        <f ca="1">X109-N109/100*SQRT(R109)</f>
        <v>-0.29274608214033077</v>
      </c>
      <c r="Z109" s="20">
        <f ca="1">EXP(-P109)/(N109*L109/100*SQRT(P109))*_xlfn.NORM.S.DIST(X109,FALSE)</f>
        <v>2.7606075591755E-2</v>
      </c>
      <c r="AA109" s="17">
        <f t="shared" ca="1" si="6"/>
        <v>2.8118918178861207E-2</v>
      </c>
      <c r="AB109" s="17"/>
      <c r="AC109" s="17"/>
      <c r="AD109" s="17"/>
    </row>
    <row r="110" spans="1:30" x14ac:dyDescent="0.25">
      <c r="A110" t="s">
        <v>106</v>
      </c>
      <c r="B110" t="s">
        <v>107</v>
      </c>
      <c r="C110" t="s">
        <v>108</v>
      </c>
      <c r="D110">
        <v>46031</v>
      </c>
      <c r="E110" t="s">
        <v>107</v>
      </c>
      <c r="F110" t="s">
        <v>110</v>
      </c>
      <c r="G110">
        <v>20</v>
      </c>
      <c r="H110">
        <v>5.0170000000000003</v>
      </c>
      <c r="I110">
        <v>-0.44600000000000001</v>
      </c>
      <c r="J110" t="s">
        <v>62</v>
      </c>
      <c r="K110">
        <v>4172</v>
      </c>
      <c r="L110">
        <v>79.925899999999999</v>
      </c>
      <c r="M110">
        <v>-0.48845</v>
      </c>
      <c r="N110">
        <f>INDEX(jkm!$H:$H,MATCH(J110,jkm!$J:$J,0),1)</f>
        <v>17.802</v>
      </c>
      <c r="O110" s="3">
        <f t="shared" ca="1" si="7"/>
        <v>148</v>
      </c>
      <c r="P110" s="3">
        <f t="shared" ca="1" si="8"/>
        <v>0.40547945205479452</v>
      </c>
      <c r="Q110" t="str" cm="1">
        <f t="array" ref="Q110:S110">_xlfn.TEXTSPLIT(J110,"/")</f>
        <v>8</v>
      </c>
      <c r="R110" s="1" t="str">
        <v>14</v>
      </c>
      <c r="S110" t="str">
        <v>2026</v>
      </c>
      <c r="T110" s="1">
        <f t="shared" si="9"/>
        <v>46248</v>
      </c>
      <c r="U110" s="19">
        <f t="shared" si="10"/>
        <v>3.6899999999999977</v>
      </c>
      <c r="V110" s="17">
        <f ca="1">(LN(N110/G110)+(L110/100)^2*P110/2)/(L110/100*SQRT(P110))</f>
        <v>2.5723155391820025E-2</v>
      </c>
      <c r="W110" s="17">
        <f ca="1">V110-L110/100*SQRT(P110)</f>
        <v>-0.48322314385572862</v>
      </c>
      <c r="X110" s="17">
        <f ca="1">(LN(N110/G110)+P110*(U110/100+(L110/100)^2/2))/((L110/100*SQRT(P110)))</f>
        <v>5.5121525716828254E-2</v>
      </c>
      <c r="Y110" s="17">
        <f ca="1">X110-N110/100*SQRT(R110)</f>
        <v>-0.61096832227666875</v>
      </c>
      <c r="Z110" s="20">
        <f ca="1">EXP(-P110)/(N110*L110/100*SQRT(P110))*_xlfn.NORM.S.DIST(X110,FALSE)</f>
        <v>2.9309745227521472E-2</v>
      </c>
      <c r="AA110" s="17">
        <f t="shared" ca="1" si="6"/>
        <v>3.0102739685464366E-2</v>
      </c>
      <c r="AB110" s="17"/>
      <c r="AC110" s="17"/>
      <c r="AD110" s="17"/>
    </row>
    <row r="111" spans="1:30" x14ac:dyDescent="0.25">
      <c r="A111" t="s">
        <v>106</v>
      </c>
      <c r="B111" t="s">
        <v>107</v>
      </c>
      <c r="C111" t="s">
        <v>108</v>
      </c>
      <c r="D111">
        <v>46031</v>
      </c>
      <c r="E111" t="s">
        <v>107</v>
      </c>
      <c r="F111" t="s">
        <v>110</v>
      </c>
      <c r="G111">
        <v>25</v>
      </c>
      <c r="H111">
        <v>8.8699999999999992</v>
      </c>
      <c r="I111">
        <v>-0.51500000000000001</v>
      </c>
      <c r="J111" t="s">
        <v>62</v>
      </c>
      <c r="K111">
        <v>4172</v>
      </c>
      <c r="L111">
        <v>81.280500000000004</v>
      </c>
      <c r="M111">
        <v>-0.65215999999999996</v>
      </c>
      <c r="N111">
        <f>INDEX(jkm!$H:$H,MATCH(J111,jkm!$J:$J,0),1)</f>
        <v>17.802</v>
      </c>
      <c r="O111" s="3">
        <f t="shared" ca="1" si="7"/>
        <v>148</v>
      </c>
      <c r="P111" s="3">
        <f t="shared" ca="1" si="8"/>
        <v>0.40547945205479452</v>
      </c>
      <c r="Q111" t="str" cm="1">
        <f t="array" ref="Q111:S111">_xlfn.TEXTSPLIT(J111,"/")</f>
        <v>8</v>
      </c>
      <c r="R111" s="1" t="str">
        <v>14</v>
      </c>
      <c r="S111" t="str">
        <v>2026</v>
      </c>
      <c r="T111" s="1">
        <f t="shared" si="9"/>
        <v>46248</v>
      </c>
      <c r="U111" s="19">
        <f t="shared" si="10"/>
        <v>3.6899999999999977</v>
      </c>
      <c r="V111" s="17">
        <f ca="1">(LN(N111/G111)+(L111/100)^2*P111/2)/(L111/100*SQRT(P111))</f>
        <v>-0.39728696023022581</v>
      </c>
      <c r="W111" s="17">
        <f ca="1">V111-L111/100*SQRT(P111)</f>
        <v>-0.91485898226551565</v>
      </c>
      <c r="X111" s="17">
        <f ca="1">(LN(N111/G111)+P111*(U111/100+(L111/100)^2/2))/((L111/100*SQRT(P111)))</f>
        <v>-0.36837853561719341</v>
      </c>
      <c r="Y111" s="17">
        <f ca="1">X111-N111/100*SQRT(R111)</f>
        <v>-1.0344683836106905</v>
      </c>
      <c r="Z111" s="20">
        <f ca="1">EXP(-P111)/(N111*L111/100*SQRT(P111))*_xlfn.NORM.S.DIST(X111,FALSE)</f>
        <v>2.6971525568663904E-2</v>
      </c>
      <c r="AA111" s="17">
        <f t="shared" ca="1" si="6"/>
        <v>2.8170744366086395E-2</v>
      </c>
      <c r="AB111" s="17"/>
      <c r="AC111" s="17"/>
      <c r="AD111" s="17"/>
    </row>
    <row r="112" spans="1:30" x14ac:dyDescent="0.25">
      <c r="A112" t="s">
        <v>106</v>
      </c>
      <c r="B112" t="s">
        <v>107</v>
      </c>
      <c r="C112" t="s">
        <v>108</v>
      </c>
      <c r="D112">
        <v>46032</v>
      </c>
      <c r="E112" t="s">
        <v>107</v>
      </c>
      <c r="F112" t="s">
        <v>109</v>
      </c>
      <c r="G112">
        <v>5</v>
      </c>
      <c r="H112">
        <v>12.287000000000001</v>
      </c>
      <c r="I112">
        <v>0.376</v>
      </c>
      <c r="J112" t="s">
        <v>63</v>
      </c>
      <c r="K112">
        <v>4172</v>
      </c>
      <c r="L112">
        <v>61.613900000000001</v>
      </c>
      <c r="M112">
        <v>0.99892000000000003</v>
      </c>
      <c r="N112">
        <f>INDEX(jkm!$H:$H,MATCH(J112,jkm!$J:$J,0),1)</f>
        <v>17.283999999999999</v>
      </c>
      <c r="O112" s="3">
        <f t="shared" ca="1" si="7"/>
        <v>180</v>
      </c>
      <c r="P112" s="3">
        <f t="shared" ca="1" si="8"/>
        <v>0.49315068493150682</v>
      </c>
      <c r="Q112" t="str" cm="1">
        <f t="array" ref="Q112:S112">_xlfn.TEXTSPLIT(J112,"/")</f>
        <v>9</v>
      </c>
      <c r="R112" s="1" t="str">
        <v>15</v>
      </c>
      <c r="S112" t="str">
        <v>2026</v>
      </c>
      <c r="T112" s="1">
        <f t="shared" si="9"/>
        <v>46280</v>
      </c>
      <c r="U112" s="19">
        <f t="shared" si="10"/>
        <v>3.6899999999999977</v>
      </c>
      <c r="V112" s="17">
        <f ca="1">(LN(N112/G112)+(L112/100)^2*P112/2)/(L112/100*SQRT(P112))</f>
        <v>3.0829823693910119</v>
      </c>
      <c r="W112" s="17">
        <f ca="1">V112-L112/100*SQRT(P112)</f>
        <v>2.6503006770373516</v>
      </c>
      <c r="X112" s="17">
        <f ca="1">(LN(N112/G112)+P112*(U112/100+(L112/100)^2/2))/((L112/100*SQRT(P112)))</f>
        <v>3.125039291593994</v>
      </c>
      <c r="Y112" s="17">
        <f ca="1">X112-N112/100*SQRT(R112)</f>
        <v>2.4556328500355038</v>
      </c>
      <c r="Z112" s="20">
        <f ca="1">EXP(-P112)/(N112*L112/100*SQRT(P112))*_xlfn.NORM.S.DIST(X112,FALSE)</f>
        <v>2.4677025884394134E-4</v>
      </c>
      <c r="AA112" s="17">
        <f t="shared" ref="AA112:AA175" ca="1" si="11">(N112*EXP(-P112)*SQRT(P112)*_xlfn.NORM.S.DIST(X112,FALSE))/100</f>
        <v>2.2399569514336765E-4</v>
      </c>
      <c r="AB112" s="17"/>
      <c r="AC112" s="17"/>
      <c r="AD112" s="17"/>
    </row>
    <row r="113" spans="1:30" x14ac:dyDescent="0.25">
      <c r="A113" t="s">
        <v>106</v>
      </c>
      <c r="B113" t="s">
        <v>107</v>
      </c>
      <c r="C113" t="s">
        <v>108</v>
      </c>
      <c r="D113">
        <v>46032</v>
      </c>
      <c r="E113" t="s">
        <v>107</v>
      </c>
      <c r="F113" t="s">
        <v>109</v>
      </c>
      <c r="G113">
        <v>8.5</v>
      </c>
      <c r="H113">
        <v>8.8970000000000002</v>
      </c>
      <c r="I113">
        <v>0.36099999999999999</v>
      </c>
      <c r="J113" t="s">
        <v>63</v>
      </c>
      <c r="K113">
        <v>4172</v>
      </c>
      <c r="L113">
        <v>61.785699999999999</v>
      </c>
      <c r="M113">
        <v>0.96747000000000005</v>
      </c>
      <c r="N113">
        <f>INDEX(jkm!$H:$H,MATCH(J113,jkm!$J:$J,0),1)</f>
        <v>17.283999999999999</v>
      </c>
      <c r="O113" s="3">
        <f t="shared" ca="1" si="7"/>
        <v>180</v>
      </c>
      <c r="P113" s="3">
        <f t="shared" ca="1" si="8"/>
        <v>0.49315068493150682</v>
      </c>
      <c r="Q113" t="str" cm="1">
        <f t="array" ref="Q113:S113">_xlfn.TEXTSPLIT(J113,"/")</f>
        <v>9</v>
      </c>
      <c r="R113" s="1" t="str">
        <v>15</v>
      </c>
      <c r="S113" t="str">
        <v>2026</v>
      </c>
      <c r="T113" s="1">
        <f t="shared" si="9"/>
        <v>46280</v>
      </c>
      <c r="U113" s="19">
        <f t="shared" si="10"/>
        <v>3.6899999999999977</v>
      </c>
      <c r="V113" s="17">
        <f ca="1">(LN(N113/G113)+(L113/100)^2*P113/2)/(L113/100*SQRT(P113))</f>
        <v>1.8526537643012184</v>
      </c>
      <c r="W113" s="17">
        <f ca="1">V113-L113/100*SQRT(P113)</f>
        <v>1.4187656118022605</v>
      </c>
      <c r="X113" s="17">
        <f ca="1">(LN(N113/G113)+P113*(U113/100+(L113/100)^2/2))/((L113/100*SQRT(P113)))</f>
        <v>1.894593743923078</v>
      </c>
      <c r="Y113" s="17">
        <f ca="1">X113-N113/100*SQRT(R113)</f>
        <v>1.2251873023645881</v>
      </c>
      <c r="Z113" s="20">
        <f ca="1">EXP(-P113)/(N113*L113/100*SQRT(P113))*_xlfn.NORM.S.DIST(X113,FALSE)</f>
        <v>5.39844315164605E-3</v>
      </c>
      <c r="AA113" s="17">
        <f t="shared" ca="1" si="11"/>
        <v>4.9138812803056339E-3</v>
      </c>
      <c r="AB113" s="17"/>
      <c r="AC113" s="17"/>
      <c r="AD113" s="17"/>
    </row>
    <row r="114" spans="1:30" x14ac:dyDescent="0.25">
      <c r="A114" t="s">
        <v>106</v>
      </c>
      <c r="B114" t="s">
        <v>107</v>
      </c>
      <c r="C114" t="s">
        <v>108</v>
      </c>
      <c r="D114">
        <v>46032</v>
      </c>
      <c r="E114" t="s">
        <v>107</v>
      </c>
      <c r="F114" t="s">
        <v>109</v>
      </c>
      <c r="G114">
        <v>9</v>
      </c>
      <c r="H114">
        <v>8.4429999999999996</v>
      </c>
      <c r="I114">
        <v>0.35699999999999998</v>
      </c>
      <c r="J114" t="s">
        <v>63</v>
      </c>
      <c r="K114">
        <v>4172</v>
      </c>
      <c r="L114">
        <v>61.810299999999998</v>
      </c>
      <c r="M114">
        <v>0.95667000000000002</v>
      </c>
      <c r="N114">
        <f>INDEX(jkm!$H:$H,MATCH(J114,jkm!$J:$J,0),1)</f>
        <v>17.283999999999999</v>
      </c>
      <c r="O114" s="3">
        <f t="shared" ca="1" si="7"/>
        <v>180</v>
      </c>
      <c r="P114" s="3">
        <f t="shared" ca="1" si="8"/>
        <v>0.49315068493150682</v>
      </c>
      <c r="Q114" t="str" cm="1">
        <f t="array" ref="Q114:S114">_xlfn.TEXTSPLIT(J114,"/")</f>
        <v>9</v>
      </c>
      <c r="R114" s="1" t="str">
        <v>15</v>
      </c>
      <c r="S114" t="str">
        <v>2026</v>
      </c>
      <c r="T114" s="1">
        <f t="shared" si="9"/>
        <v>46280</v>
      </c>
      <c r="U114" s="19">
        <f t="shared" si="10"/>
        <v>3.6899999999999977</v>
      </c>
      <c r="V114" s="17">
        <f ca="1">(LN(N114/G114)+(L114/100)^2*P114/2)/(L114/100*SQRT(P114))</f>
        <v>1.7204062067268246</v>
      </c>
      <c r="W114" s="17">
        <f ca="1">V114-L114/100*SQRT(P114)</f>
        <v>1.2863453014946054</v>
      </c>
      <c r="X114" s="17">
        <f ca="1">(LN(N114/G114)+P114*(U114/100+(L114/100)^2/2))/((L114/100*SQRT(P114)))</f>
        <v>1.7623294945756511</v>
      </c>
      <c r="Y114" s="17">
        <f ca="1">X114-N114/100*SQRT(R114)</f>
        <v>1.0929230530171612</v>
      </c>
      <c r="Z114" s="20">
        <f ca="1">EXP(-P114)/(N114*L114/100*SQRT(P114))*_xlfn.NORM.S.DIST(X114,FALSE)</f>
        <v>6.8726697396827895E-3</v>
      </c>
      <c r="AA114" s="17">
        <f t="shared" ca="1" si="11"/>
        <v>6.2582726833283839E-3</v>
      </c>
      <c r="AB114" s="17"/>
      <c r="AC114" s="17"/>
      <c r="AD114" s="17"/>
    </row>
    <row r="115" spans="1:30" x14ac:dyDescent="0.25">
      <c r="A115" t="s">
        <v>106</v>
      </c>
      <c r="B115" t="s">
        <v>107</v>
      </c>
      <c r="C115" t="s">
        <v>108</v>
      </c>
      <c r="D115">
        <v>46032</v>
      </c>
      <c r="E115" t="s">
        <v>107</v>
      </c>
      <c r="F115" t="s">
        <v>109</v>
      </c>
      <c r="G115">
        <v>9.5</v>
      </c>
      <c r="H115">
        <v>7.9989999999999997</v>
      </c>
      <c r="I115">
        <v>0.35099999999999998</v>
      </c>
      <c r="J115" t="s">
        <v>63</v>
      </c>
      <c r="K115">
        <v>4172</v>
      </c>
      <c r="L115">
        <v>61.834800000000001</v>
      </c>
      <c r="M115">
        <v>0.94396999999999998</v>
      </c>
      <c r="N115">
        <f>INDEX(jkm!$H:$H,MATCH(J115,jkm!$J:$J,0),1)</f>
        <v>17.283999999999999</v>
      </c>
      <c r="O115" s="3">
        <f t="shared" ca="1" si="7"/>
        <v>180</v>
      </c>
      <c r="P115" s="3">
        <f t="shared" ca="1" si="8"/>
        <v>0.49315068493150682</v>
      </c>
      <c r="Q115" t="str" cm="1">
        <f t="array" ref="Q115:S115">_xlfn.TEXTSPLIT(J115,"/")</f>
        <v>9</v>
      </c>
      <c r="R115" s="1" t="str">
        <v>15</v>
      </c>
      <c r="S115" t="str">
        <v>2026</v>
      </c>
      <c r="T115" s="1">
        <f t="shared" si="9"/>
        <v>46280</v>
      </c>
      <c r="U115" s="19">
        <f t="shared" si="10"/>
        <v>3.6899999999999977</v>
      </c>
      <c r="V115" s="17">
        <f ca="1">(LN(N115/G115)+(L115/100)^2*P115/2)/(L115/100*SQRT(P115))</f>
        <v>1.5953845516695222</v>
      </c>
      <c r="W115" s="17">
        <f ca="1">V115-L115/100*SQRT(P115)</f>
        <v>1.1611515959509244</v>
      </c>
      <c r="X115" s="17">
        <f ca="1">(LN(N115/G115)+P115*(U115/100+(L115/100)^2/2))/((L115/100*SQRT(P115)))</f>
        <v>1.6372912287982964</v>
      </c>
      <c r="Y115" s="17">
        <f ca="1">X115-N115/100*SQRT(R115)</f>
        <v>0.96788478723980642</v>
      </c>
      <c r="Z115" s="20">
        <f ca="1">EXP(-P115)/(N115*L115/100*SQRT(P115))*_xlfn.NORM.S.DIST(X115,FALSE)</f>
        <v>8.4968684960462695E-3</v>
      </c>
      <c r="AA115" s="17">
        <f t="shared" ca="1" si="11"/>
        <v>7.7403395614793376E-3</v>
      </c>
      <c r="AB115" s="17"/>
      <c r="AC115" s="17"/>
      <c r="AD115" s="17"/>
    </row>
    <row r="116" spans="1:30" x14ac:dyDescent="0.25">
      <c r="A116" t="s">
        <v>106</v>
      </c>
      <c r="B116" t="s">
        <v>107</v>
      </c>
      <c r="C116" t="s">
        <v>108</v>
      </c>
      <c r="D116">
        <v>46032</v>
      </c>
      <c r="E116" t="s">
        <v>107</v>
      </c>
      <c r="F116" t="s">
        <v>109</v>
      </c>
      <c r="G116">
        <v>10</v>
      </c>
      <c r="H116">
        <v>7.5679999999999996</v>
      </c>
      <c r="I116">
        <v>0.34399999999999997</v>
      </c>
      <c r="J116" t="s">
        <v>63</v>
      </c>
      <c r="K116">
        <v>4172</v>
      </c>
      <c r="L116">
        <v>61.859400000000001</v>
      </c>
      <c r="M116">
        <v>0.92937000000000003</v>
      </c>
      <c r="N116">
        <f>INDEX(jkm!$H:$H,MATCH(J116,jkm!$J:$J,0),1)</f>
        <v>17.283999999999999</v>
      </c>
      <c r="O116" s="3">
        <f t="shared" ca="1" si="7"/>
        <v>180</v>
      </c>
      <c r="P116" s="3">
        <f t="shared" ca="1" si="8"/>
        <v>0.49315068493150682</v>
      </c>
      <c r="Q116" t="str" cm="1">
        <f t="array" ref="Q116:S116">_xlfn.TEXTSPLIT(J116,"/")</f>
        <v>9</v>
      </c>
      <c r="R116" s="1" t="str">
        <v>15</v>
      </c>
      <c r="S116" t="str">
        <v>2026</v>
      </c>
      <c r="T116" s="1">
        <f t="shared" si="9"/>
        <v>46280</v>
      </c>
      <c r="U116" s="19">
        <f t="shared" si="10"/>
        <v>3.6899999999999977</v>
      </c>
      <c r="V116" s="17">
        <f ca="1">(LN(N116/G116)+(L116/100)^2*P116/2)/(L116/100*SQRT(P116))</f>
        <v>1.4768458893640861</v>
      </c>
      <c r="W116" s="17">
        <f ca="1">V116-L116/100*SQRT(P116)</f>
        <v>1.042440180912227</v>
      </c>
      <c r="X116" s="17">
        <f ca="1">(LN(N116/G116)+P116*(U116/100+(L116/100)^2/2))/((L116/100*SQRT(P116)))</f>
        <v>1.5187359012122825</v>
      </c>
      <c r="Y116" s="17">
        <f ca="1">X116-N116/100*SQRT(R116)</f>
        <v>0.84932945965379258</v>
      </c>
      <c r="Z116" s="20">
        <f ca="1">EXP(-P116)/(N116*L116/100*SQRT(P116))*_xlfn.NORM.S.DIST(X116,FALSE)</f>
        <v>1.0240821524610831E-2</v>
      </c>
      <c r="AA116" s="17">
        <f t="shared" ca="1" si="11"/>
        <v>9.3327290313126848E-3</v>
      </c>
      <c r="AB116" s="17"/>
      <c r="AC116" s="17"/>
      <c r="AD116" s="17"/>
    </row>
    <row r="117" spans="1:30" x14ac:dyDescent="0.25">
      <c r="A117" t="s">
        <v>106</v>
      </c>
      <c r="B117" t="s">
        <v>107</v>
      </c>
      <c r="C117" t="s">
        <v>108</v>
      </c>
      <c r="D117">
        <v>46032</v>
      </c>
      <c r="E117" t="s">
        <v>107</v>
      </c>
      <c r="F117" t="s">
        <v>109</v>
      </c>
      <c r="G117">
        <v>10.5</v>
      </c>
      <c r="H117">
        <v>7.1509999999999998</v>
      </c>
      <c r="I117">
        <v>0.33800000000000002</v>
      </c>
      <c r="J117" t="s">
        <v>63</v>
      </c>
      <c r="K117">
        <v>4172</v>
      </c>
      <c r="L117">
        <v>61.883899999999997</v>
      </c>
      <c r="M117">
        <v>0.91293000000000002</v>
      </c>
      <c r="N117">
        <f>INDEX(jkm!$H:$H,MATCH(J117,jkm!$J:$J,0),1)</f>
        <v>17.283999999999999</v>
      </c>
      <c r="O117" s="3">
        <f t="shared" ca="1" si="7"/>
        <v>180</v>
      </c>
      <c r="P117" s="3">
        <f t="shared" ca="1" si="8"/>
        <v>0.49315068493150682</v>
      </c>
      <c r="Q117" t="str" cm="1">
        <f t="array" ref="Q117:S117">_xlfn.TEXTSPLIT(J117,"/")</f>
        <v>9</v>
      </c>
      <c r="R117" s="1" t="str">
        <v>15</v>
      </c>
      <c r="S117" t="str">
        <v>2026</v>
      </c>
      <c r="T117" s="1">
        <f t="shared" si="9"/>
        <v>46280</v>
      </c>
      <c r="U117" s="19">
        <f t="shared" si="10"/>
        <v>3.6899999999999977</v>
      </c>
      <c r="V117" s="17">
        <f ca="1">(LN(N117/G117)+(L117/100)^2*P117/2)/(L117/100*SQRT(P117))</f>
        <v>1.364162944363551</v>
      </c>
      <c r="W117" s="17">
        <f ca="1">V117-L117/100*SQRT(P117)</f>
        <v>0.92958518542531365</v>
      </c>
      <c r="X117" s="17">
        <f ca="1">(LN(N117/G117)+P117*(U117/100+(L117/100)^2/2))/((L117/100*SQRT(P117)))</f>
        <v>1.4060363718450499</v>
      </c>
      <c r="Y117" s="17">
        <f ca="1">X117-N117/100*SQRT(R117)</f>
        <v>0.73662993028655999</v>
      </c>
      <c r="Z117" s="20">
        <f ca="1">EXP(-P117)/(N117*L117/100*SQRT(P117))*_xlfn.NORM.S.DIST(X117,FALSE)</f>
        <v>1.2070881825331215E-2</v>
      </c>
      <c r="AA117" s="17">
        <f t="shared" ca="1" si="11"/>
        <v>1.1004867799131002E-2</v>
      </c>
      <c r="AB117" s="17"/>
      <c r="AC117" s="17"/>
      <c r="AD117" s="17"/>
    </row>
    <row r="118" spans="1:30" x14ac:dyDescent="0.25">
      <c r="A118" t="s">
        <v>106</v>
      </c>
      <c r="B118" t="s">
        <v>107</v>
      </c>
      <c r="C118" t="s">
        <v>108</v>
      </c>
      <c r="D118">
        <v>46032</v>
      </c>
      <c r="E118" t="s">
        <v>107</v>
      </c>
      <c r="F118" t="s">
        <v>109</v>
      </c>
      <c r="G118">
        <v>11</v>
      </c>
      <c r="H118">
        <v>6.7480000000000002</v>
      </c>
      <c r="I118">
        <v>0.33</v>
      </c>
      <c r="J118" t="s">
        <v>63</v>
      </c>
      <c r="K118">
        <v>4172</v>
      </c>
      <c r="L118">
        <v>61.908499999999997</v>
      </c>
      <c r="M118">
        <v>0.89476</v>
      </c>
      <c r="N118">
        <f>INDEX(jkm!$H:$H,MATCH(J118,jkm!$J:$J,0),1)</f>
        <v>17.283999999999999</v>
      </c>
      <c r="O118" s="3">
        <f t="shared" ca="1" si="7"/>
        <v>180</v>
      </c>
      <c r="P118" s="3">
        <f t="shared" ca="1" si="8"/>
        <v>0.49315068493150682</v>
      </c>
      <c r="Q118" t="str" cm="1">
        <f t="array" ref="Q118:S118">_xlfn.TEXTSPLIT(J118,"/")</f>
        <v>9</v>
      </c>
      <c r="R118" s="1" t="str">
        <v>15</v>
      </c>
      <c r="S118" t="str">
        <v>2026</v>
      </c>
      <c r="T118" s="1">
        <f t="shared" si="9"/>
        <v>46280</v>
      </c>
      <c r="U118" s="19">
        <f t="shared" si="10"/>
        <v>3.6899999999999977</v>
      </c>
      <c r="V118" s="17">
        <f ca="1">(LN(N118/G118)+(L118/100)^2*P118/2)/(L118/100*SQRT(P118))</f>
        <v>1.2567896628112261</v>
      </c>
      <c r="W118" s="17">
        <f ca="1">V118-L118/100*SQRT(P118)</f>
        <v>0.82203915113972714</v>
      </c>
      <c r="X118" s="17">
        <f ca="1">(LN(N118/G118)+P118*(U118/100+(L118/100)^2/2))/((L118/100*SQRT(P118)))</f>
        <v>1.2986464514415808</v>
      </c>
      <c r="Y118" s="17">
        <f ca="1">X118-N118/100*SQRT(R118)</f>
        <v>0.62924000988309081</v>
      </c>
      <c r="Z118" s="20">
        <f ca="1">EXP(-P118)/(N118*L118/100*SQRT(P118))*_xlfn.NORM.S.DIST(X118,FALSE)</f>
        <v>1.3952050527321744E-2</v>
      </c>
      <c r="AA118" s="17">
        <f t="shared" ca="1" si="11"/>
        <v>1.2724961522507567E-2</v>
      </c>
      <c r="AB118" s="17"/>
      <c r="AC118" s="17"/>
      <c r="AD118" s="17"/>
    </row>
    <row r="119" spans="1:30" x14ac:dyDescent="0.25">
      <c r="A119" t="s">
        <v>106</v>
      </c>
      <c r="B119" t="s">
        <v>107</v>
      </c>
      <c r="C119" t="s">
        <v>108</v>
      </c>
      <c r="D119">
        <v>46032</v>
      </c>
      <c r="E119" t="s">
        <v>107</v>
      </c>
      <c r="F119" t="s">
        <v>109</v>
      </c>
      <c r="G119">
        <v>13</v>
      </c>
      <c r="H119">
        <v>5.2889999999999997</v>
      </c>
      <c r="I119">
        <v>0.29399999999999998</v>
      </c>
      <c r="J119" t="s">
        <v>63</v>
      </c>
      <c r="K119">
        <v>4172</v>
      </c>
      <c r="L119">
        <v>62.006700000000002</v>
      </c>
      <c r="M119">
        <v>0.80769999999999997</v>
      </c>
      <c r="N119">
        <f>INDEX(jkm!$H:$H,MATCH(J119,jkm!$J:$J,0),1)</f>
        <v>17.283999999999999</v>
      </c>
      <c r="O119" s="3">
        <f t="shared" ca="1" si="7"/>
        <v>180</v>
      </c>
      <c r="P119" s="3">
        <f t="shared" ca="1" si="8"/>
        <v>0.49315068493150682</v>
      </c>
      <c r="Q119" t="str" cm="1">
        <f t="array" ref="Q119:S119">_xlfn.TEXTSPLIT(J119,"/")</f>
        <v>9</v>
      </c>
      <c r="R119" s="1" t="str">
        <v>15</v>
      </c>
      <c r="S119" t="str">
        <v>2026</v>
      </c>
      <c r="T119" s="1">
        <f t="shared" si="9"/>
        <v>46280</v>
      </c>
      <c r="U119" s="19">
        <f t="shared" si="10"/>
        <v>3.6899999999999977</v>
      </c>
      <c r="V119" s="17">
        <f ca="1">(LN(N119/G119)+(L119/100)^2*P119/2)/(L119/100*SQRT(P119))</f>
        <v>0.87184412517023246</v>
      </c>
      <c r="W119" s="17">
        <f ca="1">V119-L119/100*SQRT(P119)</f>
        <v>0.43640400705945387</v>
      </c>
      <c r="X119" s="17">
        <f ca="1">(LN(N119/G119)+P119*(U119/100+(L119/100)^2/2))/((L119/100*SQRT(P119)))</f>
        <v>0.91363462521171701</v>
      </c>
      <c r="Y119" s="17">
        <f ca="1">X119-N119/100*SQRT(R119)</f>
        <v>0.24422818365322707</v>
      </c>
      <c r="Z119" s="20">
        <f ca="1">EXP(-P119)/(N119*L119/100*SQRT(P119))*_xlfn.NORM.S.DIST(X119,FALSE)</f>
        <v>2.1325823775437663E-2</v>
      </c>
      <c r="AA119" s="17">
        <f t="shared" ca="1" si="11"/>
        <v>1.9481060309167977E-2</v>
      </c>
      <c r="AB119" s="17"/>
      <c r="AC119" s="17"/>
      <c r="AD119" s="17"/>
    </row>
    <row r="120" spans="1:30" x14ac:dyDescent="0.25">
      <c r="A120" t="s">
        <v>106</v>
      </c>
      <c r="B120" t="s">
        <v>107</v>
      </c>
      <c r="C120" t="s">
        <v>108</v>
      </c>
      <c r="D120">
        <v>46032</v>
      </c>
      <c r="E120" t="s">
        <v>107</v>
      </c>
      <c r="F120" t="s">
        <v>109</v>
      </c>
      <c r="G120">
        <v>15</v>
      </c>
      <c r="H120">
        <v>4.0970000000000004</v>
      </c>
      <c r="I120">
        <v>0.25</v>
      </c>
      <c r="J120" t="s">
        <v>63</v>
      </c>
      <c r="K120">
        <v>4172</v>
      </c>
      <c r="L120">
        <v>62.360900000000001</v>
      </c>
      <c r="M120">
        <v>0.70609999999999995</v>
      </c>
      <c r="N120">
        <f>INDEX(jkm!$H:$H,MATCH(J120,jkm!$J:$J,0),1)</f>
        <v>17.283999999999999</v>
      </c>
      <c r="O120" s="3">
        <f t="shared" ca="1" si="7"/>
        <v>180</v>
      </c>
      <c r="P120" s="3">
        <f t="shared" ca="1" si="8"/>
        <v>0.49315068493150682</v>
      </c>
      <c r="Q120" t="str" cm="1">
        <f t="array" ref="Q120:S120">_xlfn.TEXTSPLIT(J120,"/")</f>
        <v>9</v>
      </c>
      <c r="R120" s="1" t="str">
        <v>15</v>
      </c>
      <c r="S120" t="str">
        <v>2026</v>
      </c>
      <c r="T120" s="1">
        <f t="shared" si="9"/>
        <v>46280</v>
      </c>
      <c r="U120" s="19">
        <f t="shared" si="10"/>
        <v>3.6899999999999977</v>
      </c>
      <c r="V120" s="17">
        <f ca="1">(LN(N120/G120)+(L120/100)^2*P120/2)/(L120/100*SQRT(P120))</f>
        <v>0.54260412293832061</v>
      </c>
      <c r="W120" s="17">
        <f ca="1">V120-L120/100*SQRT(P120)</f>
        <v>0.10467664636732993</v>
      </c>
      <c r="X120" s="17">
        <f ca="1">(LN(N120/G120)+P120*(U120/100+(L120/100)^2/2))/((L120/100*SQRT(P120)))</f>
        <v>0.58415725958199205</v>
      </c>
      <c r="Y120" s="17">
        <f ca="1">X120-N120/100*SQRT(R120)</f>
        <v>-8.524918197649789E-2</v>
      </c>
      <c r="Z120" s="20">
        <f ca="1">EXP(-P120)/(N120*L120/100*SQRT(P120))*_xlfn.NORM.S.DIST(X120,FALSE)</f>
        <v>2.7138868213102022E-2</v>
      </c>
      <c r="AA120" s="17">
        <f t="shared" ca="1" si="11"/>
        <v>2.4932869410793489E-2</v>
      </c>
      <c r="AB120" s="17"/>
      <c r="AC120" s="17"/>
      <c r="AD120" s="17"/>
    </row>
    <row r="121" spans="1:30" x14ac:dyDescent="0.25">
      <c r="A121" t="s">
        <v>106</v>
      </c>
      <c r="B121" t="s">
        <v>107</v>
      </c>
      <c r="C121" t="s">
        <v>108</v>
      </c>
      <c r="D121">
        <v>46032</v>
      </c>
      <c r="E121" t="s">
        <v>107</v>
      </c>
      <c r="F121" t="s">
        <v>109</v>
      </c>
      <c r="G121">
        <v>16.5</v>
      </c>
      <c r="H121">
        <v>3.3730000000000002</v>
      </c>
      <c r="I121">
        <v>0.218</v>
      </c>
      <c r="J121" t="s">
        <v>63</v>
      </c>
      <c r="K121">
        <v>4172</v>
      </c>
      <c r="L121">
        <v>62.824199999999998</v>
      </c>
      <c r="M121">
        <v>0.62795999999999996</v>
      </c>
      <c r="N121">
        <f>INDEX(jkm!$H:$H,MATCH(J121,jkm!$J:$J,0),1)</f>
        <v>17.283999999999999</v>
      </c>
      <c r="O121" s="3">
        <f t="shared" ca="1" si="7"/>
        <v>180</v>
      </c>
      <c r="P121" s="3">
        <f t="shared" ca="1" si="8"/>
        <v>0.49315068493150682</v>
      </c>
      <c r="Q121" t="str" cm="1">
        <f t="array" ref="Q121:S121">_xlfn.TEXTSPLIT(J121,"/")</f>
        <v>9</v>
      </c>
      <c r="R121" s="1" t="str">
        <v>15</v>
      </c>
      <c r="S121" t="str">
        <v>2026</v>
      </c>
      <c r="T121" s="1">
        <f t="shared" si="9"/>
        <v>46280</v>
      </c>
      <c r="U121" s="19">
        <f t="shared" si="10"/>
        <v>3.6899999999999977</v>
      </c>
      <c r="V121" s="17">
        <f ca="1">(LN(N121/G121)+(L121/100)^2*P121/2)/(L121/100*SQRT(P121))</f>
        <v>0.32580998042160697</v>
      </c>
      <c r="W121" s="17">
        <f ca="1">V121-L121/100*SQRT(P121)</f>
        <v>-0.11537100595914179</v>
      </c>
      <c r="X121" s="17">
        <f ca="1">(LN(N121/G121)+P121*(U121/100+(L121/100)^2/2))/((L121/100*SQRT(P121)))</f>
        <v>0.36705668151644505</v>
      </c>
      <c r="Y121" s="17">
        <f ca="1">X121-N121/100*SQRT(R121)</f>
        <v>-0.30234976004204489</v>
      </c>
      <c r="Z121" s="20">
        <f ca="1">EXP(-P121)/(N121*L121/100*SQRT(P121))*_xlfn.NORM.S.DIST(X121,FALSE)</f>
        <v>2.98689544068622E-2</v>
      </c>
      <c r="AA121" s="17">
        <f t="shared" ca="1" si="11"/>
        <v>2.7644907612460363E-2</v>
      </c>
      <c r="AB121" s="17"/>
      <c r="AC121" s="17"/>
      <c r="AD121" s="17"/>
    </row>
    <row r="122" spans="1:30" x14ac:dyDescent="0.25">
      <c r="A122" t="s">
        <v>106</v>
      </c>
      <c r="B122" t="s">
        <v>107</v>
      </c>
      <c r="C122" t="s">
        <v>108</v>
      </c>
      <c r="D122">
        <v>46032</v>
      </c>
      <c r="E122" t="s">
        <v>107</v>
      </c>
      <c r="F122" t="s">
        <v>109</v>
      </c>
      <c r="G122">
        <v>20</v>
      </c>
      <c r="H122">
        <v>2.1339999999999999</v>
      </c>
      <c r="I122">
        <v>0.156</v>
      </c>
      <c r="J122" t="s">
        <v>63</v>
      </c>
      <c r="K122">
        <v>4172</v>
      </c>
      <c r="L122">
        <v>63.792000000000002</v>
      </c>
      <c r="M122">
        <v>0.46066000000000001</v>
      </c>
      <c r="N122">
        <f>INDEX(jkm!$H:$H,MATCH(J122,jkm!$J:$J,0),1)</f>
        <v>17.283999999999999</v>
      </c>
      <c r="O122" s="3">
        <f t="shared" ca="1" si="7"/>
        <v>180</v>
      </c>
      <c r="P122" s="3">
        <f t="shared" ca="1" si="8"/>
        <v>0.49315068493150682</v>
      </c>
      <c r="Q122" t="str" cm="1">
        <f t="array" ref="Q122:S122">_xlfn.TEXTSPLIT(J122,"/")</f>
        <v>9</v>
      </c>
      <c r="R122" s="1" t="str">
        <v>15</v>
      </c>
      <c r="S122" t="str">
        <v>2026</v>
      </c>
      <c r="T122" s="1">
        <f t="shared" si="9"/>
        <v>46280</v>
      </c>
      <c r="U122" s="19">
        <f t="shared" si="10"/>
        <v>3.6899999999999977</v>
      </c>
      <c r="V122" s="17">
        <f ca="1">(LN(N122/G122)+(L122/100)^2*P122/2)/(L122/100*SQRT(P122))</f>
        <v>-0.10181142524294443</v>
      </c>
      <c r="W122" s="17">
        <f ca="1">V122-L122/100*SQRT(P122)</f>
        <v>-0.54978875695907814</v>
      </c>
      <c r="X122" s="17">
        <f ca="1">(LN(N122/G122)+P122*(U122/100+(L122/100)^2/2))/((L122/100*SQRT(P122)))</f>
        <v>-6.1190485330066158E-2</v>
      </c>
      <c r="Y122" s="17">
        <f ca="1">X122-N122/100*SQRT(R122)</f>
        <v>-0.73059692688855615</v>
      </c>
      <c r="Z122" s="20">
        <f ca="1">EXP(-P122)/(N122*L122/100*SQRT(P122))*_xlfn.NORM.S.DIST(X122,FALSE)</f>
        <v>3.1406828949109365E-2</v>
      </c>
      <c r="AA122" s="17">
        <f t="shared" ca="1" si="11"/>
        <v>2.9516065367322496E-2</v>
      </c>
      <c r="AB122" s="17"/>
      <c r="AC122" s="17"/>
      <c r="AD122" s="17"/>
    </row>
    <row r="123" spans="1:30" x14ac:dyDescent="0.25">
      <c r="A123" t="s">
        <v>106</v>
      </c>
      <c r="B123" t="s">
        <v>107</v>
      </c>
      <c r="C123" t="s">
        <v>108</v>
      </c>
      <c r="D123">
        <v>46032</v>
      </c>
      <c r="E123" t="s">
        <v>107</v>
      </c>
      <c r="F123" t="s">
        <v>109</v>
      </c>
      <c r="G123">
        <v>25</v>
      </c>
      <c r="H123">
        <v>1.0760000000000001</v>
      </c>
      <c r="I123">
        <v>9.2999999999999999E-2</v>
      </c>
      <c r="J123" t="s">
        <v>63</v>
      </c>
      <c r="K123">
        <v>4172</v>
      </c>
      <c r="L123">
        <v>63.9026</v>
      </c>
      <c r="M123">
        <v>0.27681</v>
      </c>
      <c r="N123">
        <f>INDEX(jkm!$H:$H,MATCH(J123,jkm!$J:$J,0),1)</f>
        <v>17.283999999999999</v>
      </c>
      <c r="O123" s="3">
        <f t="shared" ca="1" si="7"/>
        <v>180</v>
      </c>
      <c r="P123" s="3">
        <f t="shared" ca="1" si="8"/>
        <v>0.49315068493150682</v>
      </c>
      <c r="Q123" t="str" cm="1">
        <f t="array" ref="Q123:S123">_xlfn.TEXTSPLIT(J123,"/")</f>
        <v>9</v>
      </c>
      <c r="R123" s="1" t="str">
        <v>15</v>
      </c>
      <c r="S123" t="str">
        <v>2026</v>
      </c>
      <c r="T123" s="1">
        <f t="shared" si="9"/>
        <v>46280</v>
      </c>
      <c r="U123" s="19">
        <f t="shared" si="10"/>
        <v>3.6899999999999977</v>
      </c>
      <c r="V123" s="17">
        <f ca="1">(LN(N123/G123)+(L123/100)^2*P123/2)/(L123/100*SQRT(P123))</f>
        <v>-0.59811057502711529</v>
      </c>
      <c r="W123" s="17">
        <f ca="1">V123-L123/100*SQRT(P123)</f>
        <v>-1.0468645917960424</v>
      </c>
      <c r="X123" s="17">
        <f ca="1">(LN(N123/G123)+P123*(U123/100+(L123/100)^2/2))/((L123/100*SQRT(P123)))</f>
        <v>-0.55755994017153299</v>
      </c>
      <c r="Y123" s="17">
        <f ca="1">X123-N123/100*SQRT(R123)</f>
        <v>-1.2269663817300229</v>
      </c>
      <c r="Z123" s="20">
        <f ca="1">EXP(-P123)/(N123*L123/100*SQRT(P123))*_xlfn.NORM.S.DIST(X123,FALSE)</f>
        <v>2.688930671095284E-2</v>
      </c>
      <c r="AA123" s="17">
        <f t="shared" ca="1" si="11"/>
        <v>2.5314321382739445E-2</v>
      </c>
      <c r="AB123" s="17"/>
      <c r="AC123" s="17"/>
      <c r="AD123" s="17"/>
    </row>
    <row r="124" spans="1:30" x14ac:dyDescent="0.25">
      <c r="A124" t="s">
        <v>106</v>
      </c>
      <c r="B124" t="s">
        <v>107</v>
      </c>
      <c r="C124" t="s">
        <v>108</v>
      </c>
      <c r="D124">
        <v>46032</v>
      </c>
      <c r="E124" t="s">
        <v>107</v>
      </c>
      <c r="F124" t="s">
        <v>110</v>
      </c>
      <c r="G124">
        <v>5</v>
      </c>
      <c r="H124">
        <v>3.0000000000000001E-3</v>
      </c>
      <c r="I124">
        <v>0</v>
      </c>
      <c r="J124" t="s">
        <v>63</v>
      </c>
      <c r="K124">
        <v>4172</v>
      </c>
      <c r="L124">
        <v>61.613900000000001</v>
      </c>
      <c r="M124">
        <v>-1.08E-3</v>
      </c>
      <c r="N124">
        <f>INDEX(jkm!$H:$H,MATCH(J124,jkm!$J:$J,0),1)</f>
        <v>17.283999999999999</v>
      </c>
      <c r="O124" s="3">
        <f t="shared" ca="1" si="7"/>
        <v>180</v>
      </c>
      <c r="P124" s="3">
        <f t="shared" ca="1" si="8"/>
        <v>0.49315068493150682</v>
      </c>
      <c r="Q124" t="str" cm="1">
        <f t="array" ref="Q124:S124">_xlfn.TEXTSPLIT(J124,"/")</f>
        <v>9</v>
      </c>
      <c r="R124" s="1" t="str">
        <v>15</v>
      </c>
      <c r="S124" t="str">
        <v>2026</v>
      </c>
      <c r="T124" s="1">
        <f t="shared" si="9"/>
        <v>46280</v>
      </c>
      <c r="U124" s="19">
        <f t="shared" si="10"/>
        <v>3.6899999999999977</v>
      </c>
      <c r="V124" s="17">
        <f ca="1">(LN(N124/G124)+(L124/100)^2*P124/2)/(L124/100*SQRT(P124))</f>
        <v>3.0829823693910119</v>
      </c>
      <c r="W124" s="17">
        <f ca="1">V124-L124/100*SQRT(P124)</f>
        <v>2.6503006770373516</v>
      </c>
      <c r="X124" s="17">
        <f ca="1">(LN(N124/G124)+P124*(U124/100+(L124/100)^2/2))/((L124/100*SQRT(P124)))</f>
        <v>3.125039291593994</v>
      </c>
      <c r="Y124" s="17">
        <f ca="1">X124-N124/100*SQRT(R124)</f>
        <v>2.4556328500355038</v>
      </c>
      <c r="Z124" s="20">
        <f ca="1">EXP(-P124)/(N124*L124/100*SQRT(P124))*_xlfn.NORM.S.DIST(X124,FALSE)</f>
        <v>2.4677025884394134E-4</v>
      </c>
      <c r="AA124" s="17">
        <f t="shared" ca="1" si="11"/>
        <v>2.2399569514336765E-4</v>
      </c>
      <c r="AB124" s="17"/>
      <c r="AC124" s="17"/>
      <c r="AD124" s="17"/>
    </row>
    <row r="125" spans="1:30" x14ac:dyDescent="0.25">
      <c r="A125" t="s">
        <v>106</v>
      </c>
      <c r="B125" t="s">
        <v>107</v>
      </c>
      <c r="C125" t="s">
        <v>108</v>
      </c>
      <c r="D125">
        <v>46032</v>
      </c>
      <c r="E125" t="s">
        <v>107</v>
      </c>
      <c r="F125" t="s">
        <v>110</v>
      </c>
      <c r="G125">
        <v>8.5</v>
      </c>
      <c r="H125">
        <v>0.113</v>
      </c>
      <c r="I125">
        <v>-1.4999999999999999E-2</v>
      </c>
      <c r="J125" t="s">
        <v>63</v>
      </c>
      <c r="K125">
        <v>4172</v>
      </c>
      <c r="L125">
        <v>61.785699999999999</v>
      </c>
      <c r="M125">
        <v>-3.2530000000000003E-2</v>
      </c>
      <c r="N125">
        <f>INDEX(jkm!$H:$H,MATCH(J125,jkm!$J:$J,0),1)</f>
        <v>17.283999999999999</v>
      </c>
      <c r="O125" s="3">
        <f t="shared" ca="1" si="7"/>
        <v>180</v>
      </c>
      <c r="P125" s="3">
        <f t="shared" ca="1" si="8"/>
        <v>0.49315068493150682</v>
      </c>
      <c r="Q125" t="str" cm="1">
        <f t="array" ref="Q125:S125">_xlfn.TEXTSPLIT(J125,"/")</f>
        <v>9</v>
      </c>
      <c r="R125" s="1" t="str">
        <v>15</v>
      </c>
      <c r="S125" t="str">
        <v>2026</v>
      </c>
      <c r="T125" s="1">
        <f t="shared" si="9"/>
        <v>46280</v>
      </c>
      <c r="U125" s="19">
        <f t="shared" si="10"/>
        <v>3.6899999999999977</v>
      </c>
      <c r="V125" s="17">
        <f ca="1">(LN(N125/G125)+(L125/100)^2*P125/2)/(L125/100*SQRT(P125))</f>
        <v>1.8526537643012184</v>
      </c>
      <c r="W125" s="17">
        <f ca="1">V125-L125/100*SQRT(P125)</f>
        <v>1.4187656118022605</v>
      </c>
      <c r="X125" s="17">
        <f ca="1">(LN(N125/G125)+P125*(U125/100+(L125/100)^2/2))/((L125/100*SQRT(P125)))</f>
        <v>1.894593743923078</v>
      </c>
      <c r="Y125" s="17">
        <f ca="1">X125-N125/100*SQRT(R125)</f>
        <v>1.2251873023645881</v>
      </c>
      <c r="Z125" s="20">
        <f ca="1">EXP(-P125)/(N125*L125/100*SQRT(P125))*_xlfn.NORM.S.DIST(X125,FALSE)</f>
        <v>5.39844315164605E-3</v>
      </c>
      <c r="AA125" s="17">
        <f t="shared" ca="1" si="11"/>
        <v>4.9138812803056339E-3</v>
      </c>
      <c r="AB125" s="17"/>
      <c r="AC125" s="17"/>
      <c r="AD125" s="17"/>
    </row>
    <row r="126" spans="1:30" x14ac:dyDescent="0.25">
      <c r="A126" t="s">
        <v>106</v>
      </c>
      <c r="B126" t="s">
        <v>107</v>
      </c>
      <c r="C126" t="s">
        <v>108</v>
      </c>
      <c r="D126">
        <v>46032</v>
      </c>
      <c r="E126" t="s">
        <v>107</v>
      </c>
      <c r="F126" t="s">
        <v>110</v>
      </c>
      <c r="G126">
        <v>9</v>
      </c>
      <c r="H126">
        <v>0.159</v>
      </c>
      <c r="I126">
        <v>-1.9E-2</v>
      </c>
      <c r="J126" t="s">
        <v>63</v>
      </c>
      <c r="K126">
        <v>4172</v>
      </c>
      <c r="L126">
        <v>61.810299999999998</v>
      </c>
      <c r="M126">
        <v>-4.333E-2</v>
      </c>
      <c r="N126">
        <f>INDEX(jkm!$H:$H,MATCH(J126,jkm!$J:$J,0),1)</f>
        <v>17.283999999999999</v>
      </c>
      <c r="O126" s="3">
        <f t="shared" ca="1" si="7"/>
        <v>180</v>
      </c>
      <c r="P126" s="3">
        <f t="shared" ca="1" si="8"/>
        <v>0.49315068493150682</v>
      </c>
      <c r="Q126" t="str" cm="1">
        <f t="array" ref="Q126:S126">_xlfn.TEXTSPLIT(J126,"/")</f>
        <v>9</v>
      </c>
      <c r="R126" s="1" t="str">
        <v>15</v>
      </c>
      <c r="S126" t="str">
        <v>2026</v>
      </c>
      <c r="T126" s="1">
        <f t="shared" si="9"/>
        <v>46280</v>
      </c>
      <c r="U126" s="19">
        <f t="shared" si="10"/>
        <v>3.6899999999999977</v>
      </c>
      <c r="V126" s="17">
        <f ca="1">(LN(N126/G126)+(L126/100)^2*P126/2)/(L126/100*SQRT(P126))</f>
        <v>1.7204062067268246</v>
      </c>
      <c r="W126" s="17">
        <f ca="1">V126-L126/100*SQRT(P126)</f>
        <v>1.2863453014946054</v>
      </c>
      <c r="X126" s="17">
        <f ca="1">(LN(N126/G126)+P126*(U126/100+(L126/100)^2/2))/((L126/100*SQRT(P126)))</f>
        <v>1.7623294945756511</v>
      </c>
      <c r="Y126" s="17">
        <f ca="1">X126-N126/100*SQRT(R126)</f>
        <v>1.0929230530171612</v>
      </c>
      <c r="Z126" s="20">
        <f ca="1">EXP(-P126)/(N126*L126/100*SQRT(P126))*_xlfn.NORM.S.DIST(X126,FALSE)</f>
        <v>6.8726697396827895E-3</v>
      </c>
      <c r="AA126" s="17">
        <f t="shared" ca="1" si="11"/>
        <v>6.2582726833283839E-3</v>
      </c>
      <c r="AB126" s="17"/>
      <c r="AC126" s="17"/>
      <c r="AD126" s="17"/>
    </row>
    <row r="127" spans="1:30" x14ac:dyDescent="0.25">
      <c r="A127" t="s">
        <v>106</v>
      </c>
      <c r="B127" t="s">
        <v>107</v>
      </c>
      <c r="C127" t="s">
        <v>108</v>
      </c>
      <c r="D127">
        <v>46032</v>
      </c>
      <c r="E127" t="s">
        <v>107</v>
      </c>
      <c r="F127" t="s">
        <v>110</v>
      </c>
      <c r="G127">
        <v>9.5</v>
      </c>
      <c r="H127">
        <v>0.215</v>
      </c>
      <c r="I127">
        <v>-2.5000000000000001E-2</v>
      </c>
      <c r="J127" t="s">
        <v>63</v>
      </c>
      <c r="K127">
        <v>4172</v>
      </c>
      <c r="L127">
        <v>61.834800000000001</v>
      </c>
      <c r="M127">
        <v>-5.6030000000000003E-2</v>
      </c>
      <c r="N127">
        <f>INDEX(jkm!$H:$H,MATCH(J127,jkm!$J:$J,0),1)</f>
        <v>17.283999999999999</v>
      </c>
      <c r="O127" s="3">
        <f t="shared" ca="1" si="7"/>
        <v>180</v>
      </c>
      <c r="P127" s="3">
        <f t="shared" ca="1" si="8"/>
        <v>0.49315068493150682</v>
      </c>
      <c r="Q127" t="str" cm="1">
        <f t="array" ref="Q127:S127">_xlfn.TEXTSPLIT(J127,"/")</f>
        <v>9</v>
      </c>
      <c r="R127" s="1" t="str">
        <v>15</v>
      </c>
      <c r="S127" t="str">
        <v>2026</v>
      </c>
      <c r="T127" s="1">
        <f t="shared" si="9"/>
        <v>46280</v>
      </c>
      <c r="U127" s="19">
        <f t="shared" si="10"/>
        <v>3.6899999999999977</v>
      </c>
      <c r="V127" s="17">
        <f ca="1">(LN(N127/G127)+(L127/100)^2*P127/2)/(L127/100*SQRT(P127))</f>
        <v>1.5953845516695222</v>
      </c>
      <c r="W127" s="17">
        <f ca="1">V127-L127/100*SQRT(P127)</f>
        <v>1.1611515959509244</v>
      </c>
      <c r="X127" s="17">
        <f ca="1">(LN(N127/G127)+P127*(U127/100+(L127/100)^2/2))/((L127/100*SQRT(P127)))</f>
        <v>1.6372912287982964</v>
      </c>
      <c r="Y127" s="17">
        <f ca="1">X127-N127/100*SQRT(R127)</f>
        <v>0.96788478723980642</v>
      </c>
      <c r="Z127" s="20">
        <f ca="1">EXP(-P127)/(N127*L127/100*SQRT(P127))*_xlfn.NORM.S.DIST(X127,FALSE)</f>
        <v>8.4968684960462695E-3</v>
      </c>
      <c r="AA127" s="17">
        <f t="shared" ca="1" si="11"/>
        <v>7.7403395614793376E-3</v>
      </c>
      <c r="AB127" s="17"/>
      <c r="AC127" s="17"/>
      <c r="AD127" s="17"/>
    </row>
    <row r="128" spans="1:30" x14ac:dyDescent="0.25">
      <c r="A128" t="s">
        <v>106</v>
      </c>
      <c r="B128" t="s">
        <v>107</v>
      </c>
      <c r="C128" t="s">
        <v>108</v>
      </c>
      <c r="D128">
        <v>46032</v>
      </c>
      <c r="E128" t="s">
        <v>107</v>
      </c>
      <c r="F128" t="s">
        <v>110</v>
      </c>
      <c r="G128">
        <v>10</v>
      </c>
      <c r="H128">
        <v>0.28399999999999997</v>
      </c>
      <c r="I128">
        <v>-3.2000000000000001E-2</v>
      </c>
      <c r="J128" t="s">
        <v>63</v>
      </c>
      <c r="K128">
        <v>4172</v>
      </c>
      <c r="L128">
        <v>61.859400000000001</v>
      </c>
      <c r="M128">
        <v>-7.0629999999999998E-2</v>
      </c>
      <c r="N128">
        <f>INDEX(jkm!$H:$H,MATCH(J128,jkm!$J:$J,0),1)</f>
        <v>17.283999999999999</v>
      </c>
      <c r="O128" s="3">
        <f t="shared" ca="1" si="7"/>
        <v>180</v>
      </c>
      <c r="P128" s="3">
        <f t="shared" ca="1" si="8"/>
        <v>0.49315068493150682</v>
      </c>
      <c r="Q128" t="str" cm="1">
        <f t="array" ref="Q128:S128">_xlfn.TEXTSPLIT(J128,"/")</f>
        <v>9</v>
      </c>
      <c r="R128" s="1" t="str">
        <v>15</v>
      </c>
      <c r="S128" t="str">
        <v>2026</v>
      </c>
      <c r="T128" s="1">
        <f t="shared" si="9"/>
        <v>46280</v>
      </c>
      <c r="U128" s="19">
        <f t="shared" si="10"/>
        <v>3.6899999999999977</v>
      </c>
      <c r="V128" s="17">
        <f ca="1">(LN(N128/G128)+(L128/100)^2*P128/2)/(L128/100*SQRT(P128))</f>
        <v>1.4768458893640861</v>
      </c>
      <c r="W128" s="17">
        <f ca="1">V128-L128/100*SQRT(P128)</f>
        <v>1.042440180912227</v>
      </c>
      <c r="X128" s="17">
        <f ca="1">(LN(N128/G128)+P128*(U128/100+(L128/100)^2/2))/((L128/100*SQRT(P128)))</f>
        <v>1.5187359012122825</v>
      </c>
      <c r="Y128" s="17">
        <f ca="1">X128-N128/100*SQRT(R128)</f>
        <v>0.84932945965379258</v>
      </c>
      <c r="Z128" s="20">
        <f ca="1">EXP(-P128)/(N128*L128/100*SQRT(P128))*_xlfn.NORM.S.DIST(X128,FALSE)</f>
        <v>1.0240821524610831E-2</v>
      </c>
      <c r="AA128" s="17">
        <f t="shared" ca="1" si="11"/>
        <v>9.3327290313126848E-3</v>
      </c>
      <c r="AB128" s="17"/>
      <c r="AC128" s="17"/>
      <c r="AD128" s="17"/>
    </row>
    <row r="129" spans="1:30" x14ac:dyDescent="0.25">
      <c r="A129" t="s">
        <v>106</v>
      </c>
      <c r="B129" t="s">
        <v>107</v>
      </c>
      <c r="C129" t="s">
        <v>108</v>
      </c>
      <c r="D129">
        <v>46032</v>
      </c>
      <c r="E129" t="s">
        <v>107</v>
      </c>
      <c r="F129" t="s">
        <v>110</v>
      </c>
      <c r="G129">
        <v>10.5</v>
      </c>
      <c r="H129">
        <v>0.36699999999999999</v>
      </c>
      <c r="I129">
        <v>-3.7999999999999999E-2</v>
      </c>
      <c r="J129" t="s">
        <v>63</v>
      </c>
      <c r="K129">
        <v>4172</v>
      </c>
      <c r="L129">
        <v>61.883899999999997</v>
      </c>
      <c r="M129">
        <v>-8.7069999999999995E-2</v>
      </c>
      <c r="N129">
        <f>INDEX(jkm!$H:$H,MATCH(J129,jkm!$J:$J,0),1)</f>
        <v>17.283999999999999</v>
      </c>
      <c r="O129" s="3">
        <f t="shared" ca="1" si="7"/>
        <v>180</v>
      </c>
      <c r="P129" s="3">
        <f t="shared" ca="1" si="8"/>
        <v>0.49315068493150682</v>
      </c>
      <c r="Q129" t="str" cm="1">
        <f t="array" ref="Q129:S129">_xlfn.TEXTSPLIT(J129,"/")</f>
        <v>9</v>
      </c>
      <c r="R129" s="1" t="str">
        <v>15</v>
      </c>
      <c r="S129" t="str">
        <v>2026</v>
      </c>
      <c r="T129" s="1">
        <f t="shared" si="9"/>
        <v>46280</v>
      </c>
      <c r="U129" s="19">
        <f t="shared" si="10"/>
        <v>3.6899999999999977</v>
      </c>
      <c r="V129" s="17">
        <f ca="1">(LN(N129/G129)+(L129/100)^2*P129/2)/(L129/100*SQRT(P129))</f>
        <v>1.364162944363551</v>
      </c>
      <c r="W129" s="17">
        <f ca="1">V129-L129/100*SQRT(P129)</f>
        <v>0.92958518542531365</v>
      </c>
      <c r="X129" s="17">
        <f ca="1">(LN(N129/G129)+P129*(U129/100+(L129/100)^2/2))/((L129/100*SQRT(P129)))</f>
        <v>1.4060363718450499</v>
      </c>
      <c r="Y129" s="17">
        <f ca="1">X129-N129/100*SQRT(R129)</f>
        <v>0.73662993028655999</v>
      </c>
      <c r="Z129" s="20">
        <f ca="1">EXP(-P129)/(N129*L129/100*SQRT(P129))*_xlfn.NORM.S.DIST(X129,FALSE)</f>
        <v>1.2070881825331215E-2</v>
      </c>
      <c r="AA129" s="17">
        <f t="shared" ca="1" si="11"/>
        <v>1.1004867799131002E-2</v>
      </c>
      <c r="AB129" s="17"/>
      <c r="AC129" s="17"/>
      <c r="AD129" s="17"/>
    </row>
    <row r="130" spans="1:30" x14ac:dyDescent="0.25">
      <c r="A130" t="s">
        <v>106</v>
      </c>
      <c r="B130" t="s">
        <v>107</v>
      </c>
      <c r="C130" t="s">
        <v>108</v>
      </c>
      <c r="D130">
        <v>46032</v>
      </c>
      <c r="E130" t="s">
        <v>107</v>
      </c>
      <c r="F130" t="s">
        <v>110</v>
      </c>
      <c r="G130">
        <v>11</v>
      </c>
      <c r="H130">
        <v>0.46400000000000002</v>
      </c>
      <c r="I130">
        <v>-4.5999999999999999E-2</v>
      </c>
      <c r="J130" t="s">
        <v>63</v>
      </c>
      <c r="K130">
        <v>4172</v>
      </c>
      <c r="L130">
        <v>61.908499999999997</v>
      </c>
      <c r="M130">
        <v>-0.10524</v>
      </c>
      <c r="N130">
        <f>INDEX(jkm!$H:$H,MATCH(J130,jkm!$J:$J,0),1)</f>
        <v>17.283999999999999</v>
      </c>
      <c r="O130" s="3">
        <f t="shared" ref="O130:O193" ca="1" si="12">T130-TODAY()</f>
        <v>180</v>
      </c>
      <c r="P130" s="3">
        <f t="shared" ca="1" si="8"/>
        <v>0.49315068493150682</v>
      </c>
      <c r="Q130" t="str" cm="1">
        <f t="array" ref="Q130:S130">_xlfn.TEXTSPLIT(J130,"/")</f>
        <v>9</v>
      </c>
      <c r="R130" s="1" t="str">
        <v>15</v>
      </c>
      <c r="S130" t="str">
        <v>2026</v>
      </c>
      <c r="T130" s="1">
        <f t="shared" si="9"/>
        <v>46280</v>
      </c>
      <c r="U130" s="19">
        <f t="shared" si="10"/>
        <v>3.6899999999999977</v>
      </c>
      <c r="V130" s="17">
        <f ca="1">(LN(N130/G130)+(L130/100)^2*P130/2)/(L130/100*SQRT(P130))</f>
        <v>1.2567896628112261</v>
      </c>
      <c r="W130" s="17">
        <f ca="1">V130-L130/100*SQRT(P130)</f>
        <v>0.82203915113972714</v>
      </c>
      <c r="X130" s="17">
        <f ca="1">(LN(N130/G130)+P130*(U130/100+(L130/100)^2/2))/((L130/100*SQRT(P130)))</f>
        <v>1.2986464514415808</v>
      </c>
      <c r="Y130" s="17">
        <f ca="1">X130-N130/100*SQRT(R130)</f>
        <v>0.62924000988309081</v>
      </c>
      <c r="Z130" s="20">
        <f ca="1">EXP(-P130)/(N130*L130/100*SQRT(P130))*_xlfn.NORM.S.DIST(X130,FALSE)</f>
        <v>1.3952050527321744E-2</v>
      </c>
      <c r="AA130" s="17">
        <f t="shared" ca="1" si="11"/>
        <v>1.2724961522507567E-2</v>
      </c>
      <c r="AB130" s="17"/>
      <c r="AC130" s="17"/>
      <c r="AD130" s="17"/>
    </row>
    <row r="131" spans="1:30" x14ac:dyDescent="0.25">
      <c r="A131" t="s">
        <v>106</v>
      </c>
      <c r="B131" t="s">
        <v>107</v>
      </c>
      <c r="C131" t="s">
        <v>108</v>
      </c>
      <c r="D131">
        <v>46032</v>
      </c>
      <c r="E131" t="s">
        <v>107</v>
      </c>
      <c r="F131" t="s">
        <v>110</v>
      </c>
      <c r="G131">
        <v>13</v>
      </c>
      <c r="H131">
        <v>1.0049999999999999</v>
      </c>
      <c r="I131">
        <v>-8.2000000000000003E-2</v>
      </c>
      <c r="J131" t="s">
        <v>63</v>
      </c>
      <c r="K131">
        <v>4172</v>
      </c>
      <c r="L131">
        <v>62.006700000000002</v>
      </c>
      <c r="M131">
        <v>-0.1923</v>
      </c>
      <c r="N131">
        <f>INDEX(jkm!$H:$H,MATCH(J131,jkm!$J:$J,0),1)</f>
        <v>17.283999999999999</v>
      </c>
      <c r="O131" s="3">
        <f t="shared" ca="1" si="12"/>
        <v>180</v>
      </c>
      <c r="P131" s="3">
        <f t="shared" ref="P131:P194" ca="1" si="13">O131/365</f>
        <v>0.49315068493150682</v>
      </c>
      <c r="Q131" t="str" cm="1">
        <f t="array" ref="Q131:S131">_xlfn.TEXTSPLIT(J131,"/")</f>
        <v>9</v>
      </c>
      <c r="R131" s="1" t="str">
        <v>15</v>
      </c>
      <c r="S131" t="str">
        <v>2026</v>
      </c>
      <c r="T131" s="1">
        <f t="shared" ref="T131:T194" si="14">DATE(S131,Q131,R131)</f>
        <v>46280</v>
      </c>
      <c r="U131" s="19">
        <f t="shared" si="10"/>
        <v>3.6899999999999977</v>
      </c>
      <c r="V131" s="17">
        <f ca="1">(LN(N131/G131)+(L131/100)^2*P131/2)/(L131/100*SQRT(P131))</f>
        <v>0.87184412517023246</v>
      </c>
      <c r="W131" s="17">
        <f ca="1">V131-L131/100*SQRT(P131)</f>
        <v>0.43640400705945387</v>
      </c>
      <c r="X131" s="17">
        <f ca="1">(LN(N131/G131)+P131*(U131/100+(L131/100)^2/2))/((L131/100*SQRT(P131)))</f>
        <v>0.91363462521171701</v>
      </c>
      <c r="Y131" s="17">
        <f ca="1">X131-N131/100*SQRT(R131)</f>
        <v>0.24422818365322707</v>
      </c>
      <c r="Z131" s="20">
        <f ca="1">EXP(-P131)/(N131*L131/100*SQRT(P131))*_xlfn.NORM.S.DIST(X131,FALSE)</f>
        <v>2.1325823775437663E-2</v>
      </c>
      <c r="AA131" s="17">
        <f t="shared" ca="1" si="11"/>
        <v>1.9481060309167977E-2</v>
      </c>
      <c r="AB131" s="17"/>
      <c r="AC131" s="17"/>
      <c r="AD131" s="17"/>
    </row>
    <row r="132" spans="1:30" x14ac:dyDescent="0.25">
      <c r="A132" t="s">
        <v>106</v>
      </c>
      <c r="B132" t="s">
        <v>107</v>
      </c>
      <c r="C132" t="s">
        <v>108</v>
      </c>
      <c r="D132">
        <v>46032</v>
      </c>
      <c r="E132" t="s">
        <v>107</v>
      </c>
      <c r="F132" t="s">
        <v>110</v>
      </c>
      <c r="G132">
        <v>15</v>
      </c>
      <c r="H132">
        <v>1.8129999999999999</v>
      </c>
      <c r="I132">
        <v>-0.126</v>
      </c>
      <c r="J132" t="s">
        <v>63</v>
      </c>
      <c r="K132">
        <v>4172</v>
      </c>
      <c r="L132">
        <v>62.360900000000001</v>
      </c>
      <c r="M132">
        <v>-0.29389999999999999</v>
      </c>
      <c r="N132">
        <f>INDEX(jkm!$H:$H,MATCH(J132,jkm!$J:$J,0),1)</f>
        <v>17.283999999999999</v>
      </c>
      <c r="O132" s="3">
        <f t="shared" ca="1" si="12"/>
        <v>180</v>
      </c>
      <c r="P132" s="3">
        <f t="shared" ca="1" si="13"/>
        <v>0.49315068493150682</v>
      </c>
      <c r="Q132" t="str" cm="1">
        <f t="array" ref="Q132:S132">_xlfn.TEXTSPLIT(J132,"/")</f>
        <v>9</v>
      </c>
      <c r="R132" s="1" t="str">
        <v>15</v>
      </c>
      <c r="S132" t="str">
        <v>2026</v>
      </c>
      <c r="T132" s="1">
        <f t="shared" si="14"/>
        <v>46280</v>
      </c>
      <c r="U132" s="19">
        <f t="shared" ref="U132:U195" si="15">U131</f>
        <v>3.6899999999999977</v>
      </c>
      <c r="V132" s="17">
        <f ca="1">(LN(N132/G132)+(L132/100)^2*P132/2)/(L132/100*SQRT(P132))</f>
        <v>0.54260412293832061</v>
      </c>
      <c r="W132" s="17">
        <f ca="1">V132-L132/100*SQRT(P132)</f>
        <v>0.10467664636732993</v>
      </c>
      <c r="X132" s="17">
        <f ca="1">(LN(N132/G132)+P132*(U132/100+(L132/100)^2/2))/((L132/100*SQRT(P132)))</f>
        <v>0.58415725958199205</v>
      </c>
      <c r="Y132" s="17">
        <f ca="1">X132-N132/100*SQRT(R132)</f>
        <v>-8.524918197649789E-2</v>
      </c>
      <c r="Z132" s="20">
        <f ca="1">EXP(-P132)/(N132*L132/100*SQRT(P132))*_xlfn.NORM.S.DIST(X132,FALSE)</f>
        <v>2.7138868213102022E-2</v>
      </c>
      <c r="AA132" s="17">
        <f t="shared" ca="1" si="11"/>
        <v>2.4932869410793489E-2</v>
      </c>
      <c r="AB132" s="17"/>
      <c r="AC132" s="17"/>
      <c r="AD132" s="17"/>
    </row>
    <row r="133" spans="1:30" x14ac:dyDescent="0.25">
      <c r="A133" t="s">
        <v>106</v>
      </c>
      <c r="B133" t="s">
        <v>107</v>
      </c>
      <c r="C133" t="s">
        <v>108</v>
      </c>
      <c r="D133">
        <v>46032</v>
      </c>
      <c r="E133" t="s">
        <v>107</v>
      </c>
      <c r="F133" t="s">
        <v>110</v>
      </c>
      <c r="G133">
        <v>16.5</v>
      </c>
      <c r="H133">
        <v>2.589</v>
      </c>
      <c r="I133">
        <v>-0.158</v>
      </c>
      <c r="J133" t="s">
        <v>63</v>
      </c>
      <c r="K133">
        <v>4172</v>
      </c>
      <c r="L133">
        <v>62.824199999999998</v>
      </c>
      <c r="M133">
        <v>-0.37203999999999998</v>
      </c>
      <c r="N133">
        <f>INDEX(jkm!$H:$H,MATCH(J133,jkm!$J:$J,0),1)</f>
        <v>17.283999999999999</v>
      </c>
      <c r="O133" s="3">
        <f t="shared" ca="1" si="12"/>
        <v>180</v>
      </c>
      <c r="P133" s="3">
        <f t="shared" ca="1" si="13"/>
        <v>0.49315068493150682</v>
      </c>
      <c r="Q133" t="str" cm="1">
        <f t="array" ref="Q133:S133">_xlfn.TEXTSPLIT(J133,"/")</f>
        <v>9</v>
      </c>
      <c r="R133" s="1" t="str">
        <v>15</v>
      </c>
      <c r="S133" t="str">
        <v>2026</v>
      </c>
      <c r="T133" s="1">
        <f t="shared" si="14"/>
        <v>46280</v>
      </c>
      <c r="U133" s="19">
        <f t="shared" si="15"/>
        <v>3.6899999999999977</v>
      </c>
      <c r="V133" s="17">
        <f ca="1">(LN(N133/G133)+(L133/100)^2*P133/2)/(L133/100*SQRT(P133))</f>
        <v>0.32580998042160697</v>
      </c>
      <c r="W133" s="17">
        <f ca="1">V133-L133/100*SQRT(P133)</f>
        <v>-0.11537100595914179</v>
      </c>
      <c r="X133" s="17">
        <f ca="1">(LN(N133/G133)+P133*(U133/100+(L133/100)^2/2))/((L133/100*SQRT(P133)))</f>
        <v>0.36705668151644505</v>
      </c>
      <c r="Y133" s="17">
        <f ca="1">X133-N133/100*SQRT(R133)</f>
        <v>-0.30234976004204489</v>
      </c>
      <c r="Z133" s="20">
        <f ca="1">EXP(-P133)/(N133*L133/100*SQRT(P133))*_xlfn.NORM.S.DIST(X133,FALSE)</f>
        <v>2.98689544068622E-2</v>
      </c>
      <c r="AA133" s="17">
        <f t="shared" ca="1" si="11"/>
        <v>2.7644907612460363E-2</v>
      </c>
      <c r="AB133" s="17"/>
      <c r="AC133" s="17"/>
      <c r="AD133" s="17"/>
    </row>
    <row r="134" spans="1:30" x14ac:dyDescent="0.25">
      <c r="A134" t="s">
        <v>106</v>
      </c>
      <c r="B134" t="s">
        <v>107</v>
      </c>
      <c r="C134" t="s">
        <v>108</v>
      </c>
      <c r="D134">
        <v>46032</v>
      </c>
      <c r="E134" t="s">
        <v>107</v>
      </c>
      <c r="F134" t="s">
        <v>110</v>
      </c>
      <c r="G134">
        <v>20</v>
      </c>
      <c r="H134">
        <v>4.8499999999999996</v>
      </c>
      <c r="I134">
        <v>-0.22</v>
      </c>
      <c r="J134" t="s">
        <v>63</v>
      </c>
      <c r="K134">
        <v>4172</v>
      </c>
      <c r="L134">
        <v>63.792000000000002</v>
      </c>
      <c r="M134">
        <v>-0.53934000000000004</v>
      </c>
      <c r="N134">
        <f>INDEX(jkm!$H:$H,MATCH(J134,jkm!$J:$J,0),1)</f>
        <v>17.283999999999999</v>
      </c>
      <c r="O134" s="3">
        <f t="shared" ca="1" si="12"/>
        <v>180</v>
      </c>
      <c r="P134" s="3">
        <f t="shared" ca="1" si="13"/>
        <v>0.49315068493150682</v>
      </c>
      <c r="Q134" t="str" cm="1">
        <f t="array" ref="Q134:S134">_xlfn.TEXTSPLIT(J134,"/")</f>
        <v>9</v>
      </c>
      <c r="R134" s="1" t="str">
        <v>15</v>
      </c>
      <c r="S134" t="str">
        <v>2026</v>
      </c>
      <c r="T134" s="1">
        <f t="shared" si="14"/>
        <v>46280</v>
      </c>
      <c r="U134" s="19">
        <f t="shared" si="15"/>
        <v>3.6899999999999977</v>
      </c>
      <c r="V134" s="17">
        <f ca="1">(LN(N134/G134)+(L134/100)^2*P134/2)/(L134/100*SQRT(P134))</f>
        <v>-0.10181142524294443</v>
      </c>
      <c r="W134" s="17">
        <f ca="1">V134-L134/100*SQRT(P134)</f>
        <v>-0.54978875695907814</v>
      </c>
      <c r="X134" s="17">
        <f ca="1">(LN(N134/G134)+P134*(U134/100+(L134/100)^2/2))/((L134/100*SQRT(P134)))</f>
        <v>-6.1190485330066158E-2</v>
      </c>
      <c r="Y134" s="17">
        <f ca="1">X134-N134/100*SQRT(R134)</f>
        <v>-0.73059692688855615</v>
      </c>
      <c r="Z134" s="20">
        <f ca="1">EXP(-P134)/(N134*L134/100*SQRT(P134))*_xlfn.NORM.S.DIST(X134,FALSE)</f>
        <v>3.1406828949109365E-2</v>
      </c>
      <c r="AA134" s="17">
        <f t="shared" ca="1" si="11"/>
        <v>2.9516065367322496E-2</v>
      </c>
      <c r="AB134" s="17"/>
      <c r="AC134" s="17"/>
      <c r="AD134" s="17"/>
    </row>
    <row r="135" spans="1:30" x14ac:dyDescent="0.25">
      <c r="A135" t="s">
        <v>106</v>
      </c>
      <c r="B135" t="s">
        <v>107</v>
      </c>
      <c r="C135" t="s">
        <v>108</v>
      </c>
      <c r="D135">
        <v>46032</v>
      </c>
      <c r="E135" t="s">
        <v>107</v>
      </c>
      <c r="F135" t="s">
        <v>110</v>
      </c>
      <c r="G135">
        <v>25</v>
      </c>
      <c r="H135">
        <v>8.7919999999999998</v>
      </c>
      <c r="I135">
        <v>-0.28299999999999997</v>
      </c>
      <c r="J135" t="s">
        <v>63</v>
      </c>
      <c r="K135">
        <v>4172</v>
      </c>
      <c r="L135">
        <v>63.9026</v>
      </c>
      <c r="M135">
        <v>-0.72319</v>
      </c>
      <c r="N135">
        <f>INDEX(jkm!$H:$H,MATCH(J135,jkm!$J:$J,0),1)</f>
        <v>17.283999999999999</v>
      </c>
      <c r="O135" s="3">
        <f t="shared" ca="1" si="12"/>
        <v>180</v>
      </c>
      <c r="P135" s="3">
        <f t="shared" ca="1" si="13"/>
        <v>0.49315068493150682</v>
      </c>
      <c r="Q135" t="str" cm="1">
        <f t="array" ref="Q135:S135">_xlfn.TEXTSPLIT(J135,"/")</f>
        <v>9</v>
      </c>
      <c r="R135" s="1" t="str">
        <v>15</v>
      </c>
      <c r="S135" t="str">
        <v>2026</v>
      </c>
      <c r="T135" s="1">
        <f t="shared" si="14"/>
        <v>46280</v>
      </c>
      <c r="U135" s="19">
        <f t="shared" si="15"/>
        <v>3.6899999999999977</v>
      </c>
      <c r="V135" s="17">
        <f ca="1">(LN(N135/G135)+(L135/100)^2*P135/2)/(L135/100*SQRT(P135))</f>
        <v>-0.59811057502711529</v>
      </c>
      <c r="W135" s="17">
        <f ca="1">V135-L135/100*SQRT(P135)</f>
        <v>-1.0468645917960424</v>
      </c>
      <c r="X135" s="17">
        <f ca="1">(LN(N135/G135)+P135*(U135/100+(L135/100)^2/2))/((L135/100*SQRT(P135)))</f>
        <v>-0.55755994017153299</v>
      </c>
      <c r="Y135" s="17">
        <f ca="1">X135-N135/100*SQRT(R135)</f>
        <v>-1.2269663817300229</v>
      </c>
      <c r="Z135" s="20">
        <f ca="1">EXP(-P135)/(N135*L135/100*SQRT(P135))*_xlfn.NORM.S.DIST(X135,FALSE)</f>
        <v>2.688930671095284E-2</v>
      </c>
      <c r="AA135" s="17">
        <f t="shared" ca="1" si="11"/>
        <v>2.5314321382739445E-2</v>
      </c>
      <c r="AB135" s="17"/>
      <c r="AC135" s="17"/>
      <c r="AD135" s="17"/>
    </row>
    <row r="136" spans="1:30" x14ac:dyDescent="0.25">
      <c r="A136" t="s">
        <v>106</v>
      </c>
      <c r="B136" t="s">
        <v>107</v>
      </c>
      <c r="C136" t="s">
        <v>108</v>
      </c>
      <c r="D136">
        <v>46033</v>
      </c>
      <c r="E136" t="s">
        <v>107</v>
      </c>
      <c r="F136" t="s">
        <v>109</v>
      </c>
      <c r="G136">
        <v>5</v>
      </c>
      <c r="H136">
        <v>12.234999999999999</v>
      </c>
      <c r="I136">
        <v>0.44500000000000001</v>
      </c>
      <c r="J136" t="s">
        <v>64</v>
      </c>
      <c r="K136">
        <v>4172</v>
      </c>
      <c r="L136">
        <v>62.264899999999997</v>
      </c>
      <c r="M136">
        <v>0.99778</v>
      </c>
      <c r="N136">
        <f>INDEX(jkm!$H:$H,MATCH(J136,jkm!$J:$J,0),1)</f>
        <v>17.228999999999999</v>
      </c>
      <c r="O136" s="3">
        <f t="shared" ca="1" si="12"/>
        <v>210</v>
      </c>
      <c r="P136" s="3">
        <f t="shared" ca="1" si="13"/>
        <v>0.57534246575342463</v>
      </c>
      <c r="Q136" t="str" cm="1">
        <f t="array" ref="Q136:S136">_xlfn.TEXTSPLIT(J136,"/")</f>
        <v>10</v>
      </c>
      <c r="R136" s="1" t="str">
        <v>15</v>
      </c>
      <c r="S136" t="str">
        <v>2026</v>
      </c>
      <c r="T136" s="1">
        <f t="shared" si="14"/>
        <v>46310</v>
      </c>
      <c r="U136" s="19">
        <f t="shared" si="15"/>
        <v>3.6899999999999977</v>
      </c>
      <c r="V136" s="17">
        <f ca="1">(LN(N136/G136)+(L136/100)^2*P136/2)/(L136/100*SQRT(P136))</f>
        <v>2.8556412927842634</v>
      </c>
      <c r="W136" s="17">
        <f ca="1">V136-L136/100*SQRT(P136)</f>
        <v>2.3833537288497992</v>
      </c>
      <c r="X136" s="17">
        <f ca="1">(LN(N136/G136)+P136*(U136/100+(L136/100)^2/2))/((L136/100*SQRT(P136)))</f>
        <v>2.9005930099318427</v>
      </c>
      <c r="Y136" s="17">
        <f ca="1">X136-N136/100*SQRT(R136)</f>
        <v>2.2333167092137667</v>
      </c>
      <c r="Z136" s="20">
        <f ca="1">EXP(-P136)/(N136*L136/100*SQRT(P136))*_xlfn.NORM.S.DIST(X136,FALSE)</f>
        <v>4.1079030484671831E-4</v>
      </c>
      <c r="AA136" s="17">
        <f t="shared" ca="1" si="11"/>
        <v>4.3682758176482006E-4</v>
      </c>
      <c r="AB136" s="17"/>
      <c r="AC136" s="17"/>
      <c r="AD136" s="17"/>
    </row>
    <row r="137" spans="1:30" x14ac:dyDescent="0.25">
      <c r="A137" t="s">
        <v>106</v>
      </c>
      <c r="B137" t="s">
        <v>107</v>
      </c>
      <c r="C137" t="s">
        <v>108</v>
      </c>
      <c r="D137">
        <v>46033</v>
      </c>
      <c r="E137" t="s">
        <v>107</v>
      </c>
      <c r="F137" t="s">
        <v>109</v>
      </c>
      <c r="G137">
        <v>8.5</v>
      </c>
      <c r="H137">
        <v>8.9</v>
      </c>
      <c r="I137">
        <v>0.42399999999999999</v>
      </c>
      <c r="J137" t="s">
        <v>64</v>
      </c>
      <c r="K137">
        <v>4172</v>
      </c>
      <c r="L137">
        <v>62.4377</v>
      </c>
      <c r="M137">
        <v>0.95752999999999999</v>
      </c>
      <c r="N137">
        <f>INDEX(jkm!$H:$H,MATCH(J137,jkm!$J:$J,0),1)</f>
        <v>17.228999999999999</v>
      </c>
      <c r="O137" s="3">
        <f t="shared" ca="1" si="12"/>
        <v>210</v>
      </c>
      <c r="P137" s="3">
        <f t="shared" ca="1" si="13"/>
        <v>0.57534246575342463</v>
      </c>
      <c r="Q137" t="str" cm="1">
        <f t="array" ref="Q137:S137">_xlfn.TEXTSPLIT(J137,"/")</f>
        <v>10</v>
      </c>
      <c r="R137" s="1" t="str">
        <v>15</v>
      </c>
      <c r="S137" t="str">
        <v>2026</v>
      </c>
      <c r="T137" s="1">
        <f t="shared" si="14"/>
        <v>46310</v>
      </c>
      <c r="U137" s="19">
        <f t="shared" si="15"/>
        <v>3.6899999999999977</v>
      </c>
      <c r="V137" s="17">
        <f ca="1">(LN(N137/G137)+(L137/100)^2*P137/2)/(L137/100*SQRT(P137))</f>
        <v>1.7286285726935759</v>
      </c>
      <c r="W137" s="17">
        <f ca="1">V137-L137/100*SQRT(P137)</f>
        <v>1.2550302977317451</v>
      </c>
      <c r="X137" s="17">
        <f ca="1">(LN(N137/G137)+P137*(U137/100+(L137/100)^2/2))/((L137/100*SQRT(P137)))</f>
        <v>1.7734558833251706</v>
      </c>
      <c r="Y137" s="17">
        <f ca="1">X137-N137/100*SQRT(R137)</f>
        <v>1.1061795826070946</v>
      </c>
      <c r="Z137" s="20">
        <f ca="1">EXP(-P137)/(N137*L137/100*SQRT(P137))*_xlfn.NORM.S.DIST(X137,FALSE)</f>
        <v>5.7070555332759381E-3</v>
      </c>
      <c r="AA137" s="17">
        <f t="shared" ca="1" si="11"/>
        <v>6.0856303270693411E-3</v>
      </c>
      <c r="AB137" s="17"/>
      <c r="AC137" s="17"/>
      <c r="AD137" s="17"/>
    </row>
    <row r="138" spans="1:30" x14ac:dyDescent="0.25">
      <c r="A138" t="s">
        <v>106</v>
      </c>
      <c r="B138" t="s">
        <v>107</v>
      </c>
      <c r="C138" t="s">
        <v>108</v>
      </c>
      <c r="D138">
        <v>46033</v>
      </c>
      <c r="E138" t="s">
        <v>107</v>
      </c>
      <c r="F138" t="s">
        <v>109</v>
      </c>
      <c r="G138">
        <v>9</v>
      </c>
      <c r="H138">
        <v>8.4589999999999996</v>
      </c>
      <c r="I138">
        <v>0.41699999999999998</v>
      </c>
      <c r="J138" t="s">
        <v>64</v>
      </c>
      <c r="K138">
        <v>4172</v>
      </c>
      <c r="L138">
        <v>62.462400000000002</v>
      </c>
      <c r="M138">
        <v>0.94543999999999995</v>
      </c>
      <c r="N138">
        <f>INDEX(jkm!$H:$H,MATCH(J138,jkm!$J:$J,0),1)</f>
        <v>17.228999999999999</v>
      </c>
      <c r="O138" s="3">
        <f t="shared" ca="1" si="12"/>
        <v>210</v>
      </c>
      <c r="P138" s="3">
        <f t="shared" ca="1" si="13"/>
        <v>0.57534246575342463</v>
      </c>
      <c r="Q138" t="str" cm="1">
        <f t="array" ref="Q138:S138">_xlfn.TEXTSPLIT(J138,"/")</f>
        <v>10</v>
      </c>
      <c r="R138" s="1" t="str">
        <v>15</v>
      </c>
      <c r="S138" t="str">
        <v>2026</v>
      </c>
      <c r="T138" s="1">
        <f t="shared" si="14"/>
        <v>46310</v>
      </c>
      <c r="U138" s="19">
        <f t="shared" si="15"/>
        <v>3.6899999999999977</v>
      </c>
      <c r="V138" s="17">
        <f ca="1">(LN(N138/G138)+(L138/100)^2*P138/2)/(L138/100*SQRT(P138))</f>
        <v>1.6074903904500575</v>
      </c>
      <c r="W138" s="17">
        <f ca="1">V138-L138/100*SQRT(P138)</f>
        <v>1.133704762696699</v>
      </c>
      <c r="X138" s="17">
        <f ca="1">(LN(N138/G138)+P138*(U138/100+(L138/100)^2/2))/((L138/100*SQRT(P138)))</f>
        <v>1.6522999746642777</v>
      </c>
      <c r="Y138" s="17">
        <f ca="1">X138-N138/100*SQRT(R138)</f>
        <v>0.98502367394620183</v>
      </c>
      <c r="Z138" s="20">
        <f ca="1">EXP(-P138)/(N138*L138/100*SQRT(P138))*_xlfn.NORM.S.DIST(X138,FALSE)</f>
        <v>7.0204898025595878E-3</v>
      </c>
      <c r="AA138" s="17">
        <f t="shared" ca="1" si="11"/>
        <v>7.4891521237199585E-3</v>
      </c>
      <c r="AB138" s="17"/>
      <c r="AC138" s="17"/>
      <c r="AD138" s="17"/>
    </row>
    <row r="139" spans="1:30" x14ac:dyDescent="0.25">
      <c r="A139" t="s">
        <v>106</v>
      </c>
      <c r="B139" t="s">
        <v>107</v>
      </c>
      <c r="C139" t="s">
        <v>108</v>
      </c>
      <c r="D139">
        <v>46033</v>
      </c>
      <c r="E139" t="s">
        <v>107</v>
      </c>
      <c r="F139" t="s">
        <v>109</v>
      </c>
      <c r="G139">
        <v>9.5</v>
      </c>
      <c r="H139">
        <v>8.0310000000000006</v>
      </c>
      <c r="I139">
        <v>0.41</v>
      </c>
      <c r="J139" t="s">
        <v>64</v>
      </c>
      <c r="K139">
        <v>4172</v>
      </c>
      <c r="L139">
        <v>62.487200000000001</v>
      </c>
      <c r="M139">
        <v>0.93164999999999998</v>
      </c>
      <c r="N139">
        <f>INDEX(jkm!$H:$H,MATCH(J139,jkm!$J:$J,0),1)</f>
        <v>17.228999999999999</v>
      </c>
      <c r="O139" s="3">
        <f t="shared" ca="1" si="12"/>
        <v>210</v>
      </c>
      <c r="P139" s="3">
        <f t="shared" ca="1" si="13"/>
        <v>0.57534246575342463</v>
      </c>
      <c r="Q139" t="str" cm="1">
        <f t="array" ref="Q139:S139">_xlfn.TEXTSPLIT(J139,"/")</f>
        <v>10</v>
      </c>
      <c r="R139" s="1" t="str">
        <v>15</v>
      </c>
      <c r="S139" t="str">
        <v>2026</v>
      </c>
      <c r="T139" s="1">
        <f t="shared" si="14"/>
        <v>46310</v>
      </c>
      <c r="U139" s="19">
        <f t="shared" si="15"/>
        <v>3.6899999999999977</v>
      </c>
      <c r="V139" s="17">
        <f ca="1">(LN(N139/G139)+(L139/100)^2*P139/2)/(L139/100*SQRT(P139))</f>
        <v>1.4929682939992512</v>
      </c>
      <c r="W139" s="17">
        <f ca="1">V139-L139/100*SQRT(P139)</f>
        <v>1.0189945549410393</v>
      </c>
      <c r="X139" s="17">
        <f ca="1">(LN(N139/G139)+P139*(U139/100+(L139/100)^2/2))/((L139/100*SQRT(P139)))</f>
        <v>1.5377600941282747</v>
      </c>
      <c r="Y139" s="17">
        <f ca="1">X139-N139/100*SQRT(R139)</f>
        <v>0.87048379341019888</v>
      </c>
      <c r="Z139" s="20">
        <f ca="1">EXP(-P139)/(N139*L139/100*SQRT(P139))*_xlfn.NORM.S.DIST(X139,FALSE)</f>
        <v>8.4243858511858331E-3</v>
      </c>
      <c r="AA139" s="17">
        <f t="shared" ca="1" si="11"/>
        <v>8.9903352534510088E-3</v>
      </c>
      <c r="AB139" s="17"/>
      <c r="AC139" s="17"/>
      <c r="AD139" s="17"/>
    </row>
    <row r="140" spans="1:30" x14ac:dyDescent="0.25">
      <c r="A140" t="s">
        <v>106</v>
      </c>
      <c r="B140" t="s">
        <v>107</v>
      </c>
      <c r="C140" t="s">
        <v>108</v>
      </c>
      <c r="D140">
        <v>46033</v>
      </c>
      <c r="E140" t="s">
        <v>107</v>
      </c>
      <c r="F140" t="s">
        <v>109</v>
      </c>
      <c r="G140">
        <v>10</v>
      </c>
      <c r="H140">
        <v>7.6159999999999997</v>
      </c>
      <c r="I140">
        <v>0.40300000000000002</v>
      </c>
      <c r="J140" t="s">
        <v>64</v>
      </c>
      <c r="K140">
        <v>4172</v>
      </c>
      <c r="L140">
        <v>62.511800000000001</v>
      </c>
      <c r="M140">
        <v>0.91622000000000003</v>
      </c>
      <c r="N140">
        <f>INDEX(jkm!$H:$H,MATCH(J140,jkm!$J:$J,0),1)</f>
        <v>17.228999999999999</v>
      </c>
      <c r="O140" s="3">
        <f t="shared" ca="1" si="12"/>
        <v>210</v>
      </c>
      <c r="P140" s="3">
        <f t="shared" ca="1" si="13"/>
        <v>0.57534246575342463</v>
      </c>
      <c r="Q140" t="str" cm="1">
        <f t="array" ref="Q140:S140">_xlfn.TEXTSPLIT(J140,"/")</f>
        <v>10</v>
      </c>
      <c r="R140" s="1" t="str">
        <v>15</v>
      </c>
      <c r="S140" t="str">
        <v>2026</v>
      </c>
      <c r="T140" s="1">
        <f t="shared" si="14"/>
        <v>46310</v>
      </c>
      <c r="U140" s="19">
        <f t="shared" si="15"/>
        <v>3.6899999999999977</v>
      </c>
      <c r="V140" s="17">
        <f ca="1">(LN(N140/G140)+(L140/100)^2*P140/2)/(L140/100*SQRT(P140))</f>
        <v>1.3843902204812761</v>
      </c>
      <c r="W140" s="17">
        <f ca="1">V140-L140/100*SQRT(P140)</f>
        <v>0.91022988714486275</v>
      </c>
      <c r="X140" s="17">
        <f ca="1">(LN(N140/G140)+P140*(U140/100+(L140/100)^2/2))/((L140/100*SQRT(P140)))</f>
        <v>1.4291643938856944</v>
      </c>
      <c r="Y140" s="17">
        <f ca="1">X140-N140/100*SQRT(R140)</f>
        <v>0.76188809316761852</v>
      </c>
      <c r="Z140" s="20">
        <f ca="1">EXP(-P140)/(N140*L140/100*SQRT(P140))*_xlfn.NORM.S.DIST(X140,FALSE)</f>
        <v>9.8930708267739049E-3</v>
      </c>
      <c r="AA140" s="17">
        <f t="shared" ca="1" si="11"/>
        <v>1.0561842695957155E-2</v>
      </c>
      <c r="AB140" s="17"/>
      <c r="AC140" s="17"/>
      <c r="AD140" s="17"/>
    </row>
    <row r="141" spans="1:30" x14ac:dyDescent="0.25">
      <c r="A141" t="s">
        <v>106</v>
      </c>
      <c r="B141" t="s">
        <v>107</v>
      </c>
      <c r="C141" t="s">
        <v>108</v>
      </c>
      <c r="D141">
        <v>46033</v>
      </c>
      <c r="E141" t="s">
        <v>107</v>
      </c>
      <c r="F141" t="s">
        <v>109</v>
      </c>
      <c r="G141">
        <v>10.5</v>
      </c>
      <c r="H141">
        <v>7.2160000000000002</v>
      </c>
      <c r="I141">
        <v>0.39500000000000002</v>
      </c>
      <c r="J141" t="s">
        <v>64</v>
      </c>
      <c r="K141">
        <v>4172</v>
      </c>
      <c r="L141">
        <v>62.5366</v>
      </c>
      <c r="M141">
        <v>0.89925999999999995</v>
      </c>
      <c r="N141">
        <f>INDEX(jkm!$H:$H,MATCH(J141,jkm!$J:$J,0),1)</f>
        <v>17.228999999999999</v>
      </c>
      <c r="O141" s="3">
        <f t="shared" ca="1" si="12"/>
        <v>210</v>
      </c>
      <c r="P141" s="3">
        <f t="shared" ca="1" si="13"/>
        <v>0.57534246575342463</v>
      </c>
      <c r="Q141" t="str" cm="1">
        <f t="array" ref="Q141:S141">_xlfn.TEXTSPLIT(J141,"/")</f>
        <v>10</v>
      </c>
      <c r="R141" s="1" t="str">
        <v>15</v>
      </c>
      <c r="S141" t="str">
        <v>2026</v>
      </c>
      <c r="T141" s="1">
        <f t="shared" si="14"/>
        <v>46310</v>
      </c>
      <c r="U141" s="19">
        <f t="shared" si="15"/>
        <v>3.6899999999999977</v>
      </c>
      <c r="V141" s="17">
        <f ca="1">(LN(N141/G141)+(L141/100)^2*P141/2)/(L141/100*SQRT(P141))</f>
        <v>1.2811720660603934</v>
      </c>
      <c r="W141" s="17">
        <f ca="1">V141-L141/100*SQRT(P141)</f>
        <v>0.80682362141912645</v>
      </c>
      <c r="X141" s="17">
        <f ca="1">(LN(N141/G141)+P141*(U141/100+(L141/100)^2/2))/((L141/100*SQRT(P141)))</f>
        <v>1.3259284834707148</v>
      </c>
      <c r="Y141" s="17">
        <f ca="1">X141-N141/100*SQRT(R141)</f>
        <v>0.65865218275263893</v>
      </c>
      <c r="Z141" s="20">
        <f ca="1">EXP(-P141)/(N141*L141/100*SQRT(P141))*_xlfn.NORM.S.DIST(X141,FALSE)</f>
        <v>1.1400420149143185E-2</v>
      </c>
      <c r="AA141" s="17">
        <f t="shared" ca="1" si="11"/>
        <v>1.2175917451808141E-2</v>
      </c>
      <c r="AB141" s="17"/>
      <c r="AC141" s="17"/>
      <c r="AD141" s="17"/>
    </row>
    <row r="142" spans="1:30" x14ac:dyDescent="0.25">
      <c r="A142" t="s">
        <v>106</v>
      </c>
      <c r="B142" t="s">
        <v>107</v>
      </c>
      <c r="C142" t="s">
        <v>108</v>
      </c>
      <c r="D142">
        <v>46033</v>
      </c>
      <c r="E142" t="s">
        <v>107</v>
      </c>
      <c r="F142" t="s">
        <v>109</v>
      </c>
      <c r="G142">
        <v>11</v>
      </c>
      <c r="H142">
        <v>6.8289999999999997</v>
      </c>
      <c r="I142">
        <v>0.38500000000000001</v>
      </c>
      <c r="J142" t="s">
        <v>64</v>
      </c>
      <c r="K142">
        <v>4172</v>
      </c>
      <c r="L142">
        <v>62.561300000000003</v>
      </c>
      <c r="M142">
        <v>0.88090000000000002</v>
      </c>
      <c r="N142">
        <f>INDEX(jkm!$H:$H,MATCH(J142,jkm!$J:$J,0),1)</f>
        <v>17.228999999999999</v>
      </c>
      <c r="O142" s="3">
        <f t="shared" ca="1" si="12"/>
        <v>210</v>
      </c>
      <c r="P142" s="3">
        <f t="shared" ca="1" si="13"/>
        <v>0.57534246575342463</v>
      </c>
      <c r="Q142" t="str" cm="1">
        <f t="array" ref="Q142:S142">_xlfn.TEXTSPLIT(J142,"/")</f>
        <v>10</v>
      </c>
      <c r="R142" s="1" t="str">
        <v>15</v>
      </c>
      <c r="S142" t="str">
        <v>2026</v>
      </c>
      <c r="T142" s="1">
        <f t="shared" si="14"/>
        <v>46310</v>
      </c>
      <c r="U142" s="19">
        <f t="shared" si="15"/>
        <v>3.6899999999999977</v>
      </c>
      <c r="V142" s="17">
        <f ca="1">(LN(N142/G142)+(L142/100)^2*P142/2)/(L142/100*SQRT(P142))</f>
        <v>1.1828208795016775</v>
      </c>
      <c r="W142" s="17">
        <f ca="1">V142-L142/100*SQRT(P142)</f>
        <v>0.70828508206888308</v>
      </c>
      <c r="X142" s="17">
        <f ca="1">(LN(N142/G142)+P142*(U142/100+(L142/100)^2/2))/((L142/100*SQRT(P142)))</f>
        <v>1.2275596265069715</v>
      </c>
      <c r="Y142" s="17">
        <f ca="1">X142-N142/100*SQRT(R142)</f>
        <v>0.56028332578889561</v>
      </c>
      <c r="Z142" s="20">
        <f ca="1">EXP(-P142)/(N142*L142/100*SQRT(P142))*_xlfn.NORM.S.DIST(X142,FALSE)</f>
        <v>1.2920913142319582E-2</v>
      </c>
      <c r="AA142" s="17">
        <f t="shared" ca="1" si="11"/>
        <v>1.3805290314701218E-2</v>
      </c>
      <c r="AB142" s="17"/>
      <c r="AC142" s="17"/>
      <c r="AD142" s="17"/>
    </row>
    <row r="143" spans="1:30" x14ac:dyDescent="0.25">
      <c r="A143" t="s">
        <v>106</v>
      </c>
      <c r="B143" t="s">
        <v>107</v>
      </c>
      <c r="C143" t="s">
        <v>108</v>
      </c>
      <c r="D143">
        <v>46033</v>
      </c>
      <c r="E143" t="s">
        <v>107</v>
      </c>
      <c r="F143" t="s">
        <v>109</v>
      </c>
      <c r="G143">
        <v>13</v>
      </c>
      <c r="H143">
        <v>5.4359999999999999</v>
      </c>
      <c r="I143">
        <v>0.34499999999999997</v>
      </c>
      <c r="J143" t="s">
        <v>64</v>
      </c>
      <c r="K143">
        <v>4172</v>
      </c>
      <c r="L143">
        <v>62.6601</v>
      </c>
      <c r="M143">
        <v>0.79632000000000003</v>
      </c>
      <c r="N143">
        <f>INDEX(jkm!$H:$H,MATCH(J143,jkm!$J:$J,0),1)</f>
        <v>17.228999999999999</v>
      </c>
      <c r="O143" s="3">
        <f t="shared" ca="1" si="12"/>
        <v>210</v>
      </c>
      <c r="P143" s="3">
        <f t="shared" ca="1" si="13"/>
        <v>0.57534246575342463</v>
      </c>
      <c r="Q143" t="str" cm="1">
        <f t="array" ref="Q143:S143">_xlfn.TEXTSPLIT(J143,"/")</f>
        <v>10</v>
      </c>
      <c r="R143" s="1" t="str">
        <v>15</v>
      </c>
      <c r="S143" t="str">
        <v>2026</v>
      </c>
      <c r="T143" s="1">
        <f t="shared" si="14"/>
        <v>46310</v>
      </c>
      <c r="U143" s="19">
        <f t="shared" si="15"/>
        <v>3.6899999999999977</v>
      </c>
      <c r="V143" s="17">
        <f ca="1">(LN(N143/G143)+(L143/100)^2*P143/2)/(L143/100*SQRT(P143))</f>
        <v>0.83022290764824369</v>
      </c>
      <c r="W143" s="17">
        <f ca="1">V143-L143/100*SQRT(P143)</f>
        <v>0.35493769904933925</v>
      </c>
      <c r="X143" s="17">
        <f ca="1">(LN(N143/G143)+P143*(U143/100+(L143/100)^2/2))/((L143/100*SQRT(P143)))</f>
        <v>0.8748911123434534</v>
      </c>
      <c r="Y143" s="17">
        <f ca="1">X143-N143/100*SQRT(R143)</f>
        <v>0.20761481162537754</v>
      </c>
      <c r="Z143" s="20">
        <f ca="1">EXP(-P143)/(N143*L143/100*SQRT(P143))*_xlfn.NORM.S.DIST(X143,FALSE)</f>
        <v>1.8690273525682487E-2</v>
      </c>
      <c r="AA143" s="17">
        <f t="shared" ca="1" si="11"/>
        <v>2.000107383624573E-2</v>
      </c>
      <c r="AB143" s="17"/>
      <c r="AC143" s="17"/>
      <c r="AD143" s="17"/>
    </row>
    <row r="144" spans="1:30" x14ac:dyDescent="0.25">
      <c r="A144" t="s">
        <v>106</v>
      </c>
      <c r="B144" t="s">
        <v>107</v>
      </c>
      <c r="C144" t="s">
        <v>108</v>
      </c>
      <c r="D144">
        <v>46033</v>
      </c>
      <c r="E144" t="s">
        <v>107</v>
      </c>
      <c r="F144" t="s">
        <v>109</v>
      </c>
      <c r="G144">
        <v>15</v>
      </c>
      <c r="H144">
        <v>4.2960000000000003</v>
      </c>
      <c r="I144">
        <v>0.29599999999999999</v>
      </c>
      <c r="J144" t="s">
        <v>64</v>
      </c>
      <c r="K144">
        <v>4172</v>
      </c>
      <c r="L144">
        <v>63.002800000000001</v>
      </c>
      <c r="M144">
        <v>0.70147000000000004</v>
      </c>
      <c r="N144">
        <f>INDEX(jkm!$H:$H,MATCH(J144,jkm!$J:$J,0),1)</f>
        <v>17.228999999999999</v>
      </c>
      <c r="O144" s="3">
        <f t="shared" ca="1" si="12"/>
        <v>210</v>
      </c>
      <c r="P144" s="3">
        <f t="shared" ca="1" si="13"/>
        <v>0.57534246575342463</v>
      </c>
      <c r="Q144" t="str" cm="1">
        <f t="array" ref="Q144:S144">_xlfn.TEXTSPLIT(J144,"/")</f>
        <v>10</v>
      </c>
      <c r="R144" s="1" t="str">
        <v>15</v>
      </c>
      <c r="S144" t="str">
        <v>2026</v>
      </c>
      <c r="T144" s="1">
        <f t="shared" si="14"/>
        <v>46310</v>
      </c>
      <c r="U144" s="19">
        <f t="shared" si="15"/>
        <v>3.6899999999999977</v>
      </c>
      <c r="V144" s="17">
        <f ca="1">(LN(N144/G144)+(L144/100)^2*P144/2)/(L144/100*SQRT(P144))</f>
        <v>0.52885289290674753</v>
      </c>
      <c r="W144" s="17">
        <f ca="1">V144-L144/100*SQRT(P144)</f>
        <v>5.0968259139564598E-2</v>
      </c>
      <c r="X144" s="17">
        <f ca="1">(LN(N144/G144)+P144*(U144/100+(L144/100)^2/2))/((L144/100*SQRT(P144)))</f>
        <v>0.57327812754746688</v>
      </c>
      <c r="Y144" s="17">
        <f ca="1">X144-N144/100*SQRT(R144)</f>
        <v>-9.399817317060899E-2</v>
      </c>
      <c r="Z144" s="20">
        <f ca="1">EXP(-P144)/(N144*L144/100*SQRT(P144))*_xlfn.NORM.S.DIST(X144,FALSE)</f>
        <v>2.3125647691419317E-2</v>
      </c>
      <c r="AA144" s="17">
        <f t="shared" ca="1" si="11"/>
        <v>2.4882861850252763E-2</v>
      </c>
      <c r="AB144" s="17"/>
      <c r="AC144" s="17"/>
      <c r="AD144" s="17"/>
    </row>
    <row r="145" spans="1:30" x14ac:dyDescent="0.25">
      <c r="A145" t="s">
        <v>106</v>
      </c>
      <c r="B145" t="s">
        <v>107</v>
      </c>
      <c r="C145" t="s">
        <v>108</v>
      </c>
      <c r="D145">
        <v>46033</v>
      </c>
      <c r="E145" t="s">
        <v>107</v>
      </c>
      <c r="F145" t="s">
        <v>109</v>
      </c>
      <c r="G145">
        <v>16.5</v>
      </c>
      <c r="H145">
        <v>3.6</v>
      </c>
      <c r="I145">
        <v>0.26200000000000001</v>
      </c>
      <c r="J145" t="s">
        <v>64</v>
      </c>
      <c r="K145">
        <v>4172</v>
      </c>
      <c r="L145">
        <v>63.467399999999998</v>
      </c>
      <c r="M145">
        <v>0.62977000000000005</v>
      </c>
      <c r="N145">
        <f>INDEX(jkm!$H:$H,MATCH(J145,jkm!$J:$J,0),1)</f>
        <v>17.228999999999999</v>
      </c>
      <c r="O145" s="3">
        <f t="shared" ca="1" si="12"/>
        <v>210</v>
      </c>
      <c r="P145" s="3">
        <f t="shared" ca="1" si="13"/>
        <v>0.57534246575342463</v>
      </c>
      <c r="Q145" t="str" cm="1">
        <f t="array" ref="Q145:S145">_xlfn.TEXTSPLIT(J145,"/")</f>
        <v>10</v>
      </c>
      <c r="R145" s="1" t="str">
        <v>15</v>
      </c>
      <c r="S145" t="str">
        <v>2026</v>
      </c>
      <c r="T145" s="1">
        <f t="shared" si="14"/>
        <v>46310</v>
      </c>
      <c r="U145" s="19">
        <f t="shared" si="15"/>
        <v>3.6899999999999977</v>
      </c>
      <c r="V145" s="17">
        <f ca="1">(LN(N145/G145)+(L145/100)^2*P145/2)/(L145/100*SQRT(P145))</f>
        <v>0.33051084421947935</v>
      </c>
      <c r="W145" s="17">
        <f ca="1">V145-L145/100*SQRT(P145)</f>
        <v>-0.15089784246040316</v>
      </c>
      <c r="X145" s="17">
        <f ca="1">(LN(N145/G145)+P145*(U145/100+(L145/100)^2/2))/((L145/100*SQRT(P145)))</f>
        <v>0.37461087310079977</v>
      </c>
      <c r="Y145" s="17">
        <f ca="1">X145-N145/100*SQRT(R145)</f>
        <v>-0.2926654276172761</v>
      </c>
      <c r="Z145" s="20">
        <f ca="1">EXP(-P145)/(N145*L145/100*SQRT(P145))*_xlfn.NORM.S.DIST(X145,FALSE)</f>
        <v>2.5222900340424015E-2</v>
      </c>
      <c r="AA145" s="17">
        <f t="shared" ca="1" si="11"/>
        <v>2.733960927961316E-2</v>
      </c>
      <c r="AB145" s="17"/>
      <c r="AC145" s="17"/>
      <c r="AD145" s="17"/>
    </row>
    <row r="146" spans="1:30" x14ac:dyDescent="0.25">
      <c r="A146" t="s">
        <v>106</v>
      </c>
      <c r="B146" t="s">
        <v>107</v>
      </c>
      <c r="C146" t="s">
        <v>108</v>
      </c>
      <c r="D146">
        <v>46033</v>
      </c>
      <c r="E146" t="s">
        <v>107</v>
      </c>
      <c r="F146" t="s">
        <v>109</v>
      </c>
      <c r="G146">
        <v>20</v>
      </c>
      <c r="H146">
        <v>2.387</v>
      </c>
      <c r="I146">
        <v>0.193</v>
      </c>
      <c r="J146" t="s">
        <v>64</v>
      </c>
      <c r="K146">
        <v>4172</v>
      </c>
      <c r="L146">
        <v>64.445499999999996</v>
      </c>
      <c r="M146">
        <v>0.47683999999999999</v>
      </c>
      <c r="N146">
        <f>INDEX(jkm!$H:$H,MATCH(J146,jkm!$J:$J,0),1)</f>
        <v>17.228999999999999</v>
      </c>
      <c r="O146" s="3">
        <f t="shared" ca="1" si="12"/>
        <v>210</v>
      </c>
      <c r="P146" s="3">
        <f t="shared" ca="1" si="13"/>
        <v>0.57534246575342463</v>
      </c>
      <c r="Q146" t="str" cm="1">
        <f t="array" ref="Q146:S146">_xlfn.TEXTSPLIT(J146,"/")</f>
        <v>10</v>
      </c>
      <c r="R146" s="1" t="str">
        <v>15</v>
      </c>
      <c r="S146" t="str">
        <v>2026</v>
      </c>
      <c r="T146" s="1">
        <f t="shared" si="14"/>
        <v>46310</v>
      </c>
      <c r="U146" s="19">
        <f t="shared" si="15"/>
        <v>3.6899999999999977</v>
      </c>
      <c r="V146" s="17">
        <f ca="1">(LN(N146/G146)+(L146/100)^2*P146/2)/(L146/100*SQRT(P146))</f>
        <v>-6.0679867008062889E-2</v>
      </c>
      <c r="W146" s="17">
        <f ca="1">V146-L146/100*SQRT(P146)</f>
        <v>-0.54950757252976967</v>
      </c>
      <c r="X146" s="17">
        <f ca="1">(LN(N146/G146)+P146*(U146/100+(L146/100)^2/2))/((L146/100*SQRT(P146)))</f>
        <v>-1.7249151550469789E-2</v>
      </c>
      <c r="Y146" s="17">
        <f ca="1">X146-N146/100*SQRT(R146)</f>
        <v>-0.68452545226854566</v>
      </c>
      <c r="Z146" s="20">
        <f ca="1">EXP(-P146)/(N146*L146/100*SQRT(P146))*_xlfn.NORM.S.DIST(X146,FALSE)</f>
        <v>2.6641674356026147E-2</v>
      </c>
      <c r="AA146" s="17">
        <f t="shared" ca="1" si="11"/>
        <v>2.9322479096747199E-2</v>
      </c>
      <c r="AB146" s="17"/>
      <c r="AC146" s="17"/>
      <c r="AD146" s="17"/>
    </row>
    <row r="147" spans="1:30" x14ac:dyDescent="0.25">
      <c r="A147" t="s">
        <v>106</v>
      </c>
      <c r="B147" t="s">
        <v>107</v>
      </c>
      <c r="C147" t="s">
        <v>108</v>
      </c>
      <c r="D147">
        <v>46033</v>
      </c>
      <c r="E147" t="s">
        <v>107</v>
      </c>
      <c r="F147" t="s">
        <v>109</v>
      </c>
      <c r="G147">
        <v>25</v>
      </c>
      <c r="H147">
        <v>1.302</v>
      </c>
      <c r="I147">
        <v>0.125</v>
      </c>
      <c r="J147" t="s">
        <v>64</v>
      </c>
      <c r="K147">
        <v>4172</v>
      </c>
      <c r="L147">
        <v>64.578800000000001</v>
      </c>
      <c r="M147">
        <v>0.30491000000000001</v>
      </c>
      <c r="N147">
        <f>INDEX(jkm!$H:$H,MATCH(J147,jkm!$J:$J,0),1)</f>
        <v>17.228999999999999</v>
      </c>
      <c r="O147" s="3">
        <f t="shared" ca="1" si="12"/>
        <v>210</v>
      </c>
      <c r="P147" s="3">
        <f t="shared" ca="1" si="13"/>
        <v>0.57534246575342463</v>
      </c>
      <c r="Q147" t="str" cm="1">
        <f t="array" ref="Q147:S147">_xlfn.TEXTSPLIT(J147,"/")</f>
        <v>10</v>
      </c>
      <c r="R147" s="1" t="str">
        <v>15</v>
      </c>
      <c r="S147" t="str">
        <v>2026</v>
      </c>
      <c r="T147" s="1">
        <f t="shared" si="14"/>
        <v>46310</v>
      </c>
      <c r="U147" s="19">
        <f t="shared" si="15"/>
        <v>3.6899999999999977</v>
      </c>
      <c r="V147" s="17">
        <f ca="1">(LN(N147/G147)+(L147/100)^2*P147/2)/(L147/100*SQRT(P147))</f>
        <v>-0.51508942436014127</v>
      </c>
      <c r="W147" s="17">
        <f ca="1">V147-L147/100*SQRT(P147)</f>
        <v>-1.0049282281454357</v>
      </c>
      <c r="X147" s="17">
        <f ca="1">(LN(N147/G147)+P147*(U147/100+(L147/100)^2/2))/((L147/100*SQRT(P147)))</f>
        <v>-0.47174835619191396</v>
      </c>
      <c r="Y147" s="17">
        <f ca="1">X147-N147/100*SQRT(R147)</f>
        <v>-1.1390246569099898</v>
      </c>
      <c r="Z147" s="20">
        <f ca="1">EXP(-P147)/(N147*L147/100*SQRT(P147))*_xlfn.NORM.S.DIST(X147,FALSE)</f>
        <v>2.3790490156160943E-2</v>
      </c>
      <c r="AA147" s="17">
        <f t="shared" ca="1" si="11"/>
        <v>2.6238556138932344E-2</v>
      </c>
      <c r="AB147" s="17"/>
      <c r="AC147" s="17"/>
      <c r="AD147" s="17"/>
    </row>
    <row r="148" spans="1:30" x14ac:dyDescent="0.25">
      <c r="A148" t="s">
        <v>106</v>
      </c>
      <c r="B148" t="s">
        <v>107</v>
      </c>
      <c r="C148" t="s">
        <v>108</v>
      </c>
      <c r="D148">
        <v>46033</v>
      </c>
      <c r="E148" t="s">
        <v>107</v>
      </c>
      <c r="F148" t="s">
        <v>110</v>
      </c>
      <c r="G148">
        <v>5</v>
      </c>
      <c r="H148">
        <v>6.0000000000000001E-3</v>
      </c>
      <c r="I148">
        <v>-1E-3</v>
      </c>
      <c r="J148" t="s">
        <v>64</v>
      </c>
      <c r="K148">
        <v>4172</v>
      </c>
      <c r="L148">
        <v>62.264899999999997</v>
      </c>
      <c r="M148">
        <v>-2.2300000000000002E-3</v>
      </c>
      <c r="N148">
        <f>INDEX(jkm!$H:$H,MATCH(J148,jkm!$J:$J,0),1)</f>
        <v>17.228999999999999</v>
      </c>
      <c r="O148" s="3">
        <f t="shared" ca="1" si="12"/>
        <v>210</v>
      </c>
      <c r="P148" s="3">
        <f t="shared" ca="1" si="13"/>
        <v>0.57534246575342463</v>
      </c>
      <c r="Q148" t="str" cm="1">
        <f t="array" ref="Q148:S148">_xlfn.TEXTSPLIT(J148,"/")</f>
        <v>10</v>
      </c>
      <c r="R148" s="1" t="str">
        <v>15</v>
      </c>
      <c r="S148" t="str">
        <v>2026</v>
      </c>
      <c r="T148" s="1">
        <f t="shared" si="14"/>
        <v>46310</v>
      </c>
      <c r="U148" s="19">
        <f t="shared" si="15"/>
        <v>3.6899999999999977</v>
      </c>
      <c r="V148" s="17">
        <f ca="1">(LN(N148/G148)+(L148/100)^2*P148/2)/(L148/100*SQRT(P148))</f>
        <v>2.8556412927842634</v>
      </c>
      <c r="W148" s="17">
        <f ca="1">V148-L148/100*SQRT(P148)</f>
        <v>2.3833537288497992</v>
      </c>
      <c r="X148" s="17">
        <f ca="1">(LN(N148/G148)+P148*(U148/100+(L148/100)^2/2))/((L148/100*SQRT(P148)))</f>
        <v>2.9005930099318427</v>
      </c>
      <c r="Y148" s="17">
        <f ca="1">X148-N148/100*SQRT(R148)</f>
        <v>2.2333167092137667</v>
      </c>
      <c r="Z148" s="20">
        <f ca="1">EXP(-P148)/(N148*L148/100*SQRT(P148))*_xlfn.NORM.S.DIST(X148,FALSE)</f>
        <v>4.1079030484671831E-4</v>
      </c>
      <c r="AA148" s="17">
        <f t="shared" ca="1" si="11"/>
        <v>4.3682758176482006E-4</v>
      </c>
      <c r="AB148" s="17"/>
      <c r="AC148" s="17"/>
      <c r="AD148" s="17"/>
    </row>
    <row r="149" spans="1:30" x14ac:dyDescent="0.25">
      <c r="A149" t="s">
        <v>106</v>
      </c>
      <c r="B149" t="s">
        <v>107</v>
      </c>
      <c r="C149" t="s">
        <v>108</v>
      </c>
      <c r="D149">
        <v>46033</v>
      </c>
      <c r="E149" t="s">
        <v>107</v>
      </c>
      <c r="F149" t="s">
        <v>110</v>
      </c>
      <c r="G149">
        <v>8.5</v>
      </c>
      <c r="H149">
        <v>0.17100000000000001</v>
      </c>
      <c r="I149">
        <v>-2.1999999999999999E-2</v>
      </c>
      <c r="J149" t="s">
        <v>64</v>
      </c>
      <c r="K149">
        <v>4172</v>
      </c>
      <c r="L149">
        <v>62.4377</v>
      </c>
      <c r="M149">
        <v>-4.2470000000000001E-2</v>
      </c>
      <c r="N149">
        <f>INDEX(jkm!$H:$H,MATCH(J149,jkm!$J:$J,0),1)</f>
        <v>17.228999999999999</v>
      </c>
      <c r="O149" s="3">
        <f t="shared" ca="1" si="12"/>
        <v>210</v>
      </c>
      <c r="P149" s="3">
        <f t="shared" ca="1" si="13"/>
        <v>0.57534246575342463</v>
      </c>
      <c r="Q149" t="str" cm="1">
        <f t="array" ref="Q149:S149">_xlfn.TEXTSPLIT(J149,"/")</f>
        <v>10</v>
      </c>
      <c r="R149" s="1" t="str">
        <v>15</v>
      </c>
      <c r="S149" t="str">
        <v>2026</v>
      </c>
      <c r="T149" s="1">
        <f t="shared" si="14"/>
        <v>46310</v>
      </c>
      <c r="U149" s="19">
        <f t="shared" si="15"/>
        <v>3.6899999999999977</v>
      </c>
      <c r="V149" s="17">
        <f ca="1">(LN(N149/G149)+(L149/100)^2*P149/2)/(L149/100*SQRT(P149))</f>
        <v>1.7286285726935759</v>
      </c>
      <c r="W149" s="17">
        <f ca="1">V149-L149/100*SQRT(P149)</f>
        <v>1.2550302977317451</v>
      </c>
      <c r="X149" s="17">
        <f ca="1">(LN(N149/G149)+P149*(U149/100+(L149/100)^2/2))/((L149/100*SQRT(P149)))</f>
        <v>1.7734558833251706</v>
      </c>
      <c r="Y149" s="17">
        <f ca="1">X149-N149/100*SQRT(R149)</f>
        <v>1.1061795826070946</v>
      </c>
      <c r="Z149" s="20">
        <f ca="1">EXP(-P149)/(N149*L149/100*SQRT(P149))*_xlfn.NORM.S.DIST(X149,FALSE)</f>
        <v>5.7070555332759381E-3</v>
      </c>
      <c r="AA149" s="17">
        <f t="shared" ca="1" si="11"/>
        <v>6.0856303270693411E-3</v>
      </c>
      <c r="AB149" s="17"/>
      <c r="AC149" s="17"/>
      <c r="AD149" s="17"/>
    </row>
    <row r="150" spans="1:30" x14ac:dyDescent="0.25">
      <c r="A150" t="s">
        <v>106</v>
      </c>
      <c r="B150" t="s">
        <v>107</v>
      </c>
      <c r="C150" t="s">
        <v>108</v>
      </c>
      <c r="D150">
        <v>46033</v>
      </c>
      <c r="E150" t="s">
        <v>107</v>
      </c>
      <c r="F150" t="s">
        <v>110</v>
      </c>
      <c r="G150">
        <v>9</v>
      </c>
      <c r="H150">
        <v>0.23</v>
      </c>
      <c r="I150">
        <v>-2.9000000000000001E-2</v>
      </c>
      <c r="J150" t="s">
        <v>64</v>
      </c>
      <c r="K150">
        <v>4172</v>
      </c>
      <c r="L150">
        <v>62.462400000000002</v>
      </c>
      <c r="M150">
        <v>-5.4559999999999997E-2</v>
      </c>
      <c r="N150">
        <f>INDEX(jkm!$H:$H,MATCH(J150,jkm!$J:$J,0),1)</f>
        <v>17.228999999999999</v>
      </c>
      <c r="O150" s="3">
        <f t="shared" ca="1" si="12"/>
        <v>210</v>
      </c>
      <c r="P150" s="3">
        <f t="shared" ca="1" si="13"/>
        <v>0.57534246575342463</v>
      </c>
      <c r="Q150" t="str" cm="1">
        <f t="array" ref="Q150:S150">_xlfn.TEXTSPLIT(J150,"/")</f>
        <v>10</v>
      </c>
      <c r="R150" s="1" t="str">
        <v>15</v>
      </c>
      <c r="S150" t="str">
        <v>2026</v>
      </c>
      <c r="T150" s="1">
        <f t="shared" si="14"/>
        <v>46310</v>
      </c>
      <c r="U150" s="19">
        <f t="shared" si="15"/>
        <v>3.6899999999999977</v>
      </c>
      <c r="V150" s="17">
        <f ca="1">(LN(N150/G150)+(L150/100)^2*P150/2)/(L150/100*SQRT(P150))</f>
        <v>1.6074903904500575</v>
      </c>
      <c r="W150" s="17">
        <f ca="1">V150-L150/100*SQRT(P150)</f>
        <v>1.133704762696699</v>
      </c>
      <c r="X150" s="17">
        <f ca="1">(LN(N150/G150)+P150*(U150/100+(L150/100)^2/2))/((L150/100*SQRT(P150)))</f>
        <v>1.6522999746642777</v>
      </c>
      <c r="Y150" s="17">
        <f ca="1">X150-N150/100*SQRT(R150)</f>
        <v>0.98502367394620183</v>
      </c>
      <c r="Z150" s="20">
        <f ca="1">EXP(-P150)/(N150*L150/100*SQRT(P150))*_xlfn.NORM.S.DIST(X150,FALSE)</f>
        <v>7.0204898025595878E-3</v>
      </c>
      <c r="AA150" s="17">
        <f t="shared" ca="1" si="11"/>
        <v>7.4891521237199585E-3</v>
      </c>
      <c r="AB150" s="17"/>
      <c r="AC150" s="17"/>
      <c r="AD150" s="17"/>
    </row>
    <row r="151" spans="1:30" x14ac:dyDescent="0.25">
      <c r="A151" t="s">
        <v>106</v>
      </c>
      <c r="B151" t="s">
        <v>107</v>
      </c>
      <c r="C151" t="s">
        <v>108</v>
      </c>
      <c r="D151">
        <v>46033</v>
      </c>
      <c r="E151" t="s">
        <v>107</v>
      </c>
      <c r="F151" t="s">
        <v>110</v>
      </c>
      <c r="G151">
        <v>9.5</v>
      </c>
      <c r="H151">
        <v>0.30199999999999999</v>
      </c>
      <c r="I151">
        <v>-3.5999999999999997E-2</v>
      </c>
      <c r="J151" t="s">
        <v>64</v>
      </c>
      <c r="K151">
        <v>4172</v>
      </c>
      <c r="L151">
        <v>62.487200000000001</v>
      </c>
      <c r="M151">
        <v>-6.8360000000000004E-2</v>
      </c>
      <c r="N151">
        <f>INDEX(jkm!$H:$H,MATCH(J151,jkm!$J:$J,0),1)</f>
        <v>17.228999999999999</v>
      </c>
      <c r="O151" s="3">
        <f t="shared" ca="1" si="12"/>
        <v>210</v>
      </c>
      <c r="P151" s="3">
        <f t="shared" ca="1" si="13"/>
        <v>0.57534246575342463</v>
      </c>
      <c r="Q151" t="str" cm="1">
        <f t="array" ref="Q151:S151">_xlfn.TEXTSPLIT(J151,"/")</f>
        <v>10</v>
      </c>
      <c r="R151" s="1" t="str">
        <v>15</v>
      </c>
      <c r="S151" t="str">
        <v>2026</v>
      </c>
      <c r="T151" s="1">
        <f t="shared" si="14"/>
        <v>46310</v>
      </c>
      <c r="U151" s="19">
        <f t="shared" si="15"/>
        <v>3.6899999999999977</v>
      </c>
      <c r="V151" s="17">
        <f ca="1">(LN(N151/G151)+(L151/100)^2*P151/2)/(L151/100*SQRT(P151))</f>
        <v>1.4929682939992512</v>
      </c>
      <c r="W151" s="17">
        <f ca="1">V151-L151/100*SQRT(P151)</f>
        <v>1.0189945549410393</v>
      </c>
      <c r="X151" s="17">
        <f ca="1">(LN(N151/G151)+P151*(U151/100+(L151/100)^2/2))/((L151/100*SQRT(P151)))</f>
        <v>1.5377600941282747</v>
      </c>
      <c r="Y151" s="17">
        <f ca="1">X151-N151/100*SQRT(R151)</f>
        <v>0.87048379341019888</v>
      </c>
      <c r="Z151" s="20">
        <f ca="1">EXP(-P151)/(N151*L151/100*SQRT(P151))*_xlfn.NORM.S.DIST(X151,FALSE)</f>
        <v>8.4243858511858331E-3</v>
      </c>
      <c r="AA151" s="17">
        <f t="shared" ca="1" si="11"/>
        <v>8.9903352534510088E-3</v>
      </c>
      <c r="AB151" s="17"/>
      <c r="AC151" s="17"/>
      <c r="AD151" s="17"/>
    </row>
    <row r="152" spans="1:30" x14ac:dyDescent="0.25">
      <c r="A152" t="s">
        <v>106</v>
      </c>
      <c r="B152" t="s">
        <v>107</v>
      </c>
      <c r="C152" t="s">
        <v>108</v>
      </c>
      <c r="D152">
        <v>46033</v>
      </c>
      <c r="E152" t="s">
        <v>107</v>
      </c>
      <c r="F152" t="s">
        <v>110</v>
      </c>
      <c r="G152">
        <v>10</v>
      </c>
      <c r="H152">
        <v>0.38700000000000001</v>
      </c>
      <c r="I152">
        <v>-4.2999999999999997E-2</v>
      </c>
      <c r="J152" t="s">
        <v>64</v>
      </c>
      <c r="K152">
        <v>4172</v>
      </c>
      <c r="L152">
        <v>62.511800000000001</v>
      </c>
      <c r="M152">
        <v>-8.3779999999999993E-2</v>
      </c>
      <c r="N152">
        <f>INDEX(jkm!$H:$H,MATCH(J152,jkm!$J:$J,0),1)</f>
        <v>17.228999999999999</v>
      </c>
      <c r="O152" s="3">
        <f t="shared" ca="1" si="12"/>
        <v>210</v>
      </c>
      <c r="P152" s="3">
        <f t="shared" ca="1" si="13"/>
        <v>0.57534246575342463</v>
      </c>
      <c r="Q152" t="str" cm="1">
        <f t="array" ref="Q152:S152">_xlfn.TEXTSPLIT(J152,"/")</f>
        <v>10</v>
      </c>
      <c r="R152" s="1" t="str">
        <v>15</v>
      </c>
      <c r="S152" t="str">
        <v>2026</v>
      </c>
      <c r="T152" s="1">
        <f t="shared" si="14"/>
        <v>46310</v>
      </c>
      <c r="U152" s="19">
        <f t="shared" si="15"/>
        <v>3.6899999999999977</v>
      </c>
      <c r="V152" s="17">
        <f ca="1">(LN(N152/G152)+(L152/100)^2*P152/2)/(L152/100*SQRT(P152))</f>
        <v>1.3843902204812761</v>
      </c>
      <c r="W152" s="17">
        <f ca="1">V152-L152/100*SQRT(P152)</f>
        <v>0.91022988714486275</v>
      </c>
      <c r="X152" s="17">
        <f ca="1">(LN(N152/G152)+P152*(U152/100+(L152/100)^2/2))/((L152/100*SQRT(P152)))</f>
        <v>1.4291643938856944</v>
      </c>
      <c r="Y152" s="17">
        <f ca="1">X152-N152/100*SQRT(R152)</f>
        <v>0.76188809316761852</v>
      </c>
      <c r="Z152" s="20">
        <f ca="1">EXP(-P152)/(N152*L152/100*SQRT(P152))*_xlfn.NORM.S.DIST(X152,FALSE)</f>
        <v>9.8930708267739049E-3</v>
      </c>
      <c r="AA152" s="17">
        <f t="shared" ca="1" si="11"/>
        <v>1.0561842695957155E-2</v>
      </c>
      <c r="AB152" s="17"/>
      <c r="AC152" s="17"/>
      <c r="AD152" s="17"/>
    </row>
    <row r="153" spans="1:30" x14ac:dyDescent="0.25">
      <c r="A153" t="s">
        <v>106</v>
      </c>
      <c r="B153" t="s">
        <v>107</v>
      </c>
      <c r="C153" t="s">
        <v>108</v>
      </c>
      <c r="D153">
        <v>46033</v>
      </c>
      <c r="E153" t="s">
        <v>107</v>
      </c>
      <c r="F153" t="s">
        <v>110</v>
      </c>
      <c r="G153">
        <v>10.5</v>
      </c>
      <c r="H153">
        <v>0.48699999999999999</v>
      </c>
      <c r="I153">
        <v>-5.0999999999999997E-2</v>
      </c>
      <c r="J153" t="s">
        <v>64</v>
      </c>
      <c r="K153">
        <v>4172</v>
      </c>
      <c r="L153">
        <v>62.5366</v>
      </c>
      <c r="M153">
        <v>-0.10074</v>
      </c>
      <c r="N153">
        <f>INDEX(jkm!$H:$H,MATCH(J153,jkm!$J:$J,0),1)</f>
        <v>17.228999999999999</v>
      </c>
      <c r="O153" s="3">
        <f t="shared" ca="1" si="12"/>
        <v>210</v>
      </c>
      <c r="P153" s="3">
        <f t="shared" ca="1" si="13"/>
        <v>0.57534246575342463</v>
      </c>
      <c r="Q153" t="str" cm="1">
        <f t="array" ref="Q153:S153">_xlfn.TEXTSPLIT(J153,"/")</f>
        <v>10</v>
      </c>
      <c r="R153" s="1" t="str">
        <v>15</v>
      </c>
      <c r="S153" t="str">
        <v>2026</v>
      </c>
      <c r="T153" s="1">
        <f t="shared" si="14"/>
        <v>46310</v>
      </c>
      <c r="U153" s="19">
        <f t="shared" si="15"/>
        <v>3.6899999999999977</v>
      </c>
      <c r="V153" s="17">
        <f ca="1">(LN(N153/G153)+(L153/100)^2*P153/2)/(L153/100*SQRT(P153))</f>
        <v>1.2811720660603934</v>
      </c>
      <c r="W153" s="17">
        <f ca="1">V153-L153/100*SQRT(P153)</f>
        <v>0.80682362141912645</v>
      </c>
      <c r="X153" s="17">
        <f ca="1">(LN(N153/G153)+P153*(U153/100+(L153/100)^2/2))/((L153/100*SQRT(P153)))</f>
        <v>1.3259284834707148</v>
      </c>
      <c r="Y153" s="17">
        <f ca="1">X153-N153/100*SQRT(R153)</f>
        <v>0.65865218275263893</v>
      </c>
      <c r="Z153" s="20">
        <f ca="1">EXP(-P153)/(N153*L153/100*SQRT(P153))*_xlfn.NORM.S.DIST(X153,FALSE)</f>
        <v>1.1400420149143185E-2</v>
      </c>
      <c r="AA153" s="17">
        <f t="shared" ca="1" si="11"/>
        <v>1.2175917451808141E-2</v>
      </c>
      <c r="AB153" s="17"/>
      <c r="AC153" s="17"/>
      <c r="AD153" s="17"/>
    </row>
    <row r="154" spans="1:30" x14ac:dyDescent="0.25">
      <c r="A154" t="s">
        <v>106</v>
      </c>
      <c r="B154" t="s">
        <v>107</v>
      </c>
      <c r="C154" t="s">
        <v>108</v>
      </c>
      <c r="D154">
        <v>46033</v>
      </c>
      <c r="E154" t="s">
        <v>107</v>
      </c>
      <c r="F154" t="s">
        <v>110</v>
      </c>
      <c r="G154">
        <v>11</v>
      </c>
      <c r="H154">
        <v>0.6</v>
      </c>
      <c r="I154">
        <v>-6.0999999999999999E-2</v>
      </c>
      <c r="J154" t="s">
        <v>64</v>
      </c>
      <c r="K154">
        <v>4172</v>
      </c>
      <c r="L154">
        <v>62.561300000000003</v>
      </c>
      <c r="M154">
        <v>-0.1191</v>
      </c>
      <c r="N154">
        <f>INDEX(jkm!$H:$H,MATCH(J154,jkm!$J:$J,0),1)</f>
        <v>17.228999999999999</v>
      </c>
      <c r="O154" s="3">
        <f t="shared" ca="1" si="12"/>
        <v>210</v>
      </c>
      <c r="P154" s="3">
        <f t="shared" ca="1" si="13"/>
        <v>0.57534246575342463</v>
      </c>
      <c r="Q154" t="str" cm="1">
        <f t="array" ref="Q154:S154">_xlfn.TEXTSPLIT(J154,"/")</f>
        <v>10</v>
      </c>
      <c r="R154" s="1" t="str">
        <v>15</v>
      </c>
      <c r="S154" t="str">
        <v>2026</v>
      </c>
      <c r="T154" s="1">
        <f t="shared" si="14"/>
        <v>46310</v>
      </c>
      <c r="U154" s="19">
        <f t="shared" si="15"/>
        <v>3.6899999999999977</v>
      </c>
      <c r="V154" s="17">
        <f ca="1">(LN(N154/G154)+(L154/100)^2*P154/2)/(L154/100*SQRT(P154))</f>
        <v>1.1828208795016775</v>
      </c>
      <c r="W154" s="17">
        <f ca="1">V154-L154/100*SQRT(P154)</f>
        <v>0.70828508206888308</v>
      </c>
      <c r="X154" s="17">
        <f ca="1">(LN(N154/G154)+P154*(U154/100+(L154/100)^2/2))/((L154/100*SQRT(P154)))</f>
        <v>1.2275596265069715</v>
      </c>
      <c r="Y154" s="17">
        <f ca="1">X154-N154/100*SQRT(R154)</f>
        <v>0.56028332578889561</v>
      </c>
      <c r="Z154" s="20">
        <f ca="1">EXP(-P154)/(N154*L154/100*SQRT(P154))*_xlfn.NORM.S.DIST(X154,FALSE)</f>
        <v>1.2920913142319582E-2</v>
      </c>
      <c r="AA154" s="17">
        <f t="shared" ca="1" si="11"/>
        <v>1.3805290314701218E-2</v>
      </c>
      <c r="AB154" s="17"/>
      <c r="AC154" s="17"/>
      <c r="AD154" s="17"/>
    </row>
    <row r="155" spans="1:30" x14ac:dyDescent="0.25">
      <c r="A155" t="s">
        <v>106</v>
      </c>
      <c r="B155" t="s">
        <v>107</v>
      </c>
      <c r="C155" t="s">
        <v>108</v>
      </c>
      <c r="D155">
        <v>46033</v>
      </c>
      <c r="E155" t="s">
        <v>107</v>
      </c>
      <c r="F155" t="s">
        <v>110</v>
      </c>
      <c r="G155">
        <v>13</v>
      </c>
      <c r="H155">
        <v>1.2070000000000001</v>
      </c>
      <c r="I155">
        <v>-0.10100000000000001</v>
      </c>
      <c r="J155" t="s">
        <v>64</v>
      </c>
      <c r="K155">
        <v>4172</v>
      </c>
      <c r="L155">
        <v>62.6601</v>
      </c>
      <c r="M155">
        <v>-0.20368</v>
      </c>
      <c r="N155">
        <f>INDEX(jkm!$H:$H,MATCH(J155,jkm!$J:$J,0),1)</f>
        <v>17.228999999999999</v>
      </c>
      <c r="O155" s="3">
        <f t="shared" ca="1" si="12"/>
        <v>210</v>
      </c>
      <c r="P155" s="3">
        <f t="shared" ca="1" si="13"/>
        <v>0.57534246575342463</v>
      </c>
      <c r="Q155" t="str" cm="1">
        <f t="array" ref="Q155:S155">_xlfn.TEXTSPLIT(J155,"/")</f>
        <v>10</v>
      </c>
      <c r="R155" s="1" t="str">
        <v>15</v>
      </c>
      <c r="S155" t="str">
        <v>2026</v>
      </c>
      <c r="T155" s="1">
        <f t="shared" si="14"/>
        <v>46310</v>
      </c>
      <c r="U155" s="19">
        <f t="shared" si="15"/>
        <v>3.6899999999999977</v>
      </c>
      <c r="V155" s="17">
        <f ca="1">(LN(N155/G155)+(L155/100)^2*P155/2)/(L155/100*SQRT(P155))</f>
        <v>0.83022290764824369</v>
      </c>
      <c r="W155" s="17">
        <f ca="1">V155-L155/100*SQRT(P155)</f>
        <v>0.35493769904933925</v>
      </c>
      <c r="X155" s="17">
        <f ca="1">(LN(N155/G155)+P155*(U155/100+(L155/100)^2/2))/((L155/100*SQRT(P155)))</f>
        <v>0.8748911123434534</v>
      </c>
      <c r="Y155" s="17">
        <f ca="1">X155-N155/100*SQRT(R155)</f>
        <v>0.20761481162537754</v>
      </c>
      <c r="Z155" s="20">
        <f ca="1">EXP(-P155)/(N155*L155/100*SQRT(P155))*_xlfn.NORM.S.DIST(X155,FALSE)</f>
        <v>1.8690273525682487E-2</v>
      </c>
      <c r="AA155" s="17">
        <f t="shared" ca="1" si="11"/>
        <v>2.000107383624573E-2</v>
      </c>
      <c r="AB155" s="17"/>
      <c r="AC155" s="17"/>
      <c r="AD155" s="17"/>
    </row>
    <row r="156" spans="1:30" x14ac:dyDescent="0.25">
      <c r="A156" t="s">
        <v>106</v>
      </c>
      <c r="B156" t="s">
        <v>107</v>
      </c>
      <c r="C156" t="s">
        <v>108</v>
      </c>
      <c r="D156">
        <v>46033</v>
      </c>
      <c r="E156" t="s">
        <v>107</v>
      </c>
      <c r="F156" t="s">
        <v>110</v>
      </c>
      <c r="G156">
        <v>15</v>
      </c>
      <c r="H156">
        <v>2.0670000000000002</v>
      </c>
      <c r="I156">
        <v>-0.15</v>
      </c>
      <c r="J156" t="s">
        <v>64</v>
      </c>
      <c r="K156">
        <v>4172</v>
      </c>
      <c r="L156">
        <v>63.002800000000001</v>
      </c>
      <c r="M156">
        <v>-0.29854000000000003</v>
      </c>
      <c r="N156">
        <f>INDEX(jkm!$H:$H,MATCH(J156,jkm!$J:$J,0),1)</f>
        <v>17.228999999999999</v>
      </c>
      <c r="O156" s="3">
        <f t="shared" ca="1" si="12"/>
        <v>210</v>
      </c>
      <c r="P156" s="3">
        <f t="shared" ca="1" si="13"/>
        <v>0.57534246575342463</v>
      </c>
      <c r="Q156" t="str" cm="1">
        <f t="array" ref="Q156:S156">_xlfn.TEXTSPLIT(J156,"/")</f>
        <v>10</v>
      </c>
      <c r="R156" s="1" t="str">
        <v>15</v>
      </c>
      <c r="S156" t="str">
        <v>2026</v>
      </c>
      <c r="T156" s="1">
        <f t="shared" si="14"/>
        <v>46310</v>
      </c>
      <c r="U156" s="19">
        <f t="shared" si="15"/>
        <v>3.6899999999999977</v>
      </c>
      <c r="V156" s="17">
        <f ca="1">(LN(N156/G156)+(L156/100)^2*P156/2)/(L156/100*SQRT(P156))</f>
        <v>0.52885289290674753</v>
      </c>
      <c r="W156" s="17">
        <f ca="1">V156-L156/100*SQRT(P156)</f>
        <v>5.0968259139564598E-2</v>
      </c>
      <c r="X156" s="17">
        <f ca="1">(LN(N156/G156)+P156*(U156/100+(L156/100)^2/2))/((L156/100*SQRT(P156)))</f>
        <v>0.57327812754746688</v>
      </c>
      <c r="Y156" s="17">
        <f ca="1">X156-N156/100*SQRT(R156)</f>
        <v>-9.399817317060899E-2</v>
      </c>
      <c r="Z156" s="20">
        <f ca="1">EXP(-P156)/(N156*L156/100*SQRT(P156))*_xlfn.NORM.S.DIST(X156,FALSE)</f>
        <v>2.3125647691419317E-2</v>
      </c>
      <c r="AA156" s="17">
        <f t="shared" ca="1" si="11"/>
        <v>2.4882861850252763E-2</v>
      </c>
      <c r="AB156" s="17"/>
      <c r="AC156" s="17"/>
      <c r="AD156" s="17"/>
    </row>
    <row r="157" spans="1:30" x14ac:dyDescent="0.25">
      <c r="A157" t="s">
        <v>106</v>
      </c>
      <c r="B157" t="s">
        <v>107</v>
      </c>
      <c r="C157" t="s">
        <v>108</v>
      </c>
      <c r="D157">
        <v>46033</v>
      </c>
      <c r="E157" t="s">
        <v>107</v>
      </c>
      <c r="F157" t="s">
        <v>110</v>
      </c>
      <c r="G157">
        <v>16.5</v>
      </c>
      <c r="H157">
        <v>2.871</v>
      </c>
      <c r="I157">
        <v>-0.184</v>
      </c>
      <c r="J157" t="s">
        <v>64</v>
      </c>
      <c r="K157">
        <v>4172</v>
      </c>
      <c r="L157">
        <v>63.467399999999998</v>
      </c>
      <c r="M157">
        <v>-0.37024000000000001</v>
      </c>
      <c r="N157">
        <f>INDEX(jkm!$H:$H,MATCH(J157,jkm!$J:$J,0),1)</f>
        <v>17.228999999999999</v>
      </c>
      <c r="O157" s="3">
        <f t="shared" ca="1" si="12"/>
        <v>210</v>
      </c>
      <c r="P157" s="3">
        <f t="shared" ca="1" si="13"/>
        <v>0.57534246575342463</v>
      </c>
      <c r="Q157" t="str" cm="1">
        <f t="array" ref="Q157:S157">_xlfn.TEXTSPLIT(J157,"/")</f>
        <v>10</v>
      </c>
      <c r="R157" s="1" t="str">
        <v>15</v>
      </c>
      <c r="S157" t="str">
        <v>2026</v>
      </c>
      <c r="T157" s="1">
        <f t="shared" si="14"/>
        <v>46310</v>
      </c>
      <c r="U157" s="19">
        <f t="shared" si="15"/>
        <v>3.6899999999999977</v>
      </c>
      <c r="V157" s="17">
        <f ca="1">(LN(N157/G157)+(L157/100)^2*P157/2)/(L157/100*SQRT(P157))</f>
        <v>0.33051084421947935</v>
      </c>
      <c r="W157" s="17">
        <f ca="1">V157-L157/100*SQRT(P157)</f>
        <v>-0.15089784246040316</v>
      </c>
      <c r="X157" s="17">
        <f ca="1">(LN(N157/G157)+P157*(U157/100+(L157/100)^2/2))/((L157/100*SQRT(P157)))</f>
        <v>0.37461087310079977</v>
      </c>
      <c r="Y157" s="17">
        <f ca="1">X157-N157/100*SQRT(R157)</f>
        <v>-0.2926654276172761</v>
      </c>
      <c r="Z157" s="20">
        <f ca="1">EXP(-P157)/(N157*L157/100*SQRT(P157))*_xlfn.NORM.S.DIST(X157,FALSE)</f>
        <v>2.5222900340424015E-2</v>
      </c>
      <c r="AA157" s="17">
        <f t="shared" ca="1" si="11"/>
        <v>2.733960927961316E-2</v>
      </c>
      <c r="AB157" s="17"/>
      <c r="AC157" s="17"/>
      <c r="AD157" s="17"/>
    </row>
    <row r="158" spans="1:30" x14ac:dyDescent="0.25">
      <c r="A158" t="s">
        <v>106</v>
      </c>
      <c r="B158" t="s">
        <v>107</v>
      </c>
      <c r="C158" t="s">
        <v>108</v>
      </c>
      <c r="D158">
        <v>46033</v>
      </c>
      <c r="E158" t="s">
        <v>107</v>
      </c>
      <c r="F158" t="s">
        <v>110</v>
      </c>
      <c r="G158">
        <v>20</v>
      </c>
      <c r="H158">
        <v>5.1580000000000004</v>
      </c>
      <c r="I158">
        <v>-0.253</v>
      </c>
      <c r="J158" t="s">
        <v>64</v>
      </c>
      <c r="K158">
        <v>4172</v>
      </c>
      <c r="L158">
        <v>64.445499999999996</v>
      </c>
      <c r="M158">
        <v>-0.52315999999999996</v>
      </c>
      <c r="N158">
        <f>INDEX(jkm!$H:$H,MATCH(J158,jkm!$J:$J,0),1)</f>
        <v>17.228999999999999</v>
      </c>
      <c r="O158" s="3">
        <f t="shared" ca="1" si="12"/>
        <v>210</v>
      </c>
      <c r="P158" s="3">
        <f t="shared" ca="1" si="13"/>
        <v>0.57534246575342463</v>
      </c>
      <c r="Q158" t="str" cm="1">
        <f t="array" ref="Q158:S158">_xlfn.TEXTSPLIT(J158,"/")</f>
        <v>10</v>
      </c>
      <c r="R158" s="1" t="str">
        <v>15</v>
      </c>
      <c r="S158" t="str">
        <v>2026</v>
      </c>
      <c r="T158" s="1">
        <f t="shared" si="14"/>
        <v>46310</v>
      </c>
      <c r="U158" s="19">
        <f t="shared" si="15"/>
        <v>3.6899999999999977</v>
      </c>
      <c r="V158" s="17">
        <f ca="1">(LN(N158/G158)+(L158/100)^2*P158/2)/(L158/100*SQRT(P158))</f>
        <v>-6.0679867008062889E-2</v>
      </c>
      <c r="W158" s="17">
        <f ca="1">V158-L158/100*SQRT(P158)</f>
        <v>-0.54950757252976967</v>
      </c>
      <c r="X158" s="17">
        <f ca="1">(LN(N158/G158)+P158*(U158/100+(L158/100)^2/2))/((L158/100*SQRT(P158)))</f>
        <v>-1.7249151550469789E-2</v>
      </c>
      <c r="Y158" s="17">
        <f ca="1">X158-N158/100*SQRT(R158)</f>
        <v>-0.68452545226854566</v>
      </c>
      <c r="Z158" s="20">
        <f ca="1">EXP(-P158)/(N158*L158/100*SQRT(P158))*_xlfn.NORM.S.DIST(X158,FALSE)</f>
        <v>2.6641674356026147E-2</v>
      </c>
      <c r="AA158" s="17">
        <f t="shared" ca="1" si="11"/>
        <v>2.9322479096747199E-2</v>
      </c>
      <c r="AB158" s="17"/>
      <c r="AC158" s="17"/>
      <c r="AD158" s="17"/>
    </row>
    <row r="159" spans="1:30" x14ac:dyDescent="0.25">
      <c r="A159" t="s">
        <v>106</v>
      </c>
      <c r="B159" t="s">
        <v>107</v>
      </c>
      <c r="C159" t="s">
        <v>108</v>
      </c>
      <c r="D159">
        <v>46033</v>
      </c>
      <c r="E159" t="s">
        <v>107</v>
      </c>
      <c r="F159" t="s">
        <v>110</v>
      </c>
      <c r="G159">
        <v>25</v>
      </c>
      <c r="H159">
        <v>9.0730000000000004</v>
      </c>
      <c r="I159">
        <v>-0.32100000000000001</v>
      </c>
      <c r="J159" t="s">
        <v>64</v>
      </c>
      <c r="K159">
        <v>4172</v>
      </c>
      <c r="L159">
        <v>64.578800000000001</v>
      </c>
      <c r="M159">
        <v>-0.69508999999999999</v>
      </c>
      <c r="N159">
        <f>INDEX(jkm!$H:$H,MATCH(J159,jkm!$J:$J,0),1)</f>
        <v>17.228999999999999</v>
      </c>
      <c r="O159" s="3">
        <f t="shared" ca="1" si="12"/>
        <v>210</v>
      </c>
      <c r="P159" s="3">
        <f t="shared" ca="1" si="13"/>
        <v>0.57534246575342463</v>
      </c>
      <c r="Q159" t="str" cm="1">
        <f t="array" ref="Q159:S159">_xlfn.TEXTSPLIT(J159,"/")</f>
        <v>10</v>
      </c>
      <c r="R159" s="1" t="str">
        <v>15</v>
      </c>
      <c r="S159" t="str">
        <v>2026</v>
      </c>
      <c r="T159" s="1">
        <f t="shared" si="14"/>
        <v>46310</v>
      </c>
      <c r="U159" s="19">
        <f t="shared" si="15"/>
        <v>3.6899999999999977</v>
      </c>
      <c r="V159" s="17">
        <f ca="1">(LN(N159/G159)+(L159/100)^2*P159/2)/(L159/100*SQRT(P159))</f>
        <v>-0.51508942436014127</v>
      </c>
      <c r="W159" s="17">
        <f ca="1">V159-L159/100*SQRT(P159)</f>
        <v>-1.0049282281454357</v>
      </c>
      <c r="X159" s="17">
        <f ca="1">(LN(N159/G159)+P159*(U159/100+(L159/100)^2/2))/((L159/100*SQRT(P159)))</f>
        <v>-0.47174835619191396</v>
      </c>
      <c r="Y159" s="17">
        <f ca="1">X159-N159/100*SQRT(R159)</f>
        <v>-1.1390246569099898</v>
      </c>
      <c r="Z159" s="20">
        <f ca="1">EXP(-P159)/(N159*L159/100*SQRT(P159))*_xlfn.NORM.S.DIST(X159,FALSE)</f>
        <v>2.3790490156160943E-2</v>
      </c>
      <c r="AA159" s="17">
        <f t="shared" ca="1" si="11"/>
        <v>2.6238556138932344E-2</v>
      </c>
      <c r="AB159" s="17"/>
      <c r="AC159" s="17"/>
      <c r="AD159" s="17"/>
    </row>
    <row r="160" spans="1:30" x14ac:dyDescent="0.25">
      <c r="A160" t="s">
        <v>106</v>
      </c>
      <c r="B160" t="s">
        <v>107</v>
      </c>
      <c r="C160" t="s">
        <v>108</v>
      </c>
      <c r="D160">
        <v>46034</v>
      </c>
      <c r="E160" t="s">
        <v>107</v>
      </c>
      <c r="F160" t="s">
        <v>109</v>
      </c>
      <c r="G160">
        <v>5</v>
      </c>
      <c r="H160">
        <v>12.398</v>
      </c>
      <c r="I160">
        <v>0.53600000000000003</v>
      </c>
      <c r="J160" t="s">
        <v>65</v>
      </c>
      <c r="K160">
        <v>4172</v>
      </c>
      <c r="L160">
        <v>62.772500000000001</v>
      </c>
      <c r="M160">
        <v>0.99651999999999996</v>
      </c>
      <c r="N160">
        <f>INDEX(jkm!$H:$H,MATCH(J160,jkm!$J:$J,0),1)</f>
        <v>17.387</v>
      </c>
      <c r="O160" s="3">
        <f t="shared" ca="1" si="12"/>
        <v>239</v>
      </c>
      <c r="P160" s="3">
        <f t="shared" ca="1" si="13"/>
        <v>0.65479452054794518</v>
      </c>
      <c r="Q160" t="str" cm="1">
        <f t="array" ref="Q160:S160">_xlfn.TEXTSPLIT(J160,"/")</f>
        <v>11</v>
      </c>
      <c r="R160" s="1" t="str">
        <v>13</v>
      </c>
      <c r="S160" t="str">
        <v>2026</v>
      </c>
      <c r="T160" s="1">
        <f t="shared" si="14"/>
        <v>46339</v>
      </c>
      <c r="U160" s="19">
        <f t="shared" si="15"/>
        <v>3.6899999999999977</v>
      </c>
      <c r="V160" s="17">
        <f ca="1">(LN(N160/G160)+(L160/100)^2*P160/2)/(L160/100*SQRT(P160))</f>
        <v>2.7075282427329461</v>
      </c>
      <c r="W160" s="17">
        <f ca="1">V160-L160/100*SQRT(P160)</f>
        <v>2.1995770977561686</v>
      </c>
      <c r="X160" s="17">
        <f ca="1">(LN(N160/G160)+P160*(U160/100+(L160/100)^2/2))/((L160/100*SQRT(P160)))</f>
        <v>2.7550956476835222</v>
      </c>
      <c r="Y160" s="17">
        <f ca="1">X160-N160/100*SQRT(R160)</f>
        <v>2.1281984474185984</v>
      </c>
      <c r="Z160" s="20">
        <f ca="1">EXP(-P160)/(N160*L160/100*SQRT(P160))*_xlfn.NORM.S.DIST(X160,FALSE)</f>
        <v>5.2749991122566422E-4</v>
      </c>
      <c r="AA160" s="17">
        <f t="shared" ca="1" si="11"/>
        <v>6.5545995069634852E-4</v>
      </c>
      <c r="AB160" s="17"/>
      <c r="AC160" s="17"/>
      <c r="AD160" s="17"/>
    </row>
    <row r="161" spans="1:30" x14ac:dyDescent="0.25">
      <c r="A161" t="s">
        <v>106</v>
      </c>
      <c r="B161" t="s">
        <v>107</v>
      </c>
      <c r="C161" t="s">
        <v>108</v>
      </c>
      <c r="D161">
        <v>46034</v>
      </c>
      <c r="E161" t="s">
        <v>107</v>
      </c>
      <c r="F161" t="s">
        <v>109</v>
      </c>
      <c r="G161">
        <v>8</v>
      </c>
      <c r="H161">
        <v>9.5530000000000008</v>
      </c>
      <c r="I161">
        <v>0.51500000000000001</v>
      </c>
      <c r="J161" t="s">
        <v>65</v>
      </c>
      <c r="K161">
        <v>4172</v>
      </c>
      <c r="L161">
        <v>62.921199999999999</v>
      </c>
      <c r="M161">
        <v>0.96196000000000004</v>
      </c>
      <c r="N161">
        <f>INDEX(jkm!$H:$H,MATCH(J161,jkm!$J:$J,0),1)</f>
        <v>17.387</v>
      </c>
      <c r="O161" s="3">
        <f t="shared" ca="1" si="12"/>
        <v>239</v>
      </c>
      <c r="P161" s="3">
        <f t="shared" ca="1" si="13"/>
        <v>0.65479452054794518</v>
      </c>
      <c r="Q161" t="str" cm="1">
        <f t="array" ref="Q161:S161">_xlfn.TEXTSPLIT(J161,"/")</f>
        <v>11</v>
      </c>
      <c r="R161" s="1" t="str">
        <v>13</v>
      </c>
      <c r="S161" t="str">
        <v>2026</v>
      </c>
      <c r="T161" s="1">
        <f t="shared" si="14"/>
        <v>46339</v>
      </c>
      <c r="U161" s="19">
        <f t="shared" si="15"/>
        <v>3.6899999999999977</v>
      </c>
      <c r="V161" s="17">
        <f ca="1">(LN(N161/G161)+(L161/100)^2*P161/2)/(L161/100*SQRT(P161))</f>
        <v>1.7792252015580228</v>
      </c>
      <c r="W161" s="17">
        <f ca="1">V161-L161/100*SQRT(P161)</f>
        <v>1.2700707854791218</v>
      </c>
      <c r="X161" s="17">
        <f ca="1">(LN(N161/G161)+P161*(U161/100+(L161/100)^2/2))/((L161/100*SQRT(P161)))</f>
        <v>1.8266801917244537</v>
      </c>
      <c r="Y161" s="17">
        <f ca="1">X161-N161/100*SQRT(R161)</f>
        <v>1.1997829914595299</v>
      </c>
      <c r="Z161" s="20">
        <f ca="1">EXP(-P161)/(N161*L161/100*SQRT(P161))*_xlfn.NORM.S.DIST(X161,FALSE)</f>
        <v>4.4146259160196474E-3</v>
      </c>
      <c r="AA161" s="17">
        <f t="shared" ca="1" si="11"/>
        <v>5.4985129202447395E-3</v>
      </c>
      <c r="AB161" s="17"/>
      <c r="AC161" s="17"/>
      <c r="AD161" s="17"/>
    </row>
    <row r="162" spans="1:30" x14ac:dyDescent="0.25">
      <c r="A162" t="s">
        <v>106</v>
      </c>
      <c r="B162" t="s">
        <v>107</v>
      </c>
      <c r="C162" t="s">
        <v>108</v>
      </c>
      <c r="D162">
        <v>46034</v>
      </c>
      <c r="E162" t="s">
        <v>107</v>
      </c>
      <c r="F162" t="s">
        <v>109</v>
      </c>
      <c r="G162">
        <v>9</v>
      </c>
      <c r="H162">
        <v>8.68</v>
      </c>
      <c r="I162">
        <v>0.5</v>
      </c>
      <c r="J162" t="s">
        <v>65</v>
      </c>
      <c r="K162">
        <v>4172</v>
      </c>
      <c r="L162">
        <v>62.970799999999997</v>
      </c>
      <c r="M162">
        <v>0.93855999999999995</v>
      </c>
      <c r="N162">
        <f>INDEX(jkm!$H:$H,MATCH(J162,jkm!$J:$J,0),1)</f>
        <v>17.387</v>
      </c>
      <c r="O162" s="3">
        <f t="shared" ca="1" si="12"/>
        <v>239</v>
      </c>
      <c r="P162" s="3">
        <f t="shared" ca="1" si="13"/>
        <v>0.65479452054794518</v>
      </c>
      <c r="Q162" t="str" cm="1">
        <f t="array" ref="Q162:S162">_xlfn.TEXTSPLIT(J162,"/")</f>
        <v>11</v>
      </c>
      <c r="R162" s="1" t="str">
        <v>13</v>
      </c>
      <c r="S162" t="str">
        <v>2026</v>
      </c>
      <c r="T162" s="1">
        <f t="shared" si="14"/>
        <v>46339</v>
      </c>
      <c r="U162" s="19">
        <f t="shared" si="15"/>
        <v>3.6899999999999977</v>
      </c>
      <c r="V162" s="17">
        <f ca="1">(LN(N162/G162)+(L162/100)^2*P162/2)/(L162/100*SQRT(P162))</f>
        <v>1.5470765018915793</v>
      </c>
      <c r="W162" s="17">
        <f ca="1">V162-L162/100*SQRT(P162)</f>
        <v>1.0375207257140548</v>
      </c>
      <c r="X162" s="17">
        <f ca="1">(LN(N162/G162)+P162*(U162/100+(L162/100)^2/2))/((L162/100*SQRT(P162)))</f>
        <v>1.5944941133441897</v>
      </c>
      <c r="Y162" s="17">
        <f ca="1">X162-N162/100*SQRT(R162)</f>
        <v>0.96759691307926587</v>
      </c>
      <c r="Z162" s="20">
        <f ca="1">EXP(-P162)/(N162*L162/100*SQRT(P162))*_xlfn.NORM.S.DIST(X162,FALSE)</f>
        <v>6.5620932554200017E-3</v>
      </c>
      <c r="AA162" s="17">
        <f t="shared" ca="1" si="11"/>
        <v>8.1796732122744881E-3</v>
      </c>
      <c r="AB162" s="17"/>
      <c r="AC162" s="17"/>
      <c r="AD162" s="17"/>
    </row>
    <row r="163" spans="1:30" x14ac:dyDescent="0.25">
      <c r="A163" t="s">
        <v>106</v>
      </c>
      <c r="B163" t="s">
        <v>107</v>
      </c>
      <c r="C163" t="s">
        <v>108</v>
      </c>
      <c r="D163">
        <v>46034</v>
      </c>
      <c r="E163" t="s">
        <v>107</v>
      </c>
      <c r="F163" t="s">
        <v>109</v>
      </c>
      <c r="G163">
        <v>9.5</v>
      </c>
      <c r="H163">
        <v>8.2629999999999999</v>
      </c>
      <c r="I163">
        <v>0.49199999999999999</v>
      </c>
      <c r="J163" t="s">
        <v>65</v>
      </c>
      <c r="K163">
        <v>4172</v>
      </c>
      <c r="L163">
        <v>62.995600000000003</v>
      </c>
      <c r="M163">
        <v>0.92459999999999998</v>
      </c>
      <c r="N163">
        <f>INDEX(jkm!$H:$H,MATCH(J163,jkm!$J:$J,0),1)</f>
        <v>17.387</v>
      </c>
      <c r="O163" s="3">
        <f t="shared" ca="1" si="12"/>
        <v>239</v>
      </c>
      <c r="P163" s="3">
        <f t="shared" ca="1" si="13"/>
        <v>0.65479452054794518</v>
      </c>
      <c r="Q163" t="str" cm="1">
        <f t="array" ref="Q163:S163">_xlfn.TEXTSPLIT(J163,"/")</f>
        <v>11</v>
      </c>
      <c r="R163" s="1" t="str">
        <v>13</v>
      </c>
      <c r="S163" t="str">
        <v>2026</v>
      </c>
      <c r="T163" s="1">
        <f t="shared" si="14"/>
        <v>46339</v>
      </c>
      <c r="U163" s="19">
        <f t="shared" si="15"/>
        <v>3.6899999999999977</v>
      </c>
      <c r="V163" s="17">
        <f ca="1">(LN(N163/G163)+(L163/100)^2*P163/2)/(L163/100*SQRT(P163))</f>
        <v>1.4406032828054023</v>
      </c>
      <c r="W163" s="17">
        <f ca="1">V163-L163/100*SQRT(P163)</f>
        <v>0.93084682657856588</v>
      </c>
      <c r="X163" s="17">
        <f ca="1">(LN(N163/G163)+P163*(U163/100+(L163/100)^2/2))/((L163/100*SQRT(P163)))</f>
        <v>1.4880022269738842</v>
      </c>
      <c r="Y163" s="17">
        <f ca="1">X163-N163/100*SQRT(R163)</f>
        <v>0.86110502670896039</v>
      </c>
      <c r="Z163" s="20">
        <f ca="1">EXP(-P163)/(N163*L163/100*SQRT(P163))*_xlfn.NORM.S.DIST(X163,FALSE)</f>
        <v>7.7295165227584117E-3</v>
      </c>
      <c r="AA163" s="17">
        <f t="shared" ca="1" si="11"/>
        <v>9.6386651124513566E-3</v>
      </c>
      <c r="AB163" s="17"/>
      <c r="AC163" s="17"/>
      <c r="AD163" s="17"/>
    </row>
    <row r="164" spans="1:30" x14ac:dyDescent="0.25">
      <c r="A164" t="s">
        <v>106</v>
      </c>
      <c r="B164" t="s">
        <v>107</v>
      </c>
      <c r="C164" t="s">
        <v>108</v>
      </c>
      <c r="D164">
        <v>46034</v>
      </c>
      <c r="E164" t="s">
        <v>107</v>
      </c>
      <c r="F164" t="s">
        <v>109</v>
      </c>
      <c r="G164">
        <v>10</v>
      </c>
      <c r="H164">
        <v>7.859</v>
      </c>
      <c r="I164">
        <v>0.48299999999999998</v>
      </c>
      <c r="J164" t="s">
        <v>65</v>
      </c>
      <c r="K164">
        <v>4172</v>
      </c>
      <c r="L164">
        <v>63.020299999999999</v>
      </c>
      <c r="M164">
        <v>0.90925999999999996</v>
      </c>
      <c r="N164">
        <f>INDEX(jkm!$H:$H,MATCH(J164,jkm!$J:$J,0),1)</f>
        <v>17.387</v>
      </c>
      <c r="O164" s="3">
        <f t="shared" ca="1" si="12"/>
        <v>239</v>
      </c>
      <c r="P164" s="3">
        <f t="shared" ca="1" si="13"/>
        <v>0.65479452054794518</v>
      </c>
      <c r="Q164" t="str" cm="1">
        <f t="array" ref="Q164:S164">_xlfn.TEXTSPLIT(J164,"/")</f>
        <v>11</v>
      </c>
      <c r="R164" s="1" t="str">
        <v>13</v>
      </c>
      <c r="S164" t="str">
        <v>2026</v>
      </c>
      <c r="T164" s="1">
        <f t="shared" si="14"/>
        <v>46339</v>
      </c>
      <c r="U164" s="19">
        <f t="shared" si="15"/>
        <v>3.6899999999999977</v>
      </c>
      <c r="V164" s="17">
        <f ca="1">(LN(N164/G164)+(L164/100)^2*P164/2)/(L164/100*SQRT(P164))</f>
        <v>1.3396547881381708</v>
      </c>
      <c r="W164" s="17">
        <f ca="1">V164-L164/100*SQRT(P164)</f>
        <v>0.82969846105577005</v>
      </c>
      <c r="X164" s="17">
        <f ca="1">(LN(N164/G164)+P164*(U164/100+(L164/100)^2/2))/((L164/100*SQRT(P164)))</f>
        <v>1.3870351548971365</v>
      </c>
      <c r="Y164" s="17">
        <f ca="1">X164-N164/100*SQRT(R164)</f>
        <v>0.76013795463221268</v>
      </c>
      <c r="Z164" s="20">
        <f ca="1">EXP(-P164)/(N164*L164/100*SQRT(P164))*_xlfn.NORM.S.DIST(X164,FALSE)</f>
        <v>8.9333936824664856E-3</v>
      </c>
      <c r="AA164" s="17">
        <f t="shared" ca="1" si="11"/>
        <v>1.114426124097549E-2</v>
      </c>
      <c r="AB164" s="17"/>
      <c r="AC164" s="17"/>
      <c r="AD164" s="17"/>
    </row>
    <row r="165" spans="1:30" x14ac:dyDescent="0.25">
      <c r="A165" t="s">
        <v>106</v>
      </c>
      <c r="B165" t="s">
        <v>107</v>
      </c>
      <c r="C165" t="s">
        <v>108</v>
      </c>
      <c r="D165">
        <v>46034</v>
      </c>
      <c r="E165" t="s">
        <v>107</v>
      </c>
      <c r="F165" t="s">
        <v>109</v>
      </c>
      <c r="G165">
        <v>10.5</v>
      </c>
      <c r="H165">
        <v>7.4690000000000003</v>
      </c>
      <c r="I165">
        <v>0.47299999999999998</v>
      </c>
      <c r="J165" t="s">
        <v>65</v>
      </c>
      <c r="K165">
        <v>4172</v>
      </c>
      <c r="L165">
        <v>63.045099999999998</v>
      </c>
      <c r="M165">
        <v>0.89263000000000003</v>
      </c>
      <c r="N165">
        <f>INDEX(jkm!$H:$H,MATCH(J165,jkm!$J:$J,0),1)</f>
        <v>17.387</v>
      </c>
      <c r="O165" s="3">
        <f t="shared" ca="1" si="12"/>
        <v>239</v>
      </c>
      <c r="P165" s="3">
        <f t="shared" ca="1" si="13"/>
        <v>0.65479452054794518</v>
      </c>
      <c r="Q165" t="str" cm="1">
        <f t="array" ref="Q165:S165">_xlfn.TEXTSPLIT(J165,"/")</f>
        <v>11</v>
      </c>
      <c r="R165" s="1" t="str">
        <v>13</v>
      </c>
      <c r="S165" t="str">
        <v>2026</v>
      </c>
      <c r="T165" s="1">
        <f t="shared" si="14"/>
        <v>46339</v>
      </c>
      <c r="U165" s="19">
        <f t="shared" si="15"/>
        <v>3.6899999999999977</v>
      </c>
      <c r="V165" s="17">
        <f ca="1">(LN(N165/G165)+(L165/100)^2*P165/2)/(L165/100*SQRT(P165))</f>
        <v>1.243690903928246</v>
      </c>
      <c r="W165" s="17">
        <f ca="1">V165-L165/100*SQRT(P165)</f>
        <v>0.73353389679653336</v>
      </c>
      <c r="X165" s="17">
        <f ca="1">(LN(N165/G165)+P165*(U165/100+(L165/100)^2/2))/((L165/100*SQRT(P165)))</f>
        <v>1.2910526327106577</v>
      </c>
      <c r="Y165" s="17">
        <f ca="1">X165-N165/100*SQRT(R165)</f>
        <v>0.66415543244573394</v>
      </c>
      <c r="Z165" s="20">
        <f ca="1">EXP(-P165)/(N165*L165/100*SQRT(P165))*_xlfn.NORM.S.DIST(X165,FALSE)</f>
        <v>1.0154609273155528E-2</v>
      </c>
      <c r="AA165" s="17">
        <f t="shared" ca="1" si="11"/>
        <v>1.267269259029522E-2</v>
      </c>
      <c r="AB165" s="17"/>
      <c r="AC165" s="17"/>
      <c r="AD165" s="17"/>
    </row>
    <row r="166" spans="1:30" x14ac:dyDescent="0.25">
      <c r="A166" t="s">
        <v>106</v>
      </c>
      <c r="B166" t="s">
        <v>107</v>
      </c>
      <c r="C166" t="s">
        <v>108</v>
      </c>
      <c r="D166">
        <v>46034</v>
      </c>
      <c r="E166" t="s">
        <v>107</v>
      </c>
      <c r="F166" t="s">
        <v>109</v>
      </c>
      <c r="G166">
        <v>11</v>
      </c>
      <c r="H166">
        <v>7.093</v>
      </c>
      <c r="I166">
        <v>0.46200000000000002</v>
      </c>
      <c r="J166" t="s">
        <v>65</v>
      </c>
      <c r="K166">
        <v>4172</v>
      </c>
      <c r="L166">
        <v>63.069800000000001</v>
      </c>
      <c r="M166">
        <v>0.87483999999999995</v>
      </c>
      <c r="N166">
        <f>INDEX(jkm!$H:$H,MATCH(J166,jkm!$J:$J,0),1)</f>
        <v>17.387</v>
      </c>
      <c r="O166" s="3">
        <f t="shared" ca="1" si="12"/>
        <v>239</v>
      </c>
      <c r="P166" s="3">
        <f t="shared" ca="1" si="13"/>
        <v>0.65479452054794518</v>
      </c>
      <c r="Q166" t="str" cm="1">
        <f t="array" ref="Q166:S166">_xlfn.TEXTSPLIT(J166,"/")</f>
        <v>11</v>
      </c>
      <c r="R166" s="1" t="str">
        <v>13</v>
      </c>
      <c r="S166" t="str">
        <v>2026</v>
      </c>
      <c r="T166" s="1">
        <f t="shared" si="14"/>
        <v>46339</v>
      </c>
      <c r="U166" s="19">
        <f t="shared" si="15"/>
        <v>3.6899999999999977</v>
      </c>
      <c r="V166" s="17">
        <f ca="1">(LN(N166/G166)+(L166/100)^2*P166/2)/(L166/100*SQRT(P166))</f>
        <v>1.1522517370999401</v>
      </c>
      <c r="W166" s="17">
        <f ca="1">V166-L166/100*SQRT(P166)</f>
        <v>0.64189485911266286</v>
      </c>
      <c r="X166" s="17">
        <f ca="1">(LN(N166/G166)+P166*(U166/100+(L166/100)^2/2))/((L166/100*SQRT(P166)))</f>
        <v>1.199594917627864</v>
      </c>
      <c r="Y166" s="17">
        <f ca="1">X166-N166/100*SQRT(R166)</f>
        <v>0.57269771736294017</v>
      </c>
      <c r="Z166" s="20">
        <f ca="1">EXP(-P166)/(N166*L166/100*SQRT(P166))*_xlfn.NORM.S.DIST(X166,FALSE)</f>
        <v>1.1375142346165925E-2</v>
      </c>
      <c r="AA166" s="17">
        <f t="shared" ca="1" si="11"/>
        <v>1.4201448348260155E-2</v>
      </c>
      <c r="AB166" s="17"/>
      <c r="AC166" s="17"/>
      <c r="AD166" s="17"/>
    </row>
    <row r="167" spans="1:30" x14ac:dyDescent="0.25">
      <c r="A167" t="s">
        <v>106</v>
      </c>
      <c r="B167" t="s">
        <v>107</v>
      </c>
      <c r="C167" t="s">
        <v>108</v>
      </c>
      <c r="D167">
        <v>46034</v>
      </c>
      <c r="E167" t="s">
        <v>107</v>
      </c>
      <c r="F167" t="s">
        <v>109</v>
      </c>
      <c r="G167">
        <v>13</v>
      </c>
      <c r="H167">
        <v>5.7370000000000001</v>
      </c>
      <c r="I167">
        <v>0.41599999999999998</v>
      </c>
      <c r="J167" t="s">
        <v>65</v>
      </c>
      <c r="K167">
        <v>4172</v>
      </c>
      <c r="L167">
        <v>63.168900000000001</v>
      </c>
      <c r="M167">
        <v>0.79478000000000004</v>
      </c>
      <c r="N167">
        <f>INDEX(jkm!$H:$H,MATCH(J167,jkm!$J:$J,0),1)</f>
        <v>17.387</v>
      </c>
      <c r="O167" s="3">
        <f t="shared" ca="1" si="12"/>
        <v>239</v>
      </c>
      <c r="P167" s="3">
        <f t="shared" ca="1" si="13"/>
        <v>0.65479452054794518</v>
      </c>
      <c r="Q167" t="str" cm="1">
        <f t="array" ref="Q167:S167">_xlfn.TEXTSPLIT(J167,"/")</f>
        <v>11</v>
      </c>
      <c r="R167" s="1" t="str">
        <v>13</v>
      </c>
      <c r="S167" t="str">
        <v>2026</v>
      </c>
      <c r="T167" s="1">
        <f t="shared" si="14"/>
        <v>46339</v>
      </c>
      <c r="U167" s="19">
        <f t="shared" si="15"/>
        <v>3.6899999999999977</v>
      </c>
      <c r="V167" s="17">
        <f ca="1">(LN(N167/G167)+(L167/100)^2*P167/2)/(L167/100*SQRT(P167))</f>
        <v>0.82443089298612948</v>
      </c>
      <c r="W167" s="17">
        <f ca="1">V167-L167/100*SQRT(P167)</f>
        <v>0.31327210399535232</v>
      </c>
      <c r="X167" s="17">
        <f ca="1">(LN(N167/G167)+P167*(U167/100+(L167/100)^2/2))/((L167/100*SQRT(P167)))</f>
        <v>0.87169980106051481</v>
      </c>
      <c r="Y167" s="17">
        <f ca="1">X167-N167/100*SQRT(R167)</f>
        <v>0.24480260079559102</v>
      </c>
      <c r="Z167" s="20">
        <f ca="1">EXP(-P167)/(N167*L167/100*SQRT(P167))*_xlfn.NORM.S.DIST(X167,FALSE)</f>
        <v>1.5949765843792034E-2</v>
      </c>
      <c r="AA167" s="17">
        <f t="shared" ca="1" si="11"/>
        <v>1.9943986461137118E-2</v>
      </c>
      <c r="AB167" s="17"/>
      <c r="AC167" s="17"/>
      <c r="AD167" s="17"/>
    </row>
    <row r="168" spans="1:30" x14ac:dyDescent="0.25">
      <c r="A168" t="s">
        <v>106</v>
      </c>
      <c r="B168" t="s">
        <v>107</v>
      </c>
      <c r="C168" t="s">
        <v>108</v>
      </c>
      <c r="D168">
        <v>46034</v>
      </c>
      <c r="E168" t="s">
        <v>107</v>
      </c>
      <c r="F168" t="s">
        <v>109</v>
      </c>
      <c r="G168">
        <v>15</v>
      </c>
      <c r="H168">
        <v>4.6210000000000004</v>
      </c>
      <c r="I168">
        <v>0.36099999999999999</v>
      </c>
      <c r="J168" t="s">
        <v>65</v>
      </c>
      <c r="K168">
        <v>4172</v>
      </c>
      <c r="L168">
        <v>63.495399999999997</v>
      </c>
      <c r="M168">
        <v>0.70684999999999998</v>
      </c>
      <c r="N168">
        <f>INDEX(jkm!$H:$H,MATCH(J168,jkm!$J:$J,0),1)</f>
        <v>17.387</v>
      </c>
      <c r="O168" s="3">
        <f t="shared" ca="1" si="12"/>
        <v>239</v>
      </c>
      <c r="P168" s="3">
        <f t="shared" ca="1" si="13"/>
        <v>0.65479452054794518</v>
      </c>
      <c r="Q168" t="str" cm="1">
        <f t="array" ref="Q168:S168">_xlfn.TEXTSPLIT(J168,"/")</f>
        <v>11</v>
      </c>
      <c r="R168" s="1" t="str">
        <v>13</v>
      </c>
      <c r="S168" t="str">
        <v>2026</v>
      </c>
      <c r="T168" s="1">
        <f t="shared" si="14"/>
        <v>46339</v>
      </c>
      <c r="U168" s="19">
        <f t="shared" si="15"/>
        <v>3.6899999999999977</v>
      </c>
      <c r="V168" s="17">
        <f ca="1">(LN(N168/G168)+(L168/100)^2*P168/2)/(L168/100*SQRT(P168))</f>
        <v>0.5443125629293174</v>
      </c>
      <c r="W168" s="17">
        <f ca="1">V168-L168/100*SQRT(P168)</f>
        <v>3.0511756353850839E-2</v>
      </c>
      <c r="X168" s="17">
        <f ca="1">(LN(N168/G168)+P168*(U168/100+(L168/100)^2/2))/((L168/100*SQRT(P168)))</f>
        <v>0.5913384093254348</v>
      </c>
      <c r="Y168" s="17">
        <f ca="1">X168-N168/100*SQRT(R168)</f>
        <v>-3.5558790939488993E-2</v>
      </c>
      <c r="Z168" s="20">
        <f ca="1">EXP(-P168)/(N168*L168/100*SQRT(P168))*_xlfn.NORM.S.DIST(X168,FALSE)</f>
        <v>1.9479808975800216E-2</v>
      </c>
      <c r="AA168" s="17">
        <f t="shared" ca="1" si="11"/>
        <v>2.4483939740077815E-2</v>
      </c>
      <c r="AB168" s="17"/>
      <c r="AC168" s="17"/>
      <c r="AD168" s="17"/>
    </row>
    <row r="169" spans="1:30" x14ac:dyDescent="0.25">
      <c r="A169" t="s">
        <v>106</v>
      </c>
      <c r="B169" t="s">
        <v>107</v>
      </c>
      <c r="C169" t="s">
        <v>108</v>
      </c>
      <c r="D169">
        <v>46034</v>
      </c>
      <c r="E169" t="s">
        <v>107</v>
      </c>
      <c r="F169" t="s">
        <v>109</v>
      </c>
      <c r="G169">
        <v>16.5</v>
      </c>
      <c r="H169">
        <v>3.9350000000000001</v>
      </c>
      <c r="I169">
        <v>0.32300000000000001</v>
      </c>
      <c r="J169" t="s">
        <v>65</v>
      </c>
      <c r="K169">
        <v>4172</v>
      </c>
      <c r="L169">
        <v>63.959699999999998</v>
      </c>
      <c r="M169">
        <v>0.64080999999999999</v>
      </c>
      <c r="N169">
        <f>INDEX(jkm!$H:$H,MATCH(J169,jkm!$J:$J,0),1)</f>
        <v>17.387</v>
      </c>
      <c r="O169" s="3">
        <f t="shared" ca="1" si="12"/>
        <v>239</v>
      </c>
      <c r="P169" s="3">
        <f t="shared" ca="1" si="13"/>
        <v>0.65479452054794518</v>
      </c>
      <c r="Q169" t="str" cm="1">
        <f t="array" ref="Q169:S169">_xlfn.TEXTSPLIT(J169,"/")</f>
        <v>11</v>
      </c>
      <c r="R169" s="1" t="str">
        <v>13</v>
      </c>
      <c r="S169" t="str">
        <v>2026</v>
      </c>
      <c r="T169" s="1">
        <f t="shared" si="14"/>
        <v>46339</v>
      </c>
      <c r="U169" s="19">
        <f t="shared" si="15"/>
        <v>3.6899999999999977</v>
      </c>
      <c r="V169" s="17">
        <f ca="1">(LN(N169/G169)+(L169/100)^2*P169/2)/(L169/100*SQRT(P169))</f>
        <v>0.3599510479595498</v>
      </c>
      <c r="W169" s="17">
        <f ca="1">V169-L169/100*SQRT(P169)</f>
        <v>-0.15760684518428214</v>
      </c>
      <c r="X169" s="17">
        <f ca="1">(LN(N169/G169)+P169*(U169/100+(L169/100)^2/2))/((L169/100*SQRT(P169)))</f>
        <v>0.40663552157746918</v>
      </c>
      <c r="Y169" s="17">
        <f ca="1">X169-N169/100*SQRT(R169)</f>
        <v>-0.22026167868745461</v>
      </c>
      <c r="Z169" s="20">
        <f ca="1">EXP(-P169)/(N169*L169/100*SQRT(P169))*_xlfn.NORM.S.DIST(X169,FALSE)</f>
        <v>2.1205425956394314E-2</v>
      </c>
      <c r="AA169" s="17">
        <f t="shared" ca="1" si="11"/>
        <v>2.6847741856982819E-2</v>
      </c>
      <c r="AB169" s="17"/>
      <c r="AC169" s="17"/>
      <c r="AD169" s="17"/>
    </row>
    <row r="170" spans="1:30" x14ac:dyDescent="0.25">
      <c r="A170" t="s">
        <v>106</v>
      </c>
      <c r="B170" t="s">
        <v>107</v>
      </c>
      <c r="C170" t="s">
        <v>108</v>
      </c>
      <c r="D170">
        <v>46034</v>
      </c>
      <c r="E170" t="s">
        <v>107</v>
      </c>
      <c r="F170" t="s">
        <v>109</v>
      </c>
      <c r="G170">
        <v>20</v>
      </c>
      <c r="H170">
        <v>2.7170000000000001</v>
      </c>
      <c r="I170">
        <v>0.246</v>
      </c>
      <c r="J170" t="s">
        <v>65</v>
      </c>
      <c r="K170">
        <v>4172</v>
      </c>
      <c r="L170">
        <v>64.945499999999996</v>
      </c>
      <c r="M170">
        <v>0.49942999999999999</v>
      </c>
      <c r="N170">
        <f>INDEX(jkm!$H:$H,MATCH(J170,jkm!$J:$J,0),1)</f>
        <v>17.387</v>
      </c>
      <c r="O170" s="3">
        <f t="shared" ca="1" si="12"/>
        <v>239</v>
      </c>
      <c r="P170" s="3">
        <f t="shared" ca="1" si="13"/>
        <v>0.65479452054794518</v>
      </c>
      <c r="Q170" t="str" cm="1">
        <f t="array" ref="Q170:S170">_xlfn.TEXTSPLIT(J170,"/")</f>
        <v>11</v>
      </c>
      <c r="R170" s="1" t="str">
        <v>13</v>
      </c>
      <c r="S170" t="str">
        <v>2026</v>
      </c>
      <c r="T170" s="1">
        <f t="shared" si="14"/>
        <v>46339</v>
      </c>
      <c r="U170" s="19">
        <f t="shared" si="15"/>
        <v>3.6899999999999977</v>
      </c>
      <c r="V170" s="17">
        <f ca="1">(LN(N170/G170)+(L170/100)^2*P170/2)/(L170/100*SQRT(P170))</f>
        <v>-3.6457981473611185E-3</v>
      </c>
      <c r="W170" s="17">
        <f ca="1">V170-L170/100*SQRT(P170)</f>
        <v>-0.52918072325133658</v>
      </c>
      <c r="X170" s="17">
        <f ca="1">(LN(N170/G170)+P170*(U170/100+(L170/100)^2/2))/((L170/100*SQRT(P170)))</f>
        <v>4.2330057412455012E-2</v>
      </c>
      <c r="Y170" s="17">
        <f ca="1">X170-N170/100*SQRT(R170)</f>
        <v>-0.5845671428524688</v>
      </c>
      <c r="Z170" s="20">
        <f ca="1">EXP(-P170)/(N170*L170/100*SQRT(P170))*_xlfn.NORM.S.DIST(X170,FALSE)</f>
        <v>2.2663192619291672E-2</v>
      </c>
      <c r="AA170" s="17">
        <f t="shared" ca="1" si="11"/>
        <v>2.9135635775939583E-2</v>
      </c>
      <c r="AB170" s="17"/>
      <c r="AC170" s="17"/>
      <c r="AD170" s="17"/>
    </row>
    <row r="171" spans="1:30" x14ac:dyDescent="0.25">
      <c r="A171" t="s">
        <v>106</v>
      </c>
      <c r="B171" t="s">
        <v>107</v>
      </c>
      <c r="C171" t="s">
        <v>108</v>
      </c>
      <c r="D171">
        <v>46034</v>
      </c>
      <c r="E171" t="s">
        <v>107</v>
      </c>
      <c r="F171" t="s">
        <v>109</v>
      </c>
      <c r="G171">
        <v>25</v>
      </c>
      <c r="H171">
        <v>1.581</v>
      </c>
      <c r="I171">
        <v>0.16800000000000001</v>
      </c>
      <c r="J171" t="s">
        <v>65</v>
      </c>
      <c r="K171">
        <v>4172</v>
      </c>
      <c r="L171">
        <v>65.1066</v>
      </c>
      <c r="M171">
        <v>0.33654000000000001</v>
      </c>
      <c r="N171">
        <f>INDEX(jkm!$H:$H,MATCH(J171,jkm!$J:$J,0),1)</f>
        <v>17.387</v>
      </c>
      <c r="O171" s="3">
        <f t="shared" ca="1" si="12"/>
        <v>239</v>
      </c>
      <c r="P171" s="3">
        <f t="shared" ca="1" si="13"/>
        <v>0.65479452054794518</v>
      </c>
      <c r="Q171" t="str" cm="1">
        <f t="array" ref="Q171:S171">_xlfn.TEXTSPLIT(J171,"/")</f>
        <v>11</v>
      </c>
      <c r="R171" s="1" t="str">
        <v>13</v>
      </c>
      <c r="S171" t="str">
        <v>2026</v>
      </c>
      <c r="T171" s="1">
        <f t="shared" si="14"/>
        <v>46339</v>
      </c>
      <c r="U171" s="19">
        <f t="shared" si="15"/>
        <v>3.6899999999999977</v>
      </c>
      <c r="V171" s="17">
        <f ca="1">(LN(N171/G171)+(L171/100)^2*P171/2)/(L171/100*SQRT(P171))</f>
        <v>-0.42588684627919915</v>
      </c>
      <c r="W171" s="17">
        <f ca="1">V171-L171/100*SQRT(P171)</f>
        <v>-0.95272538250995409</v>
      </c>
      <c r="X171" s="17">
        <f ca="1">(LN(N171/G171)+P171*(U171/100+(L171/100)^2/2))/((L171/100*SQRT(P171)))</f>
        <v>-0.38002475353806325</v>
      </c>
      <c r="Y171" s="17">
        <f ca="1">X171-N171/100*SQRT(R171)</f>
        <v>-1.006921953802987</v>
      </c>
      <c r="Z171" s="20">
        <f ca="1">EXP(-P171)/(N171*L171/100*SQRT(P171))*_xlfn.NORM.S.DIST(X171,FALSE)</f>
        <v>2.1051065539110951E-2</v>
      </c>
      <c r="AA171" s="17">
        <f t="shared" ca="1" si="11"/>
        <v>2.713022804596938E-2</v>
      </c>
      <c r="AB171" s="17"/>
      <c r="AC171" s="17"/>
      <c r="AD171" s="17"/>
    </row>
    <row r="172" spans="1:30" x14ac:dyDescent="0.25">
      <c r="A172" t="s">
        <v>106</v>
      </c>
      <c r="B172" t="s">
        <v>107</v>
      </c>
      <c r="C172" t="s">
        <v>108</v>
      </c>
      <c r="D172">
        <v>46034</v>
      </c>
      <c r="E172" t="s">
        <v>107</v>
      </c>
      <c r="F172" t="s">
        <v>110</v>
      </c>
      <c r="G172">
        <v>5</v>
      </c>
      <c r="H172">
        <v>1.0999999999999999E-2</v>
      </c>
      <c r="I172">
        <v>-2E-3</v>
      </c>
      <c r="J172" t="s">
        <v>65</v>
      </c>
      <c r="K172">
        <v>4172</v>
      </c>
      <c r="L172">
        <v>62.772500000000001</v>
      </c>
      <c r="M172">
        <v>-3.48E-3</v>
      </c>
      <c r="N172">
        <f>INDEX(jkm!$H:$H,MATCH(J172,jkm!$J:$J,0),1)</f>
        <v>17.387</v>
      </c>
      <c r="O172" s="3">
        <f t="shared" ca="1" si="12"/>
        <v>239</v>
      </c>
      <c r="P172" s="3">
        <f t="shared" ca="1" si="13"/>
        <v>0.65479452054794518</v>
      </c>
      <c r="Q172" t="str" cm="1">
        <f t="array" ref="Q172:S172">_xlfn.TEXTSPLIT(J172,"/")</f>
        <v>11</v>
      </c>
      <c r="R172" s="1" t="str">
        <v>13</v>
      </c>
      <c r="S172" t="str">
        <v>2026</v>
      </c>
      <c r="T172" s="1">
        <f t="shared" si="14"/>
        <v>46339</v>
      </c>
      <c r="U172" s="19">
        <f t="shared" si="15"/>
        <v>3.6899999999999977</v>
      </c>
      <c r="V172" s="17">
        <f ca="1">(LN(N172/G172)+(L172/100)^2*P172/2)/(L172/100*SQRT(P172))</f>
        <v>2.7075282427329461</v>
      </c>
      <c r="W172" s="17">
        <f ca="1">V172-L172/100*SQRT(P172)</f>
        <v>2.1995770977561686</v>
      </c>
      <c r="X172" s="17">
        <f ca="1">(LN(N172/G172)+P172*(U172/100+(L172/100)^2/2))/((L172/100*SQRT(P172)))</f>
        <v>2.7550956476835222</v>
      </c>
      <c r="Y172" s="17">
        <f ca="1">X172-N172/100*SQRT(R172)</f>
        <v>2.1281984474185984</v>
      </c>
      <c r="Z172" s="20">
        <f ca="1">EXP(-P172)/(N172*L172/100*SQRT(P172))*_xlfn.NORM.S.DIST(X172,FALSE)</f>
        <v>5.2749991122566422E-4</v>
      </c>
      <c r="AA172" s="17">
        <f t="shared" ca="1" si="11"/>
        <v>6.5545995069634852E-4</v>
      </c>
      <c r="AB172" s="17"/>
      <c r="AC172" s="17"/>
      <c r="AD172" s="17"/>
    </row>
    <row r="173" spans="1:30" x14ac:dyDescent="0.25">
      <c r="A173" t="s">
        <v>106</v>
      </c>
      <c r="B173" t="s">
        <v>107</v>
      </c>
      <c r="C173" t="s">
        <v>108</v>
      </c>
      <c r="D173">
        <v>46034</v>
      </c>
      <c r="E173" t="s">
        <v>107</v>
      </c>
      <c r="F173" t="s">
        <v>110</v>
      </c>
      <c r="G173">
        <v>8</v>
      </c>
      <c r="H173">
        <v>0.16600000000000001</v>
      </c>
      <c r="I173">
        <v>-2.3E-2</v>
      </c>
      <c r="J173" t="s">
        <v>65</v>
      </c>
      <c r="K173">
        <v>4172</v>
      </c>
      <c r="L173">
        <v>62.921199999999999</v>
      </c>
      <c r="M173">
        <v>-3.8039999999999997E-2</v>
      </c>
      <c r="N173">
        <f>INDEX(jkm!$H:$H,MATCH(J173,jkm!$J:$J,0),1)</f>
        <v>17.387</v>
      </c>
      <c r="O173" s="3">
        <f t="shared" ca="1" si="12"/>
        <v>239</v>
      </c>
      <c r="P173" s="3">
        <f t="shared" ca="1" si="13"/>
        <v>0.65479452054794518</v>
      </c>
      <c r="Q173" t="str" cm="1">
        <f t="array" ref="Q173:S173">_xlfn.TEXTSPLIT(J173,"/")</f>
        <v>11</v>
      </c>
      <c r="R173" s="1" t="str">
        <v>13</v>
      </c>
      <c r="S173" t="str">
        <v>2026</v>
      </c>
      <c r="T173" s="1">
        <f t="shared" si="14"/>
        <v>46339</v>
      </c>
      <c r="U173" s="19">
        <f t="shared" si="15"/>
        <v>3.6899999999999977</v>
      </c>
      <c r="V173" s="17">
        <f ca="1">(LN(N173/G173)+(L173/100)^2*P173/2)/(L173/100*SQRT(P173))</f>
        <v>1.7792252015580228</v>
      </c>
      <c r="W173" s="17">
        <f ca="1">V173-L173/100*SQRT(P173)</f>
        <v>1.2700707854791218</v>
      </c>
      <c r="X173" s="17">
        <f ca="1">(LN(N173/G173)+P173*(U173/100+(L173/100)^2/2))/((L173/100*SQRT(P173)))</f>
        <v>1.8266801917244537</v>
      </c>
      <c r="Y173" s="17">
        <f ca="1">X173-N173/100*SQRT(R173)</f>
        <v>1.1997829914595299</v>
      </c>
      <c r="Z173" s="20">
        <f ca="1">EXP(-P173)/(N173*L173/100*SQRT(P173))*_xlfn.NORM.S.DIST(X173,FALSE)</f>
        <v>4.4146259160196474E-3</v>
      </c>
      <c r="AA173" s="17">
        <f t="shared" ca="1" si="11"/>
        <v>5.4985129202447395E-3</v>
      </c>
      <c r="AB173" s="17"/>
      <c r="AC173" s="17"/>
      <c r="AD173" s="17"/>
    </row>
    <row r="174" spans="1:30" x14ac:dyDescent="0.25">
      <c r="A174" t="s">
        <v>106</v>
      </c>
      <c r="B174" t="s">
        <v>107</v>
      </c>
      <c r="C174" t="s">
        <v>108</v>
      </c>
      <c r="D174">
        <v>46034</v>
      </c>
      <c r="E174" t="s">
        <v>107</v>
      </c>
      <c r="F174" t="s">
        <v>110</v>
      </c>
      <c r="G174">
        <v>9</v>
      </c>
      <c r="H174">
        <v>0.29299999999999998</v>
      </c>
      <c r="I174">
        <v>-3.7999999999999999E-2</v>
      </c>
      <c r="J174" t="s">
        <v>65</v>
      </c>
      <c r="K174">
        <v>4172</v>
      </c>
      <c r="L174">
        <v>62.970799999999997</v>
      </c>
      <c r="M174">
        <v>-6.1440000000000002E-2</v>
      </c>
      <c r="N174">
        <f>INDEX(jkm!$H:$H,MATCH(J174,jkm!$J:$J,0),1)</f>
        <v>17.387</v>
      </c>
      <c r="O174" s="3">
        <f t="shared" ca="1" si="12"/>
        <v>239</v>
      </c>
      <c r="P174" s="3">
        <f t="shared" ca="1" si="13"/>
        <v>0.65479452054794518</v>
      </c>
      <c r="Q174" t="str" cm="1">
        <f t="array" ref="Q174:S174">_xlfn.TEXTSPLIT(J174,"/")</f>
        <v>11</v>
      </c>
      <c r="R174" s="1" t="str">
        <v>13</v>
      </c>
      <c r="S174" t="str">
        <v>2026</v>
      </c>
      <c r="T174" s="1">
        <f t="shared" si="14"/>
        <v>46339</v>
      </c>
      <c r="U174" s="19">
        <f t="shared" si="15"/>
        <v>3.6899999999999977</v>
      </c>
      <c r="V174" s="17">
        <f ca="1">(LN(N174/G174)+(L174/100)^2*P174/2)/(L174/100*SQRT(P174))</f>
        <v>1.5470765018915793</v>
      </c>
      <c r="W174" s="17">
        <f ca="1">V174-L174/100*SQRT(P174)</f>
        <v>1.0375207257140548</v>
      </c>
      <c r="X174" s="17">
        <f ca="1">(LN(N174/G174)+P174*(U174/100+(L174/100)^2/2))/((L174/100*SQRT(P174)))</f>
        <v>1.5944941133441897</v>
      </c>
      <c r="Y174" s="17">
        <f ca="1">X174-N174/100*SQRT(R174)</f>
        <v>0.96759691307926587</v>
      </c>
      <c r="Z174" s="20">
        <f ca="1">EXP(-P174)/(N174*L174/100*SQRT(P174))*_xlfn.NORM.S.DIST(X174,FALSE)</f>
        <v>6.5620932554200017E-3</v>
      </c>
      <c r="AA174" s="17">
        <f t="shared" ca="1" si="11"/>
        <v>8.1796732122744881E-3</v>
      </c>
      <c r="AB174" s="17"/>
      <c r="AC174" s="17"/>
      <c r="AD174" s="17"/>
    </row>
    <row r="175" spans="1:30" x14ac:dyDescent="0.25">
      <c r="A175" t="s">
        <v>106</v>
      </c>
      <c r="B175" t="s">
        <v>107</v>
      </c>
      <c r="C175" t="s">
        <v>108</v>
      </c>
      <c r="D175">
        <v>46034</v>
      </c>
      <c r="E175" t="s">
        <v>107</v>
      </c>
      <c r="F175" t="s">
        <v>110</v>
      </c>
      <c r="G175">
        <v>9.5</v>
      </c>
      <c r="H175">
        <v>0.376</v>
      </c>
      <c r="I175">
        <v>-4.5999999999999999E-2</v>
      </c>
      <c r="J175" t="s">
        <v>65</v>
      </c>
      <c r="K175">
        <v>4172</v>
      </c>
      <c r="L175">
        <v>62.995600000000003</v>
      </c>
      <c r="M175">
        <v>-7.5399999999999995E-2</v>
      </c>
      <c r="N175">
        <f>INDEX(jkm!$H:$H,MATCH(J175,jkm!$J:$J,0),1)</f>
        <v>17.387</v>
      </c>
      <c r="O175" s="3">
        <f t="shared" ca="1" si="12"/>
        <v>239</v>
      </c>
      <c r="P175" s="3">
        <f t="shared" ca="1" si="13"/>
        <v>0.65479452054794518</v>
      </c>
      <c r="Q175" t="str" cm="1">
        <f t="array" ref="Q175:S175">_xlfn.TEXTSPLIT(J175,"/")</f>
        <v>11</v>
      </c>
      <c r="R175" s="1" t="str">
        <v>13</v>
      </c>
      <c r="S175" t="str">
        <v>2026</v>
      </c>
      <c r="T175" s="1">
        <f t="shared" si="14"/>
        <v>46339</v>
      </c>
      <c r="U175" s="19">
        <f t="shared" si="15"/>
        <v>3.6899999999999977</v>
      </c>
      <c r="V175" s="17">
        <f ca="1">(LN(N175/G175)+(L175/100)^2*P175/2)/(L175/100*SQRT(P175))</f>
        <v>1.4406032828054023</v>
      </c>
      <c r="W175" s="17">
        <f ca="1">V175-L175/100*SQRT(P175)</f>
        <v>0.93084682657856588</v>
      </c>
      <c r="X175" s="17">
        <f ca="1">(LN(N175/G175)+P175*(U175/100+(L175/100)^2/2))/((L175/100*SQRT(P175)))</f>
        <v>1.4880022269738842</v>
      </c>
      <c r="Y175" s="17">
        <f ca="1">X175-N175/100*SQRT(R175)</f>
        <v>0.86110502670896039</v>
      </c>
      <c r="Z175" s="20">
        <f ca="1">EXP(-P175)/(N175*L175/100*SQRT(P175))*_xlfn.NORM.S.DIST(X175,FALSE)</f>
        <v>7.7295165227584117E-3</v>
      </c>
      <c r="AA175" s="17">
        <f t="shared" ca="1" si="11"/>
        <v>9.6386651124513566E-3</v>
      </c>
      <c r="AB175" s="17"/>
      <c r="AC175" s="17"/>
      <c r="AD175" s="17"/>
    </row>
    <row r="176" spans="1:30" x14ac:dyDescent="0.25">
      <c r="A176" t="s">
        <v>106</v>
      </c>
      <c r="B176" t="s">
        <v>107</v>
      </c>
      <c r="C176" t="s">
        <v>108</v>
      </c>
      <c r="D176">
        <v>46034</v>
      </c>
      <c r="E176" t="s">
        <v>107</v>
      </c>
      <c r="F176" t="s">
        <v>110</v>
      </c>
      <c r="G176">
        <v>10</v>
      </c>
      <c r="H176">
        <v>0.47199999999999998</v>
      </c>
      <c r="I176">
        <v>-5.5E-2</v>
      </c>
      <c r="J176" t="s">
        <v>65</v>
      </c>
      <c r="K176">
        <v>4172</v>
      </c>
      <c r="L176">
        <v>63.020299999999999</v>
      </c>
      <c r="M176">
        <v>-9.0740000000000001E-2</v>
      </c>
      <c r="N176">
        <f>INDEX(jkm!$H:$H,MATCH(J176,jkm!$J:$J,0),1)</f>
        <v>17.387</v>
      </c>
      <c r="O176" s="3">
        <f t="shared" ca="1" si="12"/>
        <v>239</v>
      </c>
      <c r="P176" s="3">
        <f t="shared" ca="1" si="13"/>
        <v>0.65479452054794518</v>
      </c>
      <c r="Q176" t="str" cm="1">
        <f t="array" ref="Q176:S176">_xlfn.TEXTSPLIT(J176,"/")</f>
        <v>11</v>
      </c>
      <c r="R176" s="1" t="str">
        <v>13</v>
      </c>
      <c r="S176" t="str">
        <v>2026</v>
      </c>
      <c r="T176" s="1">
        <f t="shared" si="14"/>
        <v>46339</v>
      </c>
      <c r="U176" s="19">
        <f t="shared" si="15"/>
        <v>3.6899999999999977</v>
      </c>
      <c r="V176" s="17">
        <f ca="1">(LN(N176/G176)+(L176/100)^2*P176/2)/(L176/100*SQRT(P176))</f>
        <v>1.3396547881381708</v>
      </c>
      <c r="W176" s="17">
        <f ca="1">V176-L176/100*SQRT(P176)</f>
        <v>0.82969846105577005</v>
      </c>
      <c r="X176" s="17">
        <f ca="1">(LN(N176/G176)+P176*(U176/100+(L176/100)^2/2))/((L176/100*SQRT(P176)))</f>
        <v>1.3870351548971365</v>
      </c>
      <c r="Y176" s="17">
        <f ca="1">X176-N176/100*SQRT(R176)</f>
        <v>0.76013795463221268</v>
      </c>
      <c r="Z176" s="20">
        <f ca="1">EXP(-P176)/(N176*L176/100*SQRT(P176))*_xlfn.NORM.S.DIST(X176,FALSE)</f>
        <v>8.9333936824664856E-3</v>
      </c>
      <c r="AA176" s="17">
        <f t="shared" ref="AA176:AA239" ca="1" si="16">(N176*EXP(-P176)*SQRT(P176)*_xlfn.NORM.S.DIST(X176,FALSE))/100</f>
        <v>1.114426124097549E-2</v>
      </c>
      <c r="AB176" s="17"/>
      <c r="AC176" s="17"/>
      <c r="AD176" s="17"/>
    </row>
    <row r="177" spans="1:30" x14ac:dyDescent="0.25">
      <c r="A177" t="s">
        <v>106</v>
      </c>
      <c r="B177" t="s">
        <v>107</v>
      </c>
      <c r="C177" t="s">
        <v>108</v>
      </c>
      <c r="D177">
        <v>46034</v>
      </c>
      <c r="E177" t="s">
        <v>107</v>
      </c>
      <c r="F177" t="s">
        <v>110</v>
      </c>
      <c r="G177">
        <v>10.5</v>
      </c>
      <c r="H177">
        <v>0.58199999999999996</v>
      </c>
      <c r="I177">
        <v>-6.5000000000000002E-2</v>
      </c>
      <c r="J177" t="s">
        <v>65</v>
      </c>
      <c r="K177">
        <v>4172</v>
      </c>
      <c r="L177">
        <v>63.045099999999998</v>
      </c>
      <c r="M177">
        <v>-0.10736999999999999</v>
      </c>
      <c r="N177">
        <f>INDEX(jkm!$H:$H,MATCH(J177,jkm!$J:$J,0),1)</f>
        <v>17.387</v>
      </c>
      <c r="O177" s="3">
        <f t="shared" ca="1" si="12"/>
        <v>239</v>
      </c>
      <c r="P177" s="3">
        <f t="shared" ca="1" si="13"/>
        <v>0.65479452054794518</v>
      </c>
      <c r="Q177" t="str" cm="1">
        <f t="array" ref="Q177:S177">_xlfn.TEXTSPLIT(J177,"/")</f>
        <v>11</v>
      </c>
      <c r="R177" s="1" t="str">
        <v>13</v>
      </c>
      <c r="S177" t="str">
        <v>2026</v>
      </c>
      <c r="T177" s="1">
        <f t="shared" si="14"/>
        <v>46339</v>
      </c>
      <c r="U177" s="19">
        <f t="shared" si="15"/>
        <v>3.6899999999999977</v>
      </c>
      <c r="V177" s="17">
        <f ca="1">(LN(N177/G177)+(L177/100)^2*P177/2)/(L177/100*SQRT(P177))</f>
        <v>1.243690903928246</v>
      </c>
      <c r="W177" s="17">
        <f ca="1">V177-L177/100*SQRT(P177)</f>
        <v>0.73353389679653336</v>
      </c>
      <c r="X177" s="17">
        <f ca="1">(LN(N177/G177)+P177*(U177/100+(L177/100)^2/2))/((L177/100*SQRT(P177)))</f>
        <v>1.2910526327106577</v>
      </c>
      <c r="Y177" s="17">
        <f ca="1">X177-N177/100*SQRT(R177)</f>
        <v>0.66415543244573394</v>
      </c>
      <c r="Z177" s="20">
        <f ca="1">EXP(-P177)/(N177*L177/100*SQRT(P177))*_xlfn.NORM.S.DIST(X177,FALSE)</f>
        <v>1.0154609273155528E-2</v>
      </c>
      <c r="AA177" s="17">
        <f t="shared" ca="1" si="16"/>
        <v>1.267269259029522E-2</v>
      </c>
      <c r="AB177" s="17"/>
      <c r="AC177" s="17"/>
      <c r="AD177" s="17"/>
    </row>
    <row r="178" spans="1:30" x14ac:dyDescent="0.25">
      <c r="A178" t="s">
        <v>106</v>
      </c>
      <c r="B178" t="s">
        <v>107</v>
      </c>
      <c r="C178" t="s">
        <v>108</v>
      </c>
      <c r="D178">
        <v>46034</v>
      </c>
      <c r="E178" t="s">
        <v>107</v>
      </c>
      <c r="F178" t="s">
        <v>110</v>
      </c>
      <c r="G178">
        <v>11</v>
      </c>
      <c r="H178">
        <v>0.70599999999999996</v>
      </c>
      <c r="I178">
        <v>-7.5999999999999998E-2</v>
      </c>
      <c r="J178" t="s">
        <v>65</v>
      </c>
      <c r="K178">
        <v>4172</v>
      </c>
      <c r="L178">
        <v>63.069800000000001</v>
      </c>
      <c r="M178">
        <v>-0.12515999999999999</v>
      </c>
      <c r="N178">
        <f>INDEX(jkm!$H:$H,MATCH(J178,jkm!$J:$J,0),1)</f>
        <v>17.387</v>
      </c>
      <c r="O178" s="3">
        <f t="shared" ca="1" si="12"/>
        <v>239</v>
      </c>
      <c r="P178" s="3">
        <f t="shared" ca="1" si="13"/>
        <v>0.65479452054794518</v>
      </c>
      <c r="Q178" t="str" cm="1">
        <f t="array" ref="Q178:S178">_xlfn.TEXTSPLIT(J178,"/")</f>
        <v>11</v>
      </c>
      <c r="R178" s="1" t="str">
        <v>13</v>
      </c>
      <c r="S178" t="str">
        <v>2026</v>
      </c>
      <c r="T178" s="1">
        <f t="shared" si="14"/>
        <v>46339</v>
      </c>
      <c r="U178" s="19">
        <f t="shared" si="15"/>
        <v>3.6899999999999977</v>
      </c>
      <c r="V178" s="17">
        <f ca="1">(LN(N178/G178)+(L178/100)^2*P178/2)/(L178/100*SQRT(P178))</f>
        <v>1.1522517370999401</v>
      </c>
      <c r="W178" s="17">
        <f ca="1">V178-L178/100*SQRT(P178)</f>
        <v>0.64189485911266286</v>
      </c>
      <c r="X178" s="17">
        <f ca="1">(LN(N178/G178)+P178*(U178/100+(L178/100)^2/2))/((L178/100*SQRT(P178)))</f>
        <v>1.199594917627864</v>
      </c>
      <c r="Y178" s="17">
        <f ca="1">X178-N178/100*SQRT(R178)</f>
        <v>0.57269771736294017</v>
      </c>
      <c r="Z178" s="20">
        <f ca="1">EXP(-P178)/(N178*L178/100*SQRT(P178))*_xlfn.NORM.S.DIST(X178,FALSE)</f>
        <v>1.1375142346165925E-2</v>
      </c>
      <c r="AA178" s="17">
        <f t="shared" ca="1" si="16"/>
        <v>1.4201448348260155E-2</v>
      </c>
      <c r="AB178" s="17"/>
      <c r="AC178" s="17"/>
      <c r="AD178" s="17"/>
    </row>
    <row r="179" spans="1:30" x14ac:dyDescent="0.25">
      <c r="A179" t="s">
        <v>106</v>
      </c>
      <c r="B179" t="s">
        <v>107</v>
      </c>
      <c r="C179" t="s">
        <v>108</v>
      </c>
      <c r="D179">
        <v>46034</v>
      </c>
      <c r="E179" t="s">
        <v>107</v>
      </c>
      <c r="F179" t="s">
        <v>110</v>
      </c>
      <c r="G179">
        <v>13</v>
      </c>
      <c r="H179">
        <v>1.35</v>
      </c>
      <c r="I179">
        <v>-0.122</v>
      </c>
      <c r="J179" t="s">
        <v>65</v>
      </c>
      <c r="K179">
        <v>4172</v>
      </c>
      <c r="L179">
        <v>63.168900000000001</v>
      </c>
      <c r="M179">
        <v>-0.20522000000000001</v>
      </c>
      <c r="N179">
        <f>INDEX(jkm!$H:$H,MATCH(J179,jkm!$J:$J,0),1)</f>
        <v>17.387</v>
      </c>
      <c r="O179" s="3">
        <f t="shared" ca="1" si="12"/>
        <v>239</v>
      </c>
      <c r="P179" s="3">
        <f t="shared" ca="1" si="13"/>
        <v>0.65479452054794518</v>
      </c>
      <c r="Q179" t="str" cm="1">
        <f t="array" ref="Q179:S179">_xlfn.TEXTSPLIT(J179,"/")</f>
        <v>11</v>
      </c>
      <c r="R179" s="1" t="str">
        <v>13</v>
      </c>
      <c r="S179" t="str">
        <v>2026</v>
      </c>
      <c r="T179" s="1">
        <f t="shared" si="14"/>
        <v>46339</v>
      </c>
      <c r="U179" s="19">
        <f t="shared" si="15"/>
        <v>3.6899999999999977</v>
      </c>
      <c r="V179" s="17">
        <f ca="1">(LN(N179/G179)+(L179/100)^2*P179/2)/(L179/100*SQRT(P179))</f>
        <v>0.82443089298612948</v>
      </c>
      <c r="W179" s="17">
        <f ca="1">V179-L179/100*SQRT(P179)</f>
        <v>0.31327210399535232</v>
      </c>
      <c r="X179" s="17">
        <f ca="1">(LN(N179/G179)+P179*(U179/100+(L179/100)^2/2))/((L179/100*SQRT(P179)))</f>
        <v>0.87169980106051481</v>
      </c>
      <c r="Y179" s="17">
        <f ca="1">X179-N179/100*SQRT(R179)</f>
        <v>0.24480260079559102</v>
      </c>
      <c r="Z179" s="20">
        <f ca="1">EXP(-P179)/(N179*L179/100*SQRT(P179))*_xlfn.NORM.S.DIST(X179,FALSE)</f>
        <v>1.5949765843792034E-2</v>
      </c>
      <c r="AA179" s="17">
        <f t="shared" ca="1" si="16"/>
        <v>1.9943986461137118E-2</v>
      </c>
      <c r="AB179" s="17"/>
      <c r="AC179" s="17"/>
      <c r="AD179" s="17"/>
    </row>
    <row r="180" spans="1:30" x14ac:dyDescent="0.25">
      <c r="A180" t="s">
        <v>106</v>
      </c>
      <c r="B180" t="s">
        <v>107</v>
      </c>
      <c r="C180" t="s">
        <v>108</v>
      </c>
      <c r="D180">
        <v>46034</v>
      </c>
      <c r="E180" t="s">
        <v>107</v>
      </c>
      <c r="F180" t="s">
        <v>110</v>
      </c>
      <c r="G180">
        <v>15</v>
      </c>
      <c r="H180">
        <v>2.234</v>
      </c>
      <c r="I180">
        <v>-0.17699999999999999</v>
      </c>
      <c r="J180" t="s">
        <v>65</v>
      </c>
      <c r="K180">
        <v>4172</v>
      </c>
      <c r="L180">
        <v>63.495399999999997</v>
      </c>
      <c r="M180">
        <v>-0.29315999999999998</v>
      </c>
      <c r="N180">
        <f>INDEX(jkm!$H:$H,MATCH(J180,jkm!$J:$J,0),1)</f>
        <v>17.387</v>
      </c>
      <c r="O180" s="3">
        <f t="shared" ca="1" si="12"/>
        <v>239</v>
      </c>
      <c r="P180" s="3">
        <f t="shared" ca="1" si="13"/>
        <v>0.65479452054794518</v>
      </c>
      <c r="Q180" t="str" cm="1">
        <f t="array" ref="Q180:S180">_xlfn.TEXTSPLIT(J180,"/")</f>
        <v>11</v>
      </c>
      <c r="R180" s="1" t="str">
        <v>13</v>
      </c>
      <c r="S180" t="str">
        <v>2026</v>
      </c>
      <c r="T180" s="1">
        <f t="shared" si="14"/>
        <v>46339</v>
      </c>
      <c r="U180" s="19">
        <f t="shared" si="15"/>
        <v>3.6899999999999977</v>
      </c>
      <c r="V180" s="17">
        <f ca="1">(LN(N180/G180)+(L180/100)^2*P180/2)/(L180/100*SQRT(P180))</f>
        <v>0.5443125629293174</v>
      </c>
      <c r="W180" s="17">
        <f ca="1">V180-L180/100*SQRT(P180)</f>
        <v>3.0511756353850839E-2</v>
      </c>
      <c r="X180" s="17">
        <f ca="1">(LN(N180/G180)+P180*(U180/100+(L180/100)^2/2))/((L180/100*SQRT(P180)))</f>
        <v>0.5913384093254348</v>
      </c>
      <c r="Y180" s="17">
        <f ca="1">X180-N180/100*SQRT(R180)</f>
        <v>-3.5558790939488993E-2</v>
      </c>
      <c r="Z180" s="20">
        <f ca="1">EXP(-P180)/(N180*L180/100*SQRT(P180))*_xlfn.NORM.S.DIST(X180,FALSE)</f>
        <v>1.9479808975800216E-2</v>
      </c>
      <c r="AA180" s="17">
        <f t="shared" ca="1" si="16"/>
        <v>2.4483939740077815E-2</v>
      </c>
      <c r="AB180" s="17"/>
      <c r="AC180" s="17"/>
      <c r="AD180" s="17"/>
    </row>
    <row r="181" spans="1:30" x14ac:dyDescent="0.25">
      <c r="A181" t="s">
        <v>106</v>
      </c>
      <c r="B181" t="s">
        <v>107</v>
      </c>
      <c r="C181" t="s">
        <v>108</v>
      </c>
      <c r="D181">
        <v>46034</v>
      </c>
      <c r="E181" t="s">
        <v>107</v>
      </c>
      <c r="F181" t="s">
        <v>110</v>
      </c>
      <c r="G181">
        <v>16.5</v>
      </c>
      <c r="H181">
        <v>3.048</v>
      </c>
      <c r="I181">
        <v>-0.215</v>
      </c>
      <c r="J181" t="s">
        <v>65</v>
      </c>
      <c r="K181">
        <v>4172</v>
      </c>
      <c r="L181">
        <v>63.959699999999998</v>
      </c>
      <c r="M181">
        <v>-0.35920000000000002</v>
      </c>
      <c r="N181">
        <f>INDEX(jkm!$H:$H,MATCH(J181,jkm!$J:$J,0),1)</f>
        <v>17.387</v>
      </c>
      <c r="O181" s="3">
        <f t="shared" ca="1" si="12"/>
        <v>239</v>
      </c>
      <c r="P181" s="3">
        <f t="shared" ca="1" si="13"/>
        <v>0.65479452054794518</v>
      </c>
      <c r="Q181" t="str" cm="1">
        <f t="array" ref="Q181:S181">_xlfn.TEXTSPLIT(J181,"/")</f>
        <v>11</v>
      </c>
      <c r="R181" s="1" t="str">
        <v>13</v>
      </c>
      <c r="S181" t="str">
        <v>2026</v>
      </c>
      <c r="T181" s="1">
        <f t="shared" si="14"/>
        <v>46339</v>
      </c>
      <c r="U181" s="19">
        <f t="shared" si="15"/>
        <v>3.6899999999999977</v>
      </c>
      <c r="V181" s="17">
        <f ca="1">(LN(N181/G181)+(L181/100)^2*P181/2)/(L181/100*SQRT(P181))</f>
        <v>0.3599510479595498</v>
      </c>
      <c r="W181" s="17">
        <f ca="1">V181-L181/100*SQRT(P181)</f>
        <v>-0.15760684518428214</v>
      </c>
      <c r="X181" s="17">
        <f ca="1">(LN(N181/G181)+P181*(U181/100+(L181/100)^2/2))/((L181/100*SQRT(P181)))</f>
        <v>0.40663552157746918</v>
      </c>
      <c r="Y181" s="17">
        <f ca="1">X181-N181/100*SQRT(R181)</f>
        <v>-0.22026167868745461</v>
      </c>
      <c r="Z181" s="20">
        <f ca="1">EXP(-P181)/(N181*L181/100*SQRT(P181))*_xlfn.NORM.S.DIST(X181,FALSE)</f>
        <v>2.1205425956394314E-2</v>
      </c>
      <c r="AA181" s="17">
        <f t="shared" ca="1" si="16"/>
        <v>2.6847741856982819E-2</v>
      </c>
      <c r="AB181" s="17"/>
      <c r="AC181" s="17"/>
      <c r="AD181" s="17"/>
    </row>
    <row r="182" spans="1:30" x14ac:dyDescent="0.25">
      <c r="A182" t="s">
        <v>106</v>
      </c>
      <c r="B182" t="s">
        <v>107</v>
      </c>
      <c r="C182" t="s">
        <v>108</v>
      </c>
      <c r="D182">
        <v>46034</v>
      </c>
      <c r="E182" t="s">
        <v>107</v>
      </c>
      <c r="F182" t="s">
        <v>110</v>
      </c>
      <c r="G182">
        <v>20</v>
      </c>
      <c r="H182">
        <v>5.33</v>
      </c>
      <c r="I182">
        <v>-0.29199999999999998</v>
      </c>
      <c r="J182" t="s">
        <v>65</v>
      </c>
      <c r="K182">
        <v>4172</v>
      </c>
      <c r="L182">
        <v>64.945499999999996</v>
      </c>
      <c r="M182">
        <v>-0.50058000000000002</v>
      </c>
      <c r="N182">
        <f>INDEX(jkm!$H:$H,MATCH(J182,jkm!$J:$J,0),1)</f>
        <v>17.387</v>
      </c>
      <c r="O182" s="3">
        <f t="shared" ca="1" si="12"/>
        <v>239</v>
      </c>
      <c r="P182" s="3">
        <f t="shared" ca="1" si="13"/>
        <v>0.65479452054794518</v>
      </c>
      <c r="Q182" t="str" cm="1">
        <f t="array" ref="Q182:S182">_xlfn.TEXTSPLIT(J182,"/")</f>
        <v>11</v>
      </c>
      <c r="R182" s="1" t="str">
        <v>13</v>
      </c>
      <c r="S182" t="str">
        <v>2026</v>
      </c>
      <c r="T182" s="1">
        <f t="shared" si="14"/>
        <v>46339</v>
      </c>
      <c r="U182" s="19">
        <f t="shared" si="15"/>
        <v>3.6899999999999977</v>
      </c>
      <c r="V182" s="17">
        <f ca="1">(LN(N182/G182)+(L182/100)^2*P182/2)/(L182/100*SQRT(P182))</f>
        <v>-3.6457981473611185E-3</v>
      </c>
      <c r="W182" s="17">
        <f ca="1">V182-L182/100*SQRT(P182)</f>
        <v>-0.52918072325133658</v>
      </c>
      <c r="X182" s="17">
        <f ca="1">(LN(N182/G182)+P182*(U182/100+(L182/100)^2/2))/((L182/100*SQRT(P182)))</f>
        <v>4.2330057412455012E-2</v>
      </c>
      <c r="Y182" s="17">
        <f ca="1">X182-N182/100*SQRT(R182)</f>
        <v>-0.5845671428524688</v>
      </c>
      <c r="Z182" s="20">
        <f ca="1">EXP(-P182)/(N182*L182/100*SQRT(P182))*_xlfn.NORM.S.DIST(X182,FALSE)</f>
        <v>2.2663192619291672E-2</v>
      </c>
      <c r="AA182" s="17">
        <f t="shared" ca="1" si="16"/>
        <v>2.9135635775939583E-2</v>
      </c>
      <c r="AB182" s="17"/>
      <c r="AC182" s="17"/>
      <c r="AD182" s="17"/>
    </row>
    <row r="183" spans="1:30" x14ac:dyDescent="0.25">
      <c r="A183" t="s">
        <v>106</v>
      </c>
      <c r="B183" t="s">
        <v>107</v>
      </c>
      <c r="C183" t="s">
        <v>108</v>
      </c>
      <c r="D183">
        <v>46034</v>
      </c>
      <c r="E183" t="s">
        <v>107</v>
      </c>
      <c r="F183" t="s">
        <v>110</v>
      </c>
      <c r="G183">
        <v>25</v>
      </c>
      <c r="H183">
        <v>9.1940000000000008</v>
      </c>
      <c r="I183">
        <v>-0.37</v>
      </c>
      <c r="J183" t="s">
        <v>65</v>
      </c>
      <c r="K183">
        <v>4172</v>
      </c>
      <c r="L183">
        <v>65.1066</v>
      </c>
      <c r="M183">
        <v>-0.66346000000000005</v>
      </c>
      <c r="N183">
        <f>INDEX(jkm!$H:$H,MATCH(J183,jkm!$J:$J,0),1)</f>
        <v>17.387</v>
      </c>
      <c r="O183" s="3">
        <f t="shared" ca="1" si="12"/>
        <v>239</v>
      </c>
      <c r="P183" s="3">
        <f t="shared" ca="1" si="13"/>
        <v>0.65479452054794518</v>
      </c>
      <c r="Q183" t="str" cm="1">
        <f t="array" ref="Q183:S183">_xlfn.TEXTSPLIT(J183,"/")</f>
        <v>11</v>
      </c>
      <c r="R183" s="1" t="str">
        <v>13</v>
      </c>
      <c r="S183" t="str">
        <v>2026</v>
      </c>
      <c r="T183" s="1">
        <f t="shared" si="14"/>
        <v>46339</v>
      </c>
      <c r="U183" s="19">
        <f t="shared" si="15"/>
        <v>3.6899999999999977</v>
      </c>
      <c r="V183" s="17">
        <f ca="1">(LN(N183/G183)+(L183/100)^2*P183/2)/(L183/100*SQRT(P183))</f>
        <v>-0.42588684627919915</v>
      </c>
      <c r="W183" s="17">
        <f ca="1">V183-L183/100*SQRT(P183)</f>
        <v>-0.95272538250995409</v>
      </c>
      <c r="X183" s="17">
        <f ca="1">(LN(N183/G183)+P183*(U183/100+(L183/100)^2/2))/((L183/100*SQRT(P183)))</f>
        <v>-0.38002475353806325</v>
      </c>
      <c r="Y183" s="17">
        <f ca="1">X183-N183/100*SQRT(R183)</f>
        <v>-1.006921953802987</v>
      </c>
      <c r="Z183" s="20">
        <f ca="1">EXP(-P183)/(N183*L183/100*SQRT(P183))*_xlfn.NORM.S.DIST(X183,FALSE)</f>
        <v>2.1051065539110951E-2</v>
      </c>
      <c r="AA183" s="17">
        <f t="shared" ca="1" si="16"/>
        <v>2.713022804596938E-2</v>
      </c>
      <c r="AB183" s="17"/>
      <c r="AC183" s="17"/>
      <c r="AD183" s="17"/>
    </row>
    <row r="184" spans="1:30" x14ac:dyDescent="0.25">
      <c r="A184" t="s">
        <v>106</v>
      </c>
      <c r="B184" t="s">
        <v>107</v>
      </c>
      <c r="C184" t="s">
        <v>108</v>
      </c>
      <c r="D184">
        <v>46388</v>
      </c>
      <c r="E184" t="s">
        <v>107</v>
      </c>
      <c r="F184" t="s">
        <v>109</v>
      </c>
      <c r="G184">
        <v>5</v>
      </c>
      <c r="H184">
        <v>12.307</v>
      </c>
      <c r="I184">
        <v>0.51600000000000001</v>
      </c>
      <c r="J184" t="s">
        <v>66</v>
      </c>
      <c r="K184">
        <v>4172</v>
      </c>
      <c r="L184">
        <v>62.875100000000003</v>
      </c>
      <c r="M184">
        <v>0.99467000000000005</v>
      </c>
      <c r="N184">
        <f>INDEX(jkm!$H:$H,MATCH(J184,jkm!$J:$J,0),1)</f>
        <v>17.288</v>
      </c>
      <c r="O184" s="3">
        <f t="shared" ca="1" si="12"/>
        <v>271</v>
      </c>
      <c r="P184" s="3">
        <f t="shared" ca="1" si="13"/>
        <v>0.74246575342465748</v>
      </c>
      <c r="Q184" t="str" cm="1">
        <f t="array" ref="Q184:S184">_xlfn.TEXTSPLIT(J184,"/")</f>
        <v>12</v>
      </c>
      <c r="R184" s="1" t="str">
        <v>15</v>
      </c>
      <c r="S184" t="str">
        <v>2026</v>
      </c>
      <c r="T184" s="1">
        <f t="shared" si="14"/>
        <v>46371</v>
      </c>
      <c r="U184" s="19">
        <f t="shared" si="15"/>
        <v>3.6899999999999977</v>
      </c>
      <c r="V184" s="17">
        <f ca="1">(LN(N184/G184)+(L184/100)^2*P184/2)/(L184/100*SQRT(P184))</f>
        <v>2.5607308705905107</v>
      </c>
      <c r="W184" s="17">
        <f ca="1">V184-L184/100*SQRT(P184)</f>
        <v>2.0189584389120707</v>
      </c>
      <c r="X184" s="17">
        <f ca="1">(LN(N184/G184)+P184*(U184/100+(L184/100)^2/2))/((L184/100*SQRT(P184)))</f>
        <v>2.6113000481628954</v>
      </c>
      <c r="Y184" s="17">
        <f ca="1">X184-N184/100*SQRT(R184)</f>
        <v>1.9417386872705571</v>
      </c>
      <c r="Z184" s="20">
        <f ca="1">EXP(-P184)/(N184*L184/100*SQRT(P184))*_xlfn.NORM.S.DIST(X184,FALSE)</f>
        <v>6.7018843212812891E-4</v>
      </c>
      <c r="AA184" s="17">
        <f t="shared" ca="1" si="16"/>
        <v>9.3506445938608212E-4</v>
      </c>
      <c r="AB184" s="17"/>
      <c r="AC184" s="17"/>
      <c r="AD184" s="17"/>
    </row>
    <row r="185" spans="1:30" x14ac:dyDescent="0.25">
      <c r="A185" t="s">
        <v>106</v>
      </c>
      <c r="B185" t="s">
        <v>107</v>
      </c>
      <c r="C185" t="s">
        <v>108</v>
      </c>
      <c r="D185">
        <v>46388</v>
      </c>
      <c r="E185" t="s">
        <v>107</v>
      </c>
      <c r="F185" t="s">
        <v>109</v>
      </c>
      <c r="G185">
        <v>6</v>
      </c>
      <c r="H185">
        <v>11.340999999999999</v>
      </c>
      <c r="I185">
        <v>0.51100000000000001</v>
      </c>
      <c r="J185" t="s">
        <v>66</v>
      </c>
      <c r="K185">
        <v>4172</v>
      </c>
      <c r="L185">
        <v>62.924799999999998</v>
      </c>
      <c r="M185">
        <v>0.98668</v>
      </c>
      <c r="N185">
        <f>INDEX(jkm!$H:$H,MATCH(J185,jkm!$J:$J,0),1)</f>
        <v>17.288</v>
      </c>
      <c r="O185" s="3">
        <f t="shared" ca="1" si="12"/>
        <v>271</v>
      </c>
      <c r="P185" s="3">
        <f t="shared" ca="1" si="13"/>
        <v>0.74246575342465748</v>
      </c>
      <c r="Q185" t="str" cm="1">
        <f t="array" ref="Q185:S185">_xlfn.TEXTSPLIT(J185,"/")</f>
        <v>12</v>
      </c>
      <c r="R185" s="1" t="str">
        <v>15</v>
      </c>
      <c r="S185" t="str">
        <v>2026</v>
      </c>
      <c r="T185" s="1">
        <f t="shared" si="14"/>
        <v>46371</v>
      </c>
      <c r="U185" s="19">
        <f t="shared" si="15"/>
        <v>3.6899999999999977</v>
      </c>
      <c r="V185" s="17">
        <f ca="1">(LN(N185/G185)+(L185/100)^2*P185/2)/(L185/100*SQRT(P185))</f>
        <v>2.2228742694347101</v>
      </c>
      <c r="W185" s="17">
        <f ca="1">V185-L185/100*SQRT(P185)</f>
        <v>1.6806735904874084</v>
      </c>
      <c r="X185" s="17">
        <f ca="1">(LN(N185/G185)+P185*(U185/100+(L185/100)^2/2))/((L185/100*SQRT(P185)))</f>
        <v>2.273403505869017</v>
      </c>
      <c r="Y185" s="17">
        <f ca="1">X185-N185/100*SQRT(R185)</f>
        <v>1.6038421449766787</v>
      </c>
      <c r="Z185" s="20">
        <f ca="1">EXP(-P185)/(N185*L185/100*SQRT(P185))*_xlfn.NORM.S.DIST(X185,FALSE)</f>
        <v>1.5284829577186848E-3</v>
      </c>
      <c r="AA185" s="17">
        <f t="shared" ca="1" si="16"/>
        <v>2.1342651789698626E-3</v>
      </c>
      <c r="AB185" s="17"/>
      <c r="AC185" s="17"/>
      <c r="AD185" s="17"/>
    </row>
    <row r="186" spans="1:30" x14ac:dyDescent="0.25">
      <c r="A186" t="s">
        <v>106</v>
      </c>
      <c r="B186" t="s">
        <v>107</v>
      </c>
      <c r="C186" t="s">
        <v>108</v>
      </c>
      <c r="D186">
        <v>46388</v>
      </c>
      <c r="E186" t="s">
        <v>107</v>
      </c>
      <c r="F186" t="s">
        <v>109</v>
      </c>
      <c r="G186">
        <v>7</v>
      </c>
      <c r="H186">
        <v>10.404999999999999</v>
      </c>
      <c r="I186">
        <v>0.502</v>
      </c>
      <c r="J186" t="s">
        <v>66</v>
      </c>
      <c r="K186">
        <v>4172</v>
      </c>
      <c r="L186">
        <v>62.974499999999999</v>
      </c>
      <c r="M186">
        <v>0.97333999999999998</v>
      </c>
      <c r="N186">
        <f>INDEX(jkm!$H:$H,MATCH(J186,jkm!$J:$J,0),1)</f>
        <v>17.288</v>
      </c>
      <c r="O186" s="3">
        <f t="shared" ca="1" si="12"/>
        <v>271</v>
      </c>
      <c r="P186" s="3">
        <f t="shared" ca="1" si="13"/>
        <v>0.74246575342465748</v>
      </c>
      <c r="Q186" t="str" cm="1">
        <f t="array" ref="Q186:S186">_xlfn.TEXTSPLIT(J186,"/")</f>
        <v>12</v>
      </c>
      <c r="R186" s="1" t="str">
        <v>15</v>
      </c>
      <c r="S186" t="str">
        <v>2026</v>
      </c>
      <c r="T186" s="1">
        <f t="shared" si="14"/>
        <v>46371</v>
      </c>
      <c r="U186" s="19">
        <f t="shared" si="15"/>
        <v>3.6899999999999977</v>
      </c>
      <c r="V186" s="17">
        <f ca="1">(LN(N186/G186)+(L186/100)^2*P186/2)/(L186/100*SQRT(P186))</f>
        <v>1.9374668307190743</v>
      </c>
      <c r="W186" s="17">
        <f ca="1">V186-L186/100*SQRT(P186)</f>
        <v>1.3948379045029107</v>
      </c>
      <c r="X186" s="17">
        <f ca="1">(LN(N186/G186)+P186*(U186/100+(L186/100)^2/2))/((L186/100*SQRT(P186)))</f>
        <v>1.9879561890590607</v>
      </c>
      <c r="Y186" s="17">
        <f ca="1">X186-N186/100*SQRT(R186)</f>
        <v>1.3183948281667224</v>
      </c>
      <c r="Z186" s="20">
        <f ca="1">EXP(-P186)/(N186*L186/100*SQRT(P186))*_xlfn.NORM.S.DIST(X186,FALSE)</f>
        <v>2.8057841047040297E-3</v>
      </c>
      <c r="AA186" s="17">
        <f t="shared" ca="1" si="16"/>
        <v>3.9208922959168687E-3</v>
      </c>
      <c r="AB186" s="17"/>
      <c r="AC186" s="17"/>
      <c r="AD186" s="17"/>
    </row>
    <row r="187" spans="1:30" x14ac:dyDescent="0.25">
      <c r="A187" t="s">
        <v>106</v>
      </c>
      <c r="B187" t="s">
        <v>107</v>
      </c>
      <c r="C187" t="s">
        <v>108</v>
      </c>
      <c r="D187">
        <v>46388</v>
      </c>
      <c r="E187" t="s">
        <v>107</v>
      </c>
      <c r="F187" t="s">
        <v>109</v>
      </c>
      <c r="G187">
        <v>8</v>
      </c>
      <c r="H187">
        <v>9.51</v>
      </c>
      <c r="I187">
        <v>0.49199999999999999</v>
      </c>
      <c r="J187" t="s">
        <v>66</v>
      </c>
      <c r="K187">
        <v>4172</v>
      </c>
      <c r="L187">
        <v>63.0242</v>
      </c>
      <c r="M187">
        <v>0.95413000000000003</v>
      </c>
      <c r="N187">
        <f>INDEX(jkm!$H:$H,MATCH(J187,jkm!$J:$J,0),1)</f>
        <v>17.288</v>
      </c>
      <c r="O187" s="3">
        <f t="shared" ca="1" si="12"/>
        <v>271</v>
      </c>
      <c r="P187" s="3">
        <f t="shared" ca="1" si="13"/>
        <v>0.74246575342465748</v>
      </c>
      <c r="Q187" t="str" cm="1">
        <f t="array" ref="Q187:S187">_xlfn.TEXTSPLIT(J187,"/")</f>
        <v>12</v>
      </c>
      <c r="R187" s="1" t="str">
        <v>15</v>
      </c>
      <c r="S187" t="str">
        <v>2026</v>
      </c>
      <c r="T187" s="1">
        <f t="shared" si="14"/>
        <v>46371</v>
      </c>
      <c r="U187" s="19">
        <f t="shared" si="15"/>
        <v>3.6899999999999977</v>
      </c>
      <c r="V187" s="17">
        <f ca="1">(LN(N187/G187)+(L187/100)^2*P187/2)/(L187/100*SQRT(P187))</f>
        <v>1.6904787731099467</v>
      </c>
      <c r="W187" s="17">
        <f ca="1">V187-L187/100*SQRT(P187)</f>
        <v>1.1474215996249211</v>
      </c>
      <c r="X187" s="17">
        <f ca="1">(LN(N187/G187)+P187*(U187/100+(L187/100)^2/2))/((L187/100*SQRT(P187)))</f>
        <v>1.740928316250224</v>
      </c>
      <c r="Y187" s="17">
        <f ca="1">X187-N187/100*SQRT(R187)</f>
        <v>1.0713669553578857</v>
      </c>
      <c r="Z187" s="20">
        <f ca="1">EXP(-P187)/(N187*L187/100*SQRT(P187))*_xlfn.NORM.S.DIST(X187,FALSE)</f>
        <v>4.4435932723217338E-3</v>
      </c>
      <c r="AA187" s="17">
        <f t="shared" ca="1" si="16"/>
        <v>6.2145198047329816E-3</v>
      </c>
      <c r="AB187" s="17"/>
      <c r="AC187" s="17"/>
      <c r="AD187" s="17"/>
    </row>
    <row r="188" spans="1:30" x14ac:dyDescent="0.25">
      <c r="A188" t="s">
        <v>106</v>
      </c>
      <c r="B188" t="s">
        <v>107</v>
      </c>
      <c r="C188" t="s">
        <v>108</v>
      </c>
      <c r="D188">
        <v>46388</v>
      </c>
      <c r="E188" t="s">
        <v>107</v>
      </c>
      <c r="F188" t="s">
        <v>109</v>
      </c>
      <c r="G188">
        <v>8.5</v>
      </c>
      <c r="H188">
        <v>9.08</v>
      </c>
      <c r="I188">
        <v>0.48499999999999999</v>
      </c>
      <c r="J188" t="s">
        <v>66</v>
      </c>
      <c r="K188">
        <v>4172</v>
      </c>
      <c r="L188">
        <v>63.048999999999999</v>
      </c>
      <c r="M188">
        <v>0.94233</v>
      </c>
      <c r="N188">
        <f>INDEX(jkm!$H:$H,MATCH(J188,jkm!$J:$J,0),1)</f>
        <v>17.288</v>
      </c>
      <c r="O188" s="3">
        <f t="shared" ca="1" si="12"/>
        <v>271</v>
      </c>
      <c r="P188" s="3">
        <f t="shared" ca="1" si="13"/>
        <v>0.74246575342465748</v>
      </c>
      <c r="Q188" t="str" cm="1">
        <f t="array" ref="Q188:S188">_xlfn.TEXTSPLIT(J188,"/")</f>
        <v>12</v>
      </c>
      <c r="R188" s="1" t="str">
        <v>15</v>
      </c>
      <c r="S188" t="str">
        <v>2026</v>
      </c>
      <c r="T188" s="1">
        <f t="shared" si="14"/>
        <v>46371</v>
      </c>
      <c r="U188" s="19">
        <f t="shared" si="15"/>
        <v>3.6899999999999977</v>
      </c>
      <c r="V188" s="17">
        <f ca="1">(LN(N188/G188)+(L188/100)^2*P188/2)/(L188/100*SQRT(P188))</f>
        <v>1.5784355944705046</v>
      </c>
      <c r="W188" s="17">
        <f ca="1">V188-L188/100*SQRT(P188)</f>
        <v>1.0351647281833105</v>
      </c>
      <c r="X188" s="17">
        <f ca="1">(LN(N188/G188)+P188*(U188/100+(L188/100)^2/2))/((L188/100*SQRT(P188)))</f>
        <v>1.6288652935423609</v>
      </c>
      <c r="Y188" s="17">
        <f ca="1">X188-N188/100*SQRT(R188)</f>
        <v>0.95930393265002256</v>
      </c>
      <c r="Z188" s="20">
        <f ca="1">EXP(-P188)/(N188*L188/100*SQRT(P188))*_xlfn.NORM.S.DIST(X188,FALSE)</f>
        <v>5.3649365608311799E-3</v>
      </c>
      <c r="AA188" s="17">
        <f t="shared" ca="1" si="16"/>
        <v>7.5060028992054847E-3</v>
      </c>
      <c r="AB188" s="17"/>
      <c r="AC188" s="17"/>
      <c r="AD188" s="17"/>
    </row>
    <row r="189" spans="1:30" x14ac:dyDescent="0.25">
      <c r="A189" t="s">
        <v>106</v>
      </c>
      <c r="B189" t="s">
        <v>107</v>
      </c>
      <c r="C189" t="s">
        <v>108</v>
      </c>
      <c r="D189">
        <v>46388</v>
      </c>
      <c r="E189" t="s">
        <v>107</v>
      </c>
      <c r="F189" t="s">
        <v>109</v>
      </c>
      <c r="G189">
        <v>9</v>
      </c>
      <c r="H189">
        <v>8.6630000000000003</v>
      </c>
      <c r="I189">
        <v>0.47699999999999998</v>
      </c>
      <c r="J189" t="s">
        <v>66</v>
      </c>
      <c r="K189">
        <v>4172</v>
      </c>
      <c r="L189">
        <v>63.073900000000002</v>
      </c>
      <c r="M189">
        <v>0.92915000000000003</v>
      </c>
      <c r="N189">
        <f>INDEX(jkm!$H:$H,MATCH(J189,jkm!$J:$J,0),1)</f>
        <v>17.288</v>
      </c>
      <c r="O189" s="3">
        <f t="shared" ca="1" si="12"/>
        <v>271</v>
      </c>
      <c r="P189" s="3">
        <f t="shared" ca="1" si="13"/>
        <v>0.74246575342465748</v>
      </c>
      <c r="Q189" t="str" cm="1">
        <f t="array" ref="Q189:S189">_xlfn.TEXTSPLIT(J189,"/")</f>
        <v>12</v>
      </c>
      <c r="R189" s="1" t="str">
        <v>15</v>
      </c>
      <c r="S189" t="str">
        <v>2026</v>
      </c>
      <c r="T189" s="1">
        <f t="shared" si="14"/>
        <v>46371</v>
      </c>
      <c r="U189" s="19">
        <f t="shared" si="15"/>
        <v>3.6899999999999977</v>
      </c>
      <c r="V189" s="17">
        <f ca="1">(LN(N189/G189)+(L189/100)^2*P189/2)/(L189/100*SQRT(P189))</f>
        <v>1.4728568837118248</v>
      </c>
      <c r="W189" s="17">
        <f ca="1">V189-L189/100*SQRT(P189)</f>
        <v>0.92937146295793727</v>
      </c>
      <c r="X189" s="17">
        <f ca="1">(LN(N189/G189)+P189*(U189/100+(L189/100)^2/2))/((L189/100*SQRT(P189)))</f>
        <v>1.5232666743983283</v>
      </c>
      <c r="Y189" s="17">
        <f ca="1">X189-N189/100*SQRT(R189)</f>
        <v>0.85370531350598999</v>
      </c>
      <c r="Z189" s="20">
        <f ca="1">EXP(-P189)/(N189*L189/100*SQRT(P189))*_xlfn.NORM.S.DIST(X189,FALSE)</f>
        <v>6.3339248911513943E-3</v>
      </c>
      <c r="AA189" s="17">
        <f t="shared" ca="1" si="16"/>
        <v>8.8651998107124874E-3</v>
      </c>
      <c r="AB189" s="17"/>
      <c r="AC189" s="17"/>
      <c r="AD189" s="17"/>
    </row>
    <row r="190" spans="1:30" x14ac:dyDescent="0.25">
      <c r="A190" t="s">
        <v>106</v>
      </c>
      <c r="B190" t="s">
        <v>107</v>
      </c>
      <c r="C190" t="s">
        <v>108</v>
      </c>
      <c r="D190">
        <v>46388</v>
      </c>
      <c r="E190" t="s">
        <v>107</v>
      </c>
      <c r="F190" t="s">
        <v>109</v>
      </c>
      <c r="G190">
        <v>9.5</v>
      </c>
      <c r="H190">
        <v>8.2590000000000003</v>
      </c>
      <c r="I190">
        <v>0.46899999999999997</v>
      </c>
      <c r="J190" t="s">
        <v>66</v>
      </c>
      <c r="K190">
        <v>4172</v>
      </c>
      <c r="L190">
        <v>63.098700000000001</v>
      </c>
      <c r="M190">
        <v>0.91466000000000003</v>
      </c>
      <c r="N190">
        <f>INDEX(jkm!$H:$H,MATCH(J190,jkm!$J:$J,0),1)</f>
        <v>17.288</v>
      </c>
      <c r="O190" s="3">
        <f t="shared" ca="1" si="12"/>
        <v>271</v>
      </c>
      <c r="P190" s="3">
        <f t="shared" ca="1" si="13"/>
        <v>0.74246575342465748</v>
      </c>
      <c r="Q190" t="str" cm="1">
        <f t="array" ref="Q190:S190">_xlfn.TEXTSPLIT(J190,"/")</f>
        <v>12</v>
      </c>
      <c r="R190" s="1" t="str">
        <v>15</v>
      </c>
      <c r="S190" t="str">
        <v>2026</v>
      </c>
      <c r="T190" s="1">
        <f t="shared" si="14"/>
        <v>46371</v>
      </c>
      <c r="U190" s="19">
        <f t="shared" si="15"/>
        <v>3.6899999999999977</v>
      </c>
      <c r="V190" s="17">
        <f ca="1">(LN(N190/G190)+(L190/100)^2*P190/2)/(L190/100*SQRT(P190))</f>
        <v>1.3730483736790986</v>
      </c>
      <c r="W190" s="17">
        <f ca="1">V190-L190/100*SQRT(P190)</f>
        <v>0.82934926012304266</v>
      </c>
      <c r="X190" s="17">
        <f ca="1">(LN(N190/G190)+P190*(U190/100+(L190/100)^2/2))/((L190/100*SQRT(P190)))</f>
        <v>1.4234383515515663</v>
      </c>
      <c r="Y190" s="17">
        <f ca="1">X190-N190/100*SQRT(R190)</f>
        <v>0.75387699065922797</v>
      </c>
      <c r="Z190" s="20">
        <f ca="1">EXP(-P190)/(N190*L190/100*SQRT(P190))*_xlfn.NORM.S.DIST(X190,FALSE)</f>
        <v>7.3346470221998493E-3</v>
      </c>
      <c r="AA190" s="17">
        <f t="shared" ca="1" si="16"/>
        <v>1.0269884616618102E-2</v>
      </c>
      <c r="AB190" s="17"/>
      <c r="AC190" s="17"/>
      <c r="AD190" s="17"/>
    </row>
    <row r="191" spans="1:30" x14ac:dyDescent="0.25">
      <c r="A191" t="s">
        <v>106</v>
      </c>
      <c r="B191" t="s">
        <v>107</v>
      </c>
      <c r="C191" t="s">
        <v>108</v>
      </c>
      <c r="D191">
        <v>46388</v>
      </c>
      <c r="E191" t="s">
        <v>107</v>
      </c>
      <c r="F191" t="s">
        <v>109</v>
      </c>
      <c r="G191">
        <v>10</v>
      </c>
      <c r="H191">
        <v>7.8689999999999998</v>
      </c>
      <c r="I191">
        <v>0.46</v>
      </c>
      <c r="J191" t="s">
        <v>66</v>
      </c>
      <c r="K191">
        <v>4172</v>
      </c>
      <c r="L191">
        <v>63.123600000000003</v>
      </c>
      <c r="M191">
        <v>0.89897000000000005</v>
      </c>
      <c r="N191">
        <f>INDEX(jkm!$H:$H,MATCH(J191,jkm!$J:$J,0),1)</f>
        <v>17.288</v>
      </c>
      <c r="O191" s="3">
        <f t="shared" ca="1" si="12"/>
        <v>271</v>
      </c>
      <c r="P191" s="3">
        <f t="shared" ca="1" si="13"/>
        <v>0.74246575342465748</v>
      </c>
      <c r="Q191" t="str" cm="1">
        <f t="array" ref="Q191:S191">_xlfn.TEXTSPLIT(J191,"/")</f>
        <v>12</v>
      </c>
      <c r="R191" s="1" t="str">
        <v>15</v>
      </c>
      <c r="S191" t="str">
        <v>2026</v>
      </c>
      <c r="T191" s="1">
        <f t="shared" si="14"/>
        <v>46371</v>
      </c>
      <c r="U191" s="19">
        <f t="shared" si="15"/>
        <v>3.6899999999999977</v>
      </c>
      <c r="V191" s="17">
        <f ca="1">(LN(N191/G191)+(L191/100)^2*P191/2)/(L191/100*SQRT(P191))</f>
        <v>1.2784171573942444</v>
      </c>
      <c r="W191" s="17">
        <f ca="1">V191-L191/100*SQRT(P191)</f>
        <v>0.73450348937149501</v>
      </c>
      <c r="X191" s="17">
        <f ca="1">(LN(N191/G191)+P191*(U191/100+(L191/100)^2/2))/((L191/100*SQRT(P191)))</f>
        <v>1.3287872582247018</v>
      </c>
      <c r="Y191" s="17">
        <f ca="1">X191-N191/100*SQRT(R191)</f>
        <v>0.65922589733236348</v>
      </c>
      <c r="Z191" s="20">
        <f ca="1">EXP(-P191)/(N191*L191/100*SQRT(P191))*_xlfn.NORM.S.DIST(X191,FALSE)</f>
        <v>8.3517018089020473E-3</v>
      </c>
      <c r="AA191" s="17">
        <f t="shared" ca="1" si="16"/>
        <v>1.1698567172409193E-2</v>
      </c>
      <c r="AB191" s="17"/>
      <c r="AC191" s="17"/>
      <c r="AD191" s="17"/>
    </row>
    <row r="192" spans="1:30" x14ac:dyDescent="0.25">
      <c r="A192" t="s">
        <v>106</v>
      </c>
      <c r="B192" t="s">
        <v>107</v>
      </c>
      <c r="C192" t="s">
        <v>108</v>
      </c>
      <c r="D192">
        <v>46388</v>
      </c>
      <c r="E192" t="s">
        <v>107</v>
      </c>
      <c r="F192" t="s">
        <v>109</v>
      </c>
      <c r="G192">
        <v>10.5</v>
      </c>
      <c r="H192">
        <v>7.4930000000000003</v>
      </c>
      <c r="I192">
        <v>0.45100000000000001</v>
      </c>
      <c r="J192" t="s">
        <v>66</v>
      </c>
      <c r="K192">
        <v>4172</v>
      </c>
      <c r="L192">
        <v>63.148400000000002</v>
      </c>
      <c r="M192">
        <v>0.88221000000000005</v>
      </c>
      <c r="N192">
        <f>INDEX(jkm!$H:$H,MATCH(J192,jkm!$J:$J,0),1)</f>
        <v>17.288</v>
      </c>
      <c r="O192" s="3">
        <f t="shared" ca="1" si="12"/>
        <v>271</v>
      </c>
      <c r="P192" s="3">
        <f t="shared" ca="1" si="13"/>
        <v>0.74246575342465748</v>
      </c>
      <c r="Q192" t="str" cm="1">
        <f t="array" ref="Q192:S192">_xlfn.TEXTSPLIT(J192,"/")</f>
        <v>12</v>
      </c>
      <c r="R192" s="1" t="str">
        <v>15</v>
      </c>
      <c r="S192" t="str">
        <v>2026</v>
      </c>
      <c r="T192" s="1">
        <f t="shared" si="14"/>
        <v>46371</v>
      </c>
      <c r="U192" s="19">
        <f t="shared" si="15"/>
        <v>3.6899999999999977</v>
      </c>
      <c r="V192" s="17">
        <f ca="1">(LN(N192/G192)+(L192/100)^2*P192/2)/(L192/100*SQRT(P192))</f>
        <v>1.1884619318901164</v>
      </c>
      <c r="W192" s="17">
        <f ca="1">V192-L192/100*SQRT(P192)</f>
        <v>0.64433457106519842</v>
      </c>
      <c r="X192" s="17">
        <f ca="1">(LN(N192/G192)+P192*(U192/100+(L192/100)^2/2))/((L192/100*SQRT(P192)))</f>
        <v>1.238812251087142</v>
      </c>
      <c r="Y192" s="17">
        <f ca="1">X192-N192/100*SQRT(R192)</f>
        <v>0.56925089019480368</v>
      </c>
      <c r="Z192" s="20">
        <f ca="1">EXP(-P192)/(N192*L192/100*SQRT(P192))*_xlfn.NORM.S.DIST(X192,FALSE)</f>
        <v>9.3706495559775643E-3</v>
      </c>
      <c r="AA192" s="17">
        <f t="shared" ca="1" si="16"/>
        <v>1.3131005457497392E-2</v>
      </c>
      <c r="AB192" s="17"/>
      <c r="AC192" s="17"/>
      <c r="AD192" s="17"/>
    </row>
    <row r="193" spans="1:30" x14ac:dyDescent="0.25">
      <c r="A193" t="s">
        <v>106</v>
      </c>
      <c r="B193" t="s">
        <v>107</v>
      </c>
      <c r="C193" t="s">
        <v>108</v>
      </c>
      <c r="D193">
        <v>46388</v>
      </c>
      <c r="E193" t="s">
        <v>107</v>
      </c>
      <c r="F193" t="s">
        <v>109</v>
      </c>
      <c r="G193">
        <v>11</v>
      </c>
      <c r="H193">
        <v>7.1319999999999997</v>
      </c>
      <c r="I193">
        <v>0.441</v>
      </c>
      <c r="J193" t="s">
        <v>66</v>
      </c>
      <c r="K193">
        <v>4172</v>
      </c>
      <c r="L193">
        <v>63.173200000000001</v>
      </c>
      <c r="M193">
        <v>0.86448999999999998</v>
      </c>
      <c r="N193">
        <f>INDEX(jkm!$H:$H,MATCH(J193,jkm!$J:$J,0),1)</f>
        <v>17.288</v>
      </c>
      <c r="O193" s="3">
        <f t="shared" ca="1" si="12"/>
        <v>271</v>
      </c>
      <c r="P193" s="3">
        <f t="shared" ca="1" si="13"/>
        <v>0.74246575342465748</v>
      </c>
      <c r="Q193" t="str" cm="1">
        <f t="array" ref="Q193:S193">_xlfn.TEXTSPLIT(J193,"/")</f>
        <v>12</v>
      </c>
      <c r="R193" s="1" t="str">
        <v>15</v>
      </c>
      <c r="S193" t="str">
        <v>2026</v>
      </c>
      <c r="T193" s="1">
        <f t="shared" si="14"/>
        <v>46371</v>
      </c>
      <c r="U193" s="19">
        <f t="shared" si="15"/>
        <v>3.6899999999999977</v>
      </c>
      <c r="V193" s="17">
        <f ca="1">(LN(N193/G193)+(L193/100)^2*P193/2)/(L193/100*SQRT(P193))</f>
        <v>1.1027478705461877</v>
      </c>
      <c r="W193" s="17">
        <f ca="1">V193-L193/100*SQRT(P193)</f>
        <v>0.55840681691910132</v>
      </c>
      <c r="X193" s="17">
        <f ca="1">(LN(N193/G193)+P193*(U193/100+(L193/100)^2/2))/((L193/100*SQRT(P193)))</f>
        <v>1.1530784236411942</v>
      </c>
      <c r="Y193" s="17">
        <f ca="1">X193-N193/100*SQRT(R193)</f>
        <v>0.48351706274885586</v>
      </c>
      <c r="Z193" s="20">
        <f ca="1">EXP(-P193)/(N193*L193/100*SQRT(P193))*_xlfn.NORM.S.DIST(X193,FALSE)</f>
        <v>1.0378358653518631E-2</v>
      </c>
      <c r="AA193" s="17">
        <f t="shared" ca="1" si="16"/>
        <v>1.4548810441604226E-2</v>
      </c>
      <c r="AB193" s="17"/>
      <c r="AC193" s="17"/>
      <c r="AD193" s="17"/>
    </row>
    <row r="194" spans="1:30" x14ac:dyDescent="0.25">
      <c r="A194" t="s">
        <v>106</v>
      </c>
      <c r="B194" t="s">
        <v>107</v>
      </c>
      <c r="C194" t="s">
        <v>108</v>
      </c>
      <c r="D194">
        <v>46388</v>
      </c>
      <c r="E194" t="s">
        <v>107</v>
      </c>
      <c r="F194" t="s">
        <v>109</v>
      </c>
      <c r="G194">
        <v>13</v>
      </c>
      <c r="H194">
        <v>5.8280000000000003</v>
      </c>
      <c r="I194">
        <v>0.39700000000000002</v>
      </c>
      <c r="J194" t="s">
        <v>66</v>
      </c>
      <c r="K194">
        <v>4172</v>
      </c>
      <c r="L194">
        <v>63.272599999999997</v>
      </c>
      <c r="M194">
        <v>0.78656000000000004</v>
      </c>
      <c r="N194">
        <f>INDEX(jkm!$H:$H,MATCH(J194,jkm!$J:$J,0),1)</f>
        <v>17.288</v>
      </c>
      <c r="O194" s="3">
        <f t="shared" ref="O194:O257" ca="1" si="17">T194-TODAY()</f>
        <v>271</v>
      </c>
      <c r="P194" s="3">
        <f t="shared" ca="1" si="13"/>
        <v>0.74246575342465748</v>
      </c>
      <c r="Q194" t="str" cm="1">
        <f t="array" ref="Q194:S194">_xlfn.TEXTSPLIT(J194,"/")</f>
        <v>12</v>
      </c>
      <c r="R194" s="1" t="str">
        <v>15</v>
      </c>
      <c r="S194" t="str">
        <v>2026</v>
      </c>
      <c r="T194" s="1">
        <f t="shared" si="14"/>
        <v>46371</v>
      </c>
      <c r="U194" s="19">
        <f t="shared" si="15"/>
        <v>3.6899999999999977</v>
      </c>
      <c r="V194" s="17">
        <f ca="1">(LN(N194/G194)+(L194/100)^2*P194/2)/(L194/100*SQRT(P194))</f>
        <v>0.79546110664901271</v>
      </c>
      <c r="W194" s="17">
        <f ca="1">V194-L194/100*SQRT(P194)</f>
        <v>0.25026355848420245</v>
      </c>
      <c r="X194" s="17">
        <f ca="1">(LN(N194/G194)+P194*(U194/100+(L194/100)^2/2))/((L194/100*SQRT(P194)))</f>
        <v>0.84571259144308575</v>
      </c>
      <c r="Y194" s="17">
        <f ca="1">X194-N194/100*SQRT(R194)</f>
        <v>0.17615123055074744</v>
      </c>
      <c r="Z194" s="20">
        <f ca="1">EXP(-P194)/(N194*L194/100*SQRT(P194))*_xlfn.NORM.S.DIST(X194,FALSE)</f>
        <v>1.408810121688641E-2</v>
      </c>
      <c r="AA194" s="17">
        <f t="shared" ca="1" si="16"/>
        <v>1.978035484373647E-2</v>
      </c>
      <c r="AB194" s="17"/>
      <c r="AC194" s="17"/>
      <c r="AD194" s="17"/>
    </row>
    <row r="195" spans="1:30" x14ac:dyDescent="0.25">
      <c r="A195" t="s">
        <v>106</v>
      </c>
      <c r="B195" t="s">
        <v>107</v>
      </c>
      <c r="C195" t="s">
        <v>108</v>
      </c>
      <c r="D195">
        <v>46388</v>
      </c>
      <c r="E195" t="s">
        <v>107</v>
      </c>
      <c r="F195" t="s">
        <v>109</v>
      </c>
      <c r="G195">
        <v>15</v>
      </c>
      <c r="H195">
        <v>4.7549999999999999</v>
      </c>
      <c r="I195">
        <v>0.34599999999999997</v>
      </c>
      <c r="J195" t="s">
        <v>66</v>
      </c>
      <c r="K195">
        <v>4172</v>
      </c>
      <c r="L195">
        <v>63.603099999999998</v>
      </c>
      <c r="M195">
        <v>0.70301999999999998</v>
      </c>
      <c r="N195">
        <f>INDEX(jkm!$H:$H,MATCH(J195,jkm!$J:$J,0),1)</f>
        <v>17.288</v>
      </c>
      <c r="O195" s="3">
        <f t="shared" ca="1" si="17"/>
        <v>271</v>
      </c>
      <c r="P195" s="3">
        <f t="shared" ref="P195:P258" ca="1" si="18">O195/365</f>
        <v>0.74246575342465748</v>
      </c>
      <c r="Q195" t="str" cm="1">
        <f t="array" ref="Q195:S195">_xlfn.TEXTSPLIT(J195,"/")</f>
        <v>12</v>
      </c>
      <c r="R195" s="1" t="str">
        <v>15</v>
      </c>
      <c r="S195" t="str">
        <v>2026</v>
      </c>
      <c r="T195" s="1">
        <f t="shared" ref="T195:T258" si="19">DATE(S195,Q195,R195)</f>
        <v>46371</v>
      </c>
      <c r="U195" s="19">
        <f t="shared" si="15"/>
        <v>3.6899999999999977</v>
      </c>
      <c r="V195" s="17">
        <f ca="1">(LN(N195/G195)+(L195/100)^2*P195/2)/(L195/100*SQRT(P195))</f>
        <v>0.53305674598276487</v>
      </c>
      <c r="W195" s="17">
        <f ca="1">V195-L195/100*SQRT(P195)</f>
        <v>-1.498860343675068E-2</v>
      </c>
      <c r="X195" s="17">
        <f ca="1">(LN(N195/G195)+P195*(U195/100+(L195/100)^2/2))/((L195/100*SQRT(P195)))</f>
        <v>0.58304710960940365</v>
      </c>
      <c r="Y195" s="17">
        <f ca="1">X195-N195/100*SQRT(R195)</f>
        <v>-8.6514251282934662E-2</v>
      </c>
      <c r="Z195" s="20">
        <f ca="1">EXP(-P195)/(N195*L195/100*SQRT(P195))*_xlfn.NORM.S.DIST(X195,FALSE)</f>
        <v>1.6907607155209066E-2</v>
      </c>
      <c r="AA195" s="17">
        <f t="shared" ca="1" si="16"/>
        <v>2.3863072806002025E-2</v>
      </c>
      <c r="AB195" s="17"/>
      <c r="AC195" s="17"/>
      <c r="AD195" s="17"/>
    </row>
    <row r="196" spans="1:30" x14ac:dyDescent="0.25">
      <c r="A196" t="s">
        <v>106</v>
      </c>
      <c r="B196" t="s">
        <v>107</v>
      </c>
      <c r="C196" t="s">
        <v>108</v>
      </c>
      <c r="D196">
        <v>46388</v>
      </c>
      <c r="E196" t="s">
        <v>107</v>
      </c>
      <c r="F196" t="s">
        <v>109</v>
      </c>
      <c r="G196">
        <v>15.5</v>
      </c>
      <c r="H196">
        <v>4.5220000000000002</v>
      </c>
      <c r="I196">
        <v>0.33400000000000002</v>
      </c>
      <c r="J196" t="s">
        <v>66</v>
      </c>
      <c r="K196">
        <v>4172</v>
      </c>
      <c r="L196">
        <v>63.747900000000001</v>
      </c>
      <c r="M196">
        <v>0.68213999999999997</v>
      </c>
      <c r="N196">
        <f>INDEX(jkm!$H:$H,MATCH(J196,jkm!$J:$J,0),1)</f>
        <v>17.288</v>
      </c>
      <c r="O196" s="3">
        <f t="shared" ca="1" si="17"/>
        <v>271</v>
      </c>
      <c r="P196" s="3">
        <f t="shared" ca="1" si="18"/>
        <v>0.74246575342465748</v>
      </c>
      <c r="Q196" t="str" cm="1">
        <f t="array" ref="Q196:S196">_xlfn.TEXTSPLIT(J196,"/")</f>
        <v>12</v>
      </c>
      <c r="R196" s="1" t="str">
        <v>15</v>
      </c>
      <c r="S196" t="str">
        <v>2026</v>
      </c>
      <c r="T196" s="1">
        <f t="shared" si="19"/>
        <v>46371</v>
      </c>
      <c r="U196" s="19">
        <f t="shared" ref="U196:U259" si="20">U195</f>
        <v>3.6899999999999977</v>
      </c>
      <c r="V196" s="17">
        <f ca="1">(LN(N196/G196)+(L196/100)^2*P196/2)/(L196/100*SQRT(P196))</f>
        <v>0.47339761878132941</v>
      </c>
      <c r="W196" s="17">
        <f ca="1">V196-L196/100*SQRT(P196)</f>
        <v>-7.5895420870202346E-2</v>
      </c>
      <c r="X196" s="17">
        <f ca="1">(LN(N196/G196)+P196*(U196/100+(L196/100)^2/2))/((L196/100*SQRT(P196)))</f>
        <v>0.52327443192782475</v>
      </c>
      <c r="Y196" s="17">
        <f ca="1">X196-N196/100*SQRT(R196)</f>
        <v>-0.14628692896451356</v>
      </c>
      <c r="Z196" s="20">
        <f ca="1">EXP(-P196)/(N196*L196/100*SQRT(P196))*_xlfn.NORM.S.DIST(X196,FALSE)</f>
        <v>1.7436287404095561E-2</v>
      </c>
      <c r="AA196" s="17">
        <f t="shared" ca="1" si="16"/>
        <v>2.4665267838134497E-2</v>
      </c>
      <c r="AB196" s="17"/>
      <c r="AC196" s="17"/>
      <c r="AD196" s="17"/>
    </row>
    <row r="197" spans="1:30" x14ac:dyDescent="0.25">
      <c r="A197" t="s">
        <v>106</v>
      </c>
      <c r="B197" t="s">
        <v>107</v>
      </c>
      <c r="C197" t="s">
        <v>108</v>
      </c>
      <c r="D197">
        <v>46388</v>
      </c>
      <c r="E197" t="s">
        <v>107</v>
      </c>
      <c r="F197" t="s">
        <v>109</v>
      </c>
      <c r="G197">
        <v>20</v>
      </c>
      <c r="H197">
        <v>2.9079999999999999</v>
      </c>
      <c r="I197">
        <v>0.24199999999999999</v>
      </c>
      <c r="J197" t="s">
        <v>66</v>
      </c>
      <c r="K197">
        <v>4172</v>
      </c>
      <c r="L197">
        <v>65.056299999999993</v>
      </c>
      <c r="M197">
        <v>0.50890000000000002</v>
      </c>
      <c r="N197">
        <f>INDEX(jkm!$H:$H,MATCH(J197,jkm!$J:$J,0),1)</f>
        <v>17.288</v>
      </c>
      <c r="O197" s="3">
        <f t="shared" ca="1" si="17"/>
        <v>271</v>
      </c>
      <c r="P197" s="3">
        <f t="shared" ca="1" si="18"/>
        <v>0.74246575342465748</v>
      </c>
      <c r="Q197" t="str" cm="1">
        <f t="array" ref="Q197:S197">_xlfn.TEXTSPLIT(J197,"/")</f>
        <v>12</v>
      </c>
      <c r="R197" s="1" t="str">
        <v>15</v>
      </c>
      <c r="S197" t="str">
        <v>2026</v>
      </c>
      <c r="T197" s="1">
        <f t="shared" si="19"/>
        <v>46371</v>
      </c>
      <c r="U197" s="19">
        <f t="shared" si="20"/>
        <v>3.6899999999999977</v>
      </c>
      <c r="V197" s="17">
        <f ca="1">(LN(N197/G197)+(L197/100)^2*P197/2)/(L197/100*SQRT(P197))</f>
        <v>2.0333087548884455E-2</v>
      </c>
      <c r="W197" s="17">
        <f ca="1">V197-L197/100*SQRT(P197)</f>
        <v>-0.54023397074608581</v>
      </c>
      <c r="X197" s="17">
        <f ca="1">(LN(N197/G197)+P197*(U197/100+(L197/100)^2/2))/((L197/100*SQRT(P197)))</f>
        <v>6.9206787663730562E-2</v>
      </c>
      <c r="Y197" s="17">
        <f ca="1">X197-N197/100*SQRT(R197)</f>
        <v>-0.60035457322860775</v>
      </c>
      <c r="Z197" s="20">
        <f ca="1">EXP(-P197)/(N197*L197/100*SQRT(P197))*_xlfn.NORM.S.DIST(X197,FALSE)</f>
        <v>1.9545595890523671E-2</v>
      </c>
      <c r="AA197" s="17">
        <f t="shared" ca="1" si="16"/>
        <v>2.8216569307413213E-2</v>
      </c>
      <c r="AB197" s="17"/>
      <c r="AC197" s="17"/>
      <c r="AD197" s="17"/>
    </row>
    <row r="198" spans="1:30" x14ac:dyDescent="0.25">
      <c r="A198" t="s">
        <v>106</v>
      </c>
      <c r="B198" t="s">
        <v>107</v>
      </c>
      <c r="C198" t="s">
        <v>108</v>
      </c>
      <c r="D198">
        <v>46388</v>
      </c>
      <c r="E198" t="s">
        <v>107</v>
      </c>
      <c r="F198" t="s">
        <v>109</v>
      </c>
      <c r="G198">
        <v>25</v>
      </c>
      <c r="H198">
        <v>1.77</v>
      </c>
      <c r="I198">
        <v>0.17199999999999999</v>
      </c>
      <c r="J198" t="s">
        <v>66</v>
      </c>
      <c r="K198">
        <v>4172</v>
      </c>
      <c r="L198">
        <v>65.212800000000001</v>
      </c>
      <c r="M198">
        <v>0.35493000000000002</v>
      </c>
      <c r="N198">
        <f>INDEX(jkm!$H:$H,MATCH(J198,jkm!$J:$J,0),1)</f>
        <v>17.288</v>
      </c>
      <c r="O198" s="3">
        <f t="shared" ca="1" si="17"/>
        <v>271</v>
      </c>
      <c r="P198" s="3">
        <f t="shared" ca="1" si="18"/>
        <v>0.74246575342465748</v>
      </c>
      <c r="Q198" t="str" cm="1">
        <f t="array" ref="Q198:S198">_xlfn.TEXTSPLIT(J198,"/")</f>
        <v>12</v>
      </c>
      <c r="R198" s="1" t="str">
        <v>15</v>
      </c>
      <c r="S198" t="str">
        <v>2026</v>
      </c>
      <c r="T198" s="1">
        <f t="shared" si="19"/>
        <v>46371</v>
      </c>
      <c r="U198" s="19">
        <f t="shared" si="20"/>
        <v>3.6899999999999977</v>
      </c>
      <c r="V198" s="17">
        <f ca="1">(LN(N198/G198)+(L198/100)^2*P198/2)/(L198/100*SQRT(P198))</f>
        <v>-0.37548106748863808</v>
      </c>
      <c r="W198" s="17">
        <f ca="1">V198-L198/100*SQRT(P198)</f>
        <v>-0.93739663076503477</v>
      </c>
      <c r="X198" s="17">
        <f ca="1">(LN(N198/G198)+P198*(U198/100+(L198/100)^2/2))/((L198/100*SQRT(P198)))</f>
        <v>-0.32672465621996899</v>
      </c>
      <c r="Y198" s="17">
        <f ca="1">X198-N198/100*SQRT(R198)</f>
        <v>-0.99628601711230735</v>
      </c>
      <c r="Z198" s="20">
        <f ca="1">EXP(-P198)/(N198*L198/100*SQRT(P198))*_xlfn.NORM.S.DIST(X198,FALSE)</f>
        <v>1.8529564846894522E-2</v>
      </c>
      <c r="AA198" s="17">
        <f t="shared" ca="1" si="16"/>
        <v>2.6814148001555307E-2</v>
      </c>
      <c r="AB198" s="17"/>
      <c r="AC198" s="17"/>
      <c r="AD198" s="17"/>
    </row>
    <row r="199" spans="1:30" x14ac:dyDescent="0.25">
      <c r="A199" t="s">
        <v>106</v>
      </c>
      <c r="B199" t="s">
        <v>107</v>
      </c>
      <c r="C199" t="s">
        <v>108</v>
      </c>
      <c r="D199">
        <v>46388</v>
      </c>
      <c r="E199" t="s">
        <v>107</v>
      </c>
      <c r="F199" t="s">
        <v>110</v>
      </c>
      <c r="G199">
        <v>5</v>
      </c>
      <c r="H199">
        <v>1.9E-2</v>
      </c>
      <c r="I199">
        <v>-3.0000000000000001E-3</v>
      </c>
      <c r="J199" t="s">
        <v>66</v>
      </c>
      <c r="K199">
        <v>4172</v>
      </c>
      <c r="L199">
        <v>62.875100000000003</v>
      </c>
      <c r="M199">
        <v>-5.3400000000000001E-3</v>
      </c>
      <c r="N199">
        <f>INDEX(jkm!$H:$H,MATCH(J199,jkm!$J:$J,0),1)</f>
        <v>17.288</v>
      </c>
      <c r="O199" s="3">
        <f t="shared" ca="1" si="17"/>
        <v>271</v>
      </c>
      <c r="P199" s="3">
        <f t="shared" ca="1" si="18"/>
        <v>0.74246575342465748</v>
      </c>
      <c r="Q199" t="str" cm="1">
        <f t="array" ref="Q199:S199">_xlfn.TEXTSPLIT(J199,"/")</f>
        <v>12</v>
      </c>
      <c r="R199" s="1" t="str">
        <v>15</v>
      </c>
      <c r="S199" t="str">
        <v>2026</v>
      </c>
      <c r="T199" s="1">
        <f t="shared" si="19"/>
        <v>46371</v>
      </c>
      <c r="U199" s="19">
        <f t="shared" si="20"/>
        <v>3.6899999999999977</v>
      </c>
      <c r="V199" s="17">
        <f ca="1">(LN(N199/G199)+(L199/100)^2*P199/2)/(L199/100*SQRT(P199))</f>
        <v>2.5607308705905107</v>
      </c>
      <c r="W199" s="17">
        <f ca="1">V199-L199/100*SQRT(P199)</f>
        <v>2.0189584389120707</v>
      </c>
      <c r="X199" s="17">
        <f ca="1">(LN(N199/G199)+P199*(U199/100+(L199/100)^2/2))/((L199/100*SQRT(P199)))</f>
        <v>2.6113000481628954</v>
      </c>
      <c r="Y199" s="17">
        <f ca="1">X199-N199/100*SQRT(R199)</f>
        <v>1.9417386872705571</v>
      </c>
      <c r="Z199" s="20">
        <f ca="1">EXP(-P199)/(N199*L199/100*SQRT(P199))*_xlfn.NORM.S.DIST(X199,FALSE)</f>
        <v>6.7018843212812891E-4</v>
      </c>
      <c r="AA199" s="17">
        <f t="shared" ca="1" si="16"/>
        <v>9.3506445938608212E-4</v>
      </c>
      <c r="AB199" s="17"/>
      <c r="AC199" s="17"/>
      <c r="AD199" s="17"/>
    </row>
    <row r="200" spans="1:30" x14ac:dyDescent="0.25">
      <c r="A200" t="s">
        <v>106</v>
      </c>
      <c r="B200" t="s">
        <v>107</v>
      </c>
      <c r="C200" t="s">
        <v>108</v>
      </c>
      <c r="D200">
        <v>46388</v>
      </c>
      <c r="E200" t="s">
        <v>107</v>
      </c>
      <c r="F200" t="s">
        <v>110</v>
      </c>
      <c r="G200">
        <v>6</v>
      </c>
      <c r="H200">
        <v>5.2999999999999999E-2</v>
      </c>
      <c r="I200">
        <v>-8.0000000000000002E-3</v>
      </c>
      <c r="J200" t="s">
        <v>66</v>
      </c>
      <c r="K200">
        <v>4172</v>
      </c>
      <c r="L200">
        <v>62.924799999999998</v>
      </c>
      <c r="M200">
        <v>-1.332E-2</v>
      </c>
      <c r="N200">
        <f>INDEX(jkm!$H:$H,MATCH(J200,jkm!$J:$J,0),1)</f>
        <v>17.288</v>
      </c>
      <c r="O200" s="3">
        <f t="shared" ca="1" si="17"/>
        <v>271</v>
      </c>
      <c r="P200" s="3">
        <f t="shared" ca="1" si="18"/>
        <v>0.74246575342465748</v>
      </c>
      <c r="Q200" t="str" cm="1">
        <f t="array" ref="Q200:S200">_xlfn.TEXTSPLIT(J200,"/")</f>
        <v>12</v>
      </c>
      <c r="R200" s="1" t="str">
        <v>15</v>
      </c>
      <c r="S200" t="str">
        <v>2026</v>
      </c>
      <c r="T200" s="1">
        <f t="shared" si="19"/>
        <v>46371</v>
      </c>
      <c r="U200" s="19">
        <f t="shared" si="20"/>
        <v>3.6899999999999977</v>
      </c>
      <c r="V200" s="17">
        <f ca="1">(LN(N200/G200)+(L200/100)^2*P200/2)/(L200/100*SQRT(P200))</f>
        <v>2.2228742694347101</v>
      </c>
      <c r="W200" s="17">
        <f ca="1">V200-L200/100*SQRT(P200)</f>
        <v>1.6806735904874084</v>
      </c>
      <c r="X200" s="17">
        <f ca="1">(LN(N200/G200)+P200*(U200/100+(L200/100)^2/2))/((L200/100*SQRT(P200)))</f>
        <v>2.273403505869017</v>
      </c>
      <c r="Y200" s="17">
        <f ca="1">X200-N200/100*SQRT(R200)</f>
        <v>1.6038421449766787</v>
      </c>
      <c r="Z200" s="20">
        <f ca="1">EXP(-P200)/(N200*L200/100*SQRT(P200))*_xlfn.NORM.S.DIST(X200,FALSE)</f>
        <v>1.5284829577186848E-3</v>
      </c>
      <c r="AA200" s="17">
        <f t="shared" ca="1" si="16"/>
        <v>2.1342651789698626E-3</v>
      </c>
      <c r="AB200" s="17"/>
      <c r="AC200" s="17"/>
      <c r="AD200" s="17"/>
    </row>
    <row r="201" spans="1:30" x14ac:dyDescent="0.25">
      <c r="A201" t="s">
        <v>106</v>
      </c>
      <c r="B201" t="s">
        <v>107</v>
      </c>
      <c r="C201" t="s">
        <v>108</v>
      </c>
      <c r="D201">
        <v>46388</v>
      </c>
      <c r="E201" t="s">
        <v>107</v>
      </c>
      <c r="F201" t="s">
        <v>110</v>
      </c>
      <c r="G201">
        <v>7</v>
      </c>
      <c r="H201">
        <v>0.11700000000000001</v>
      </c>
      <c r="I201">
        <v>-1.7000000000000001E-2</v>
      </c>
      <c r="J201" t="s">
        <v>66</v>
      </c>
      <c r="K201">
        <v>4172</v>
      </c>
      <c r="L201">
        <v>62.974499999999999</v>
      </c>
      <c r="M201">
        <v>-2.666E-2</v>
      </c>
      <c r="N201">
        <f>INDEX(jkm!$H:$H,MATCH(J201,jkm!$J:$J,0),1)</f>
        <v>17.288</v>
      </c>
      <c r="O201" s="3">
        <f t="shared" ca="1" si="17"/>
        <v>271</v>
      </c>
      <c r="P201" s="3">
        <f t="shared" ca="1" si="18"/>
        <v>0.74246575342465748</v>
      </c>
      <c r="Q201" t="str" cm="1">
        <f t="array" ref="Q201:S201">_xlfn.TEXTSPLIT(J201,"/")</f>
        <v>12</v>
      </c>
      <c r="R201" s="1" t="str">
        <v>15</v>
      </c>
      <c r="S201" t="str">
        <v>2026</v>
      </c>
      <c r="T201" s="1">
        <f t="shared" si="19"/>
        <v>46371</v>
      </c>
      <c r="U201" s="19">
        <f t="shared" si="20"/>
        <v>3.6899999999999977</v>
      </c>
      <c r="V201" s="17">
        <f ca="1">(LN(N201/G201)+(L201/100)^2*P201/2)/(L201/100*SQRT(P201))</f>
        <v>1.9374668307190743</v>
      </c>
      <c r="W201" s="17">
        <f ca="1">V201-L201/100*SQRT(P201)</f>
        <v>1.3948379045029107</v>
      </c>
      <c r="X201" s="17">
        <f ca="1">(LN(N201/G201)+P201*(U201/100+(L201/100)^2/2))/((L201/100*SQRT(P201)))</f>
        <v>1.9879561890590607</v>
      </c>
      <c r="Y201" s="17">
        <f ca="1">X201-N201/100*SQRT(R201)</f>
        <v>1.3183948281667224</v>
      </c>
      <c r="Z201" s="20">
        <f ca="1">EXP(-P201)/(N201*L201/100*SQRT(P201))*_xlfn.NORM.S.DIST(X201,FALSE)</f>
        <v>2.8057841047040297E-3</v>
      </c>
      <c r="AA201" s="17">
        <f t="shared" ca="1" si="16"/>
        <v>3.9208922959168687E-3</v>
      </c>
      <c r="AB201" s="17"/>
      <c r="AC201" s="17"/>
      <c r="AD201" s="17"/>
    </row>
    <row r="202" spans="1:30" x14ac:dyDescent="0.25">
      <c r="A202" t="s">
        <v>106</v>
      </c>
      <c r="B202" t="s">
        <v>107</v>
      </c>
      <c r="C202" t="s">
        <v>108</v>
      </c>
      <c r="D202">
        <v>46388</v>
      </c>
      <c r="E202" t="s">
        <v>107</v>
      </c>
      <c r="F202" t="s">
        <v>110</v>
      </c>
      <c r="G202">
        <v>8</v>
      </c>
      <c r="H202">
        <v>0.222</v>
      </c>
      <c r="I202">
        <v>-2.7E-2</v>
      </c>
      <c r="J202" t="s">
        <v>66</v>
      </c>
      <c r="K202">
        <v>4172</v>
      </c>
      <c r="L202">
        <v>63.0242</v>
      </c>
      <c r="M202">
        <v>-4.5870000000000001E-2</v>
      </c>
      <c r="N202">
        <f>INDEX(jkm!$H:$H,MATCH(J202,jkm!$J:$J,0),1)</f>
        <v>17.288</v>
      </c>
      <c r="O202" s="3">
        <f t="shared" ca="1" si="17"/>
        <v>271</v>
      </c>
      <c r="P202" s="3">
        <f t="shared" ca="1" si="18"/>
        <v>0.74246575342465748</v>
      </c>
      <c r="Q202" t="str" cm="1">
        <f t="array" ref="Q202:S202">_xlfn.TEXTSPLIT(J202,"/")</f>
        <v>12</v>
      </c>
      <c r="R202" s="1" t="str">
        <v>15</v>
      </c>
      <c r="S202" t="str">
        <v>2026</v>
      </c>
      <c r="T202" s="1">
        <f t="shared" si="19"/>
        <v>46371</v>
      </c>
      <c r="U202" s="19">
        <f t="shared" si="20"/>
        <v>3.6899999999999977</v>
      </c>
      <c r="V202" s="17">
        <f ca="1">(LN(N202/G202)+(L202/100)^2*P202/2)/(L202/100*SQRT(P202))</f>
        <v>1.6904787731099467</v>
      </c>
      <c r="W202" s="17">
        <f ca="1">V202-L202/100*SQRT(P202)</f>
        <v>1.1474215996249211</v>
      </c>
      <c r="X202" s="17">
        <f ca="1">(LN(N202/G202)+P202*(U202/100+(L202/100)^2/2))/((L202/100*SQRT(P202)))</f>
        <v>1.740928316250224</v>
      </c>
      <c r="Y202" s="17">
        <f ca="1">X202-N202/100*SQRT(R202)</f>
        <v>1.0713669553578857</v>
      </c>
      <c r="Z202" s="20">
        <f ca="1">EXP(-P202)/(N202*L202/100*SQRT(P202))*_xlfn.NORM.S.DIST(X202,FALSE)</f>
        <v>4.4435932723217338E-3</v>
      </c>
      <c r="AA202" s="17">
        <f t="shared" ca="1" si="16"/>
        <v>6.2145198047329816E-3</v>
      </c>
      <c r="AB202" s="17"/>
      <c r="AC202" s="17"/>
      <c r="AD202" s="17"/>
    </row>
    <row r="203" spans="1:30" x14ac:dyDescent="0.25">
      <c r="A203" t="s">
        <v>106</v>
      </c>
      <c r="B203" t="s">
        <v>107</v>
      </c>
      <c r="C203" t="s">
        <v>108</v>
      </c>
      <c r="D203">
        <v>46388</v>
      </c>
      <c r="E203" t="s">
        <v>107</v>
      </c>
      <c r="F203" t="s">
        <v>110</v>
      </c>
      <c r="G203">
        <v>8.5</v>
      </c>
      <c r="H203">
        <v>0.29199999999999998</v>
      </c>
      <c r="I203">
        <v>-3.4000000000000002E-2</v>
      </c>
      <c r="J203" t="s">
        <v>66</v>
      </c>
      <c r="K203">
        <v>4172</v>
      </c>
      <c r="L203">
        <v>63.048999999999999</v>
      </c>
      <c r="M203">
        <v>-5.7669999999999999E-2</v>
      </c>
      <c r="N203">
        <f>INDEX(jkm!$H:$H,MATCH(J203,jkm!$J:$J,0),1)</f>
        <v>17.288</v>
      </c>
      <c r="O203" s="3">
        <f t="shared" ca="1" si="17"/>
        <v>271</v>
      </c>
      <c r="P203" s="3">
        <f t="shared" ca="1" si="18"/>
        <v>0.74246575342465748</v>
      </c>
      <c r="Q203" t="str" cm="1">
        <f t="array" ref="Q203:S203">_xlfn.TEXTSPLIT(J203,"/")</f>
        <v>12</v>
      </c>
      <c r="R203" s="1" t="str">
        <v>15</v>
      </c>
      <c r="S203" t="str">
        <v>2026</v>
      </c>
      <c r="T203" s="1">
        <f t="shared" si="19"/>
        <v>46371</v>
      </c>
      <c r="U203" s="19">
        <f t="shared" si="20"/>
        <v>3.6899999999999977</v>
      </c>
      <c r="V203" s="17">
        <f ca="1">(LN(N203/G203)+(L203/100)^2*P203/2)/(L203/100*SQRT(P203))</f>
        <v>1.5784355944705046</v>
      </c>
      <c r="W203" s="17">
        <f ca="1">V203-L203/100*SQRT(P203)</f>
        <v>1.0351647281833105</v>
      </c>
      <c r="X203" s="17">
        <f ca="1">(LN(N203/G203)+P203*(U203/100+(L203/100)^2/2))/((L203/100*SQRT(P203)))</f>
        <v>1.6288652935423609</v>
      </c>
      <c r="Y203" s="17">
        <f ca="1">X203-N203/100*SQRT(R203)</f>
        <v>0.95930393265002256</v>
      </c>
      <c r="Z203" s="20">
        <f ca="1">EXP(-P203)/(N203*L203/100*SQRT(P203))*_xlfn.NORM.S.DIST(X203,FALSE)</f>
        <v>5.3649365608311799E-3</v>
      </c>
      <c r="AA203" s="17">
        <f t="shared" ca="1" si="16"/>
        <v>7.5060028992054847E-3</v>
      </c>
      <c r="AB203" s="17"/>
      <c r="AC203" s="17"/>
      <c r="AD203" s="17"/>
    </row>
    <row r="204" spans="1:30" x14ac:dyDescent="0.25">
      <c r="A204" t="s">
        <v>106</v>
      </c>
      <c r="B204" t="s">
        <v>107</v>
      </c>
      <c r="C204" t="s">
        <v>108</v>
      </c>
      <c r="D204">
        <v>46388</v>
      </c>
      <c r="E204" t="s">
        <v>107</v>
      </c>
      <c r="F204" t="s">
        <v>110</v>
      </c>
      <c r="G204">
        <v>9</v>
      </c>
      <c r="H204">
        <v>0.375</v>
      </c>
      <c r="I204">
        <v>-4.2000000000000003E-2</v>
      </c>
      <c r="J204" t="s">
        <v>66</v>
      </c>
      <c r="K204">
        <v>4172</v>
      </c>
      <c r="L204">
        <v>63.073900000000002</v>
      </c>
      <c r="M204">
        <v>-7.0860000000000006E-2</v>
      </c>
      <c r="N204">
        <f>INDEX(jkm!$H:$H,MATCH(J204,jkm!$J:$J,0),1)</f>
        <v>17.288</v>
      </c>
      <c r="O204" s="3">
        <f t="shared" ca="1" si="17"/>
        <v>271</v>
      </c>
      <c r="P204" s="3">
        <f t="shared" ca="1" si="18"/>
        <v>0.74246575342465748</v>
      </c>
      <c r="Q204" t="str" cm="1">
        <f t="array" ref="Q204:S204">_xlfn.TEXTSPLIT(J204,"/")</f>
        <v>12</v>
      </c>
      <c r="R204" s="1" t="str">
        <v>15</v>
      </c>
      <c r="S204" t="str">
        <v>2026</v>
      </c>
      <c r="T204" s="1">
        <f t="shared" si="19"/>
        <v>46371</v>
      </c>
      <c r="U204" s="19">
        <f t="shared" si="20"/>
        <v>3.6899999999999977</v>
      </c>
      <c r="V204" s="17">
        <f ca="1">(LN(N204/G204)+(L204/100)^2*P204/2)/(L204/100*SQRT(P204))</f>
        <v>1.4728568837118248</v>
      </c>
      <c r="W204" s="17">
        <f ca="1">V204-L204/100*SQRT(P204)</f>
        <v>0.92937146295793727</v>
      </c>
      <c r="X204" s="17">
        <f ca="1">(LN(N204/G204)+P204*(U204/100+(L204/100)^2/2))/((L204/100*SQRT(P204)))</f>
        <v>1.5232666743983283</v>
      </c>
      <c r="Y204" s="17">
        <f ca="1">X204-N204/100*SQRT(R204)</f>
        <v>0.85370531350598999</v>
      </c>
      <c r="Z204" s="20">
        <f ca="1">EXP(-P204)/(N204*L204/100*SQRT(P204))*_xlfn.NORM.S.DIST(X204,FALSE)</f>
        <v>6.3339248911513943E-3</v>
      </c>
      <c r="AA204" s="17">
        <f t="shared" ca="1" si="16"/>
        <v>8.8651998107124874E-3</v>
      </c>
      <c r="AB204" s="17"/>
      <c r="AC204" s="17"/>
      <c r="AD204" s="17"/>
    </row>
    <row r="205" spans="1:30" x14ac:dyDescent="0.25">
      <c r="A205" t="s">
        <v>106</v>
      </c>
      <c r="B205" t="s">
        <v>107</v>
      </c>
      <c r="C205" t="s">
        <v>108</v>
      </c>
      <c r="D205">
        <v>46388</v>
      </c>
      <c r="E205" t="s">
        <v>107</v>
      </c>
      <c r="F205" t="s">
        <v>110</v>
      </c>
      <c r="G205">
        <v>9.5</v>
      </c>
      <c r="H205">
        <v>0.47099999999999997</v>
      </c>
      <c r="I205">
        <v>-0.05</v>
      </c>
      <c r="J205" t="s">
        <v>66</v>
      </c>
      <c r="K205">
        <v>4172</v>
      </c>
      <c r="L205">
        <v>63.098700000000001</v>
      </c>
      <c r="M205">
        <v>-8.5339999999999999E-2</v>
      </c>
      <c r="N205">
        <f>INDEX(jkm!$H:$H,MATCH(J205,jkm!$J:$J,0),1)</f>
        <v>17.288</v>
      </c>
      <c r="O205" s="3">
        <f t="shared" ca="1" si="17"/>
        <v>271</v>
      </c>
      <c r="P205" s="3">
        <f t="shared" ca="1" si="18"/>
        <v>0.74246575342465748</v>
      </c>
      <c r="Q205" t="str" cm="1">
        <f t="array" ref="Q205:S205">_xlfn.TEXTSPLIT(J205,"/")</f>
        <v>12</v>
      </c>
      <c r="R205" s="1" t="str">
        <v>15</v>
      </c>
      <c r="S205" t="str">
        <v>2026</v>
      </c>
      <c r="T205" s="1">
        <f t="shared" si="19"/>
        <v>46371</v>
      </c>
      <c r="U205" s="19">
        <f t="shared" si="20"/>
        <v>3.6899999999999977</v>
      </c>
      <c r="V205" s="17">
        <f ca="1">(LN(N205/G205)+(L205/100)^2*P205/2)/(L205/100*SQRT(P205))</f>
        <v>1.3730483736790986</v>
      </c>
      <c r="W205" s="17">
        <f ca="1">V205-L205/100*SQRT(P205)</f>
        <v>0.82934926012304266</v>
      </c>
      <c r="X205" s="17">
        <f ca="1">(LN(N205/G205)+P205*(U205/100+(L205/100)^2/2))/((L205/100*SQRT(P205)))</f>
        <v>1.4234383515515663</v>
      </c>
      <c r="Y205" s="17">
        <f ca="1">X205-N205/100*SQRT(R205)</f>
        <v>0.75387699065922797</v>
      </c>
      <c r="Z205" s="20">
        <f ca="1">EXP(-P205)/(N205*L205/100*SQRT(P205))*_xlfn.NORM.S.DIST(X205,FALSE)</f>
        <v>7.3346470221998493E-3</v>
      </c>
      <c r="AA205" s="17">
        <f t="shared" ca="1" si="16"/>
        <v>1.0269884616618102E-2</v>
      </c>
      <c r="AB205" s="17"/>
      <c r="AC205" s="17"/>
      <c r="AD205" s="17"/>
    </row>
    <row r="206" spans="1:30" x14ac:dyDescent="0.25">
      <c r="A206" t="s">
        <v>106</v>
      </c>
      <c r="B206" t="s">
        <v>107</v>
      </c>
      <c r="C206" t="s">
        <v>108</v>
      </c>
      <c r="D206">
        <v>46388</v>
      </c>
      <c r="E206" t="s">
        <v>107</v>
      </c>
      <c r="F206" t="s">
        <v>110</v>
      </c>
      <c r="G206">
        <v>10</v>
      </c>
      <c r="H206">
        <v>0.58099999999999996</v>
      </c>
      <c r="I206">
        <v>-5.8999999999999997E-2</v>
      </c>
      <c r="J206" t="s">
        <v>66</v>
      </c>
      <c r="K206">
        <v>4172</v>
      </c>
      <c r="L206">
        <v>63.123600000000003</v>
      </c>
      <c r="M206">
        <v>-0.10102999999999999</v>
      </c>
      <c r="N206">
        <f>INDEX(jkm!$H:$H,MATCH(J206,jkm!$J:$J,0),1)</f>
        <v>17.288</v>
      </c>
      <c r="O206" s="3">
        <f t="shared" ca="1" si="17"/>
        <v>271</v>
      </c>
      <c r="P206" s="3">
        <f t="shared" ca="1" si="18"/>
        <v>0.74246575342465748</v>
      </c>
      <c r="Q206" t="str" cm="1">
        <f t="array" ref="Q206:S206">_xlfn.TEXTSPLIT(J206,"/")</f>
        <v>12</v>
      </c>
      <c r="R206" s="1" t="str">
        <v>15</v>
      </c>
      <c r="S206" t="str">
        <v>2026</v>
      </c>
      <c r="T206" s="1">
        <f t="shared" si="19"/>
        <v>46371</v>
      </c>
      <c r="U206" s="19">
        <f t="shared" si="20"/>
        <v>3.6899999999999977</v>
      </c>
      <c r="V206" s="17">
        <f ca="1">(LN(N206/G206)+(L206/100)^2*P206/2)/(L206/100*SQRT(P206))</f>
        <v>1.2784171573942444</v>
      </c>
      <c r="W206" s="17">
        <f ca="1">V206-L206/100*SQRT(P206)</f>
        <v>0.73450348937149501</v>
      </c>
      <c r="X206" s="17">
        <f ca="1">(LN(N206/G206)+P206*(U206/100+(L206/100)^2/2))/((L206/100*SQRT(P206)))</f>
        <v>1.3287872582247018</v>
      </c>
      <c r="Y206" s="17">
        <f ca="1">X206-N206/100*SQRT(R206)</f>
        <v>0.65922589733236348</v>
      </c>
      <c r="Z206" s="20">
        <f ca="1">EXP(-P206)/(N206*L206/100*SQRT(P206))*_xlfn.NORM.S.DIST(X206,FALSE)</f>
        <v>8.3517018089020473E-3</v>
      </c>
      <c r="AA206" s="17">
        <f t="shared" ca="1" si="16"/>
        <v>1.1698567172409193E-2</v>
      </c>
      <c r="AB206" s="17"/>
      <c r="AC206" s="17"/>
      <c r="AD206" s="17"/>
    </row>
    <row r="207" spans="1:30" x14ac:dyDescent="0.25">
      <c r="A207" t="s">
        <v>106</v>
      </c>
      <c r="B207" t="s">
        <v>107</v>
      </c>
      <c r="C207" t="s">
        <v>108</v>
      </c>
      <c r="D207">
        <v>46388</v>
      </c>
      <c r="E207" t="s">
        <v>107</v>
      </c>
      <c r="F207" t="s">
        <v>110</v>
      </c>
      <c r="G207">
        <v>10.5</v>
      </c>
      <c r="H207">
        <v>0.70499999999999996</v>
      </c>
      <c r="I207">
        <v>-6.8000000000000005E-2</v>
      </c>
      <c r="J207" t="s">
        <v>66</v>
      </c>
      <c r="K207">
        <v>4172</v>
      </c>
      <c r="L207">
        <v>63.148400000000002</v>
      </c>
      <c r="M207">
        <v>-0.11779000000000001</v>
      </c>
      <c r="N207">
        <f>INDEX(jkm!$H:$H,MATCH(J207,jkm!$J:$J,0),1)</f>
        <v>17.288</v>
      </c>
      <c r="O207" s="3">
        <f t="shared" ca="1" si="17"/>
        <v>271</v>
      </c>
      <c r="P207" s="3">
        <f t="shared" ca="1" si="18"/>
        <v>0.74246575342465748</v>
      </c>
      <c r="Q207" t="str" cm="1">
        <f t="array" ref="Q207:S207">_xlfn.TEXTSPLIT(J207,"/")</f>
        <v>12</v>
      </c>
      <c r="R207" s="1" t="str">
        <v>15</v>
      </c>
      <c r="S207" t="str">
        <v>2026</v>
      </c>
      <c r="T207" s="1">
        <f t="shared" si="19"/>
        <v>46371</v>
      </c>
      <c r="U207" s="19">
        <f t="shared" si="20"/>
        <v>3.6899999999999977</v>
      </c>
      <c r="V207" s="17">
        <f ca="1">(LN(N207/G207)+(L207/100)^2*P207/2)/(L207/100*SQRT(P207))</f>
        <v>1.1884619318901164</v>
      </c>
      <c r="W207" s="17">
        <f ca="1">V207-L207/100*SQRT(P207)</f>
        <v>0.64433457106519842</v>
      </c>
      <c r="X207" s="17">
        <f ca="1">(LN(N207/G207)+P207*(U207/100+(L207/100)^2/2))/((L207/100*SQRT(P207)))</f>
        <v>1.238812251087142</v>
      </c>
      <c r="Y207" s="17">
        <f ca="1">X207-N207/100*SQRT(R207)</f>
        <v>0.56925089019480368</v>
      </c>
      <c r="Z207" s="20">
        <f ca="1">EXP(-P207)/(N207*L207/100*SQRT(P207))*_xlfn.NORM.S.DIST(X207,FALSE)</f>
        <v>9.3706495559775643E-3</v>
      </c>
      <c r="AA207" s="17">
        <f t="shared" ca="1" si="16"/>
        <v>1.3131005457497392E-2</v>
      </c>
      <c r="AB207" s="17"/>
      <c r="AC207" s="17"/>
      <c r="AD207" s="17"/>
    </row>
    <row r="208" spans="1:30" x14ac:dyDescent="0.25">
      <c r="A208" t="s">
        <v>106</v>
      </c>
      <c r="B208" t="s">
        <v>107</v>
      </c>
      <c r="C208" t="s">
        <v>108</v>
      </c>
      <c r="D208">
        <v>46388</v>
      </c>
      <c r="E208" t="s">
        <v>107</v>
      </c>
      <c r="F208" t="s">
        <v>110</v>
      </c>
      <c r="G208">
        <v>11</v>
      </c>
      <c r="H208">
        <v>0.84399999999999997</v>
      </c>
      <c r="I208">
        <v>-7.8E-2</v>
      </c>
      <c r="J208" t="s">
        <v>66</v>
      </c>
      <c r="K208">
        <v>4172</v>
      </c>
      <c r="L208">
        <v>63.173200000000001</v>
      </c>
      <c r="M208">
        <v>-0.13550999999999999</v>
      </c>
      <c r="N208">
        <f>INDEX(jkm!$H:$H,MATCH(J208,jkm!$J:$J,0),1)</f>
        <v>17.288</v>
      </c>
      <c r="O208" s="3">
        <f t="shared" ca="1" si="17"/>
        <v>271</v>
      </c>
      <c r="P208" s="3">
        <f t="shared" ca="1" si="18"/>
        <v>0.74246575342465748</v>
      </c>
      <c r="Q208" t="str" cm="1">
        <f t="array" ref="Q208:S208">_xlfn.TEXTSPLIT(J208,"/")</f>
        <v>12</v>
      </c>
      <c r="R208" s="1" t="str">
        <v>15</v>
      </c>
      <c r="S208" t="str">
        <v>2026</v>
      </c>
      <c r="T208" s="1">
        <f t="shared" si="19"/>
        <v>46371</v>
      </c>
      <c r="U208" s="19">
        <f t="shared" si="20"/>
        <v>3.6899999999999977</v>
      </c>
      <c r="V208" s="17">
        <f ca="1">(LN(N208/G208)+(L208/100)^2*P208/2)/(L208/100*SQRT(P208))</f>
        <v>1.1027478705461877</v>
      </c>
      <c r="W208" s="17">
        <f ca="1">V208-L208/100*SQRT(P208)</f>
        <v>0.55840681691910132</v>
      </c>
      <c r="X208" s="17">
        <f ca="1">(LN(N208/G208)+P208*(U208/100+(L208/100)^2/2))/((L208/100*SQRT(P208)))</f>
        <v>1.1530784236411942</v>
      </c>
      <c r="Y208" s="17">
        <f ca="1">X208-N208/100*SQRT(R208)</f>
        <v>0.48351706274885586</v>
      </c>
      <c r="Z208" s="20">
        <f ca="1">EXP(-P208)/(N208*L208/100*SQRT(P208))*_xlfn.NORM.S.DIST(X208,FALSE)</f>
        <v>1.0378358653518631E-2</v>
      </c>
      <c r="AA208" s="17">
        <f t="shared" ca="1" si="16"/>
        <v>1.4548810441604226E-2</v>
      </c>
      <c r="AB208" s="17"/>
      <c r="AC208" s="17"/>
      <c r="AD208" s="17"/>
    </row>
    <row r="209" spans="1:30" x14ac:dyDescent="0.25">
      <c r="A209" t="s">
        <v>106</v>
      </c>
      <c r="B209" t="s">
        <v>107</v>
      </c>
      <c r="C209" t="s">
        <v>108</v>
      </c>
      <c r="D209">
        <v>46388</v>
      </c>
      <c r="E209" t="s">
        <v>107</v>
      </c>
      <c r="F209" t="s">
        <v>110</v>
      </c>
      <c r="G209">
        <v>13</v>
      </c>
      <c r="H209">
        <v>1.54</v>
      </c>
      <c r="I209">
        <v>-0.122</v>
      </c>
      <c r="J209" t="s">
        <v>66</v>
      </c>
      <c r="K209">
        <v>4172</v>
      </c>
      <c r="L209">
        <v>63.272599999999997</v>
      </c>
      <c r="M209">
        <v>-0.21343999999999999</v>
      </c>
      <c r="N209">
        <f>INDEX(jkm!$H:$H,MATCH(J209,jkm!$J:$J,0),1)</f>
        <v>17.288</v>
      </c>
      <c r="O209" s="3">
        <f t="shared" ca="1" si="17"/>
        <v>271</v>
      </c>
      <c r="P209" s="3">
        <f t="shared" ca="1" si="18"/>
        <v>0.74246575342465748</v>
      </c>
      <c r="Q209" t="str" cm="1">
        <f t="array" ref="Q209:S209">_xlfn.TEXTSPLIT(J209,"/")</f>
        <v>12</v>
      </c>
      <c r="R209" s="1" t="str">
        <v>15</v>
      </c>
      <c r="S209" t="str">
        <v>2026</v>
      </c>
      <c r="T209" s="1">
        <f t="shared" si="19"/>
        <v>46371</v>
      </c>
      <c r="U209" s="19">
        <f t="shared" si="20"/>
        <v>3.6899999999999977</v>
      </c>
      <c r="V209" s="17">
        <f ca="1">(LN(N209/G209)+(L209/100)^2*P209/2)/(L209/100*SQRT(P209))</f>
        <v>0.79546110664901271</v>
      </c>
      <c r="W209" s="17">
        <f ca="1">V209-L209/100*SQRT(P209)</f>
        <v>0.25026355848420245</v>
      </c>
      <c r="X209" s="17">
        <f ca="1">(LN(N209/G209)+P209*(U209/100+(L209/100)^2/2))/((L209/100*SQRT(P209)))</f>
        <v>0.84571259144308575</v>
      </c>
      <c r="Y209" s="17">
        <f ca="1">X209-N209/100*SQRT(R209)</f>
        <v>0.17615123055074744</v>
      </c>
      <c r="Z209" s="20">
        <f ca="1">EXP(-P209)/(N209*L209/100*SQRT(P209))*_xlfn.NORM.S.DIST(X209,FALSE)</f>
        <v>1.408810121688641E-2</v>
      </c>
      <c r="AA209" s="17">
        <f t="shared" ca="1" si="16"/>
        <v>1.978035484373647E-2</v>
      </c>
      <c r="AB209" s="17"/>
      <c r="AC209" s="17"/>
      <c r="AD209" s="17"/>
    </row>
    <row r="210" spans="1:30" x14ac:dyDescent="0.25">
      <c r="A210" t="s">
        <v>106</v>
      </c>
      <c r="B210" t="s">
        <v>107</v>
      </c>
      <c r="C210" t="s">
        <v>108</v>
      </c>
      <c r="D210">
        <v>46388</v>
      </c>
      <c r="E210" t="s">
        <v>107</v>
      </c>
      <c r="F210" t="s">
        <v>110</v>
      </c>
      <c r="G210">
        <v>15</v>
      </c>
      <c r="H210">
        <v>2.4670000000000001</v>
      </c>
      <c r="I210">
        <v>-0.17299999999999999</v>
      </c>
      <c r="J210" t="s">
        <v>66</v>
      </c>
      <c r="K210">
        <v>4172</v>
      </c>
      <c r="L210">
        <v>63.603099999999998</v>
      </c>
      <c r="M210">
        <v>-0.29698000000000002</v>
      </c>
      <c r="N210">
        <f>INDEX(jkm!$H:$H,MATCH(J210,jkm!$J:$J,0),1)</f>
        <v>17.288</v>
      </c>
      <c r="O210" s="3">
        <f t="shared" ca="1" si="17"/>
        <v>271</v>
      </c>
      <c r="P210" s="3">
        <f t="shared" ca="1" si="18"/>
        <v>0.74246575342465748</v>
      </c>
      <c r="Q210" t="str" cm="1">
        <f t="array" ref="Q210:S210">_xlfn.TEXTSPLIT(J210,"/")</f>
        <v>12</v>
      </c>
      <c r="R210" s="1" t="str">
        <v>15</v>
      </c>
      <c r="S210" t="str">
        <v>2026</v>
      </c>
      <c r="T210" s="1">
        <f t="shared" si="19"/>
        <v>46371</v>
      </c>
      <c r="U210" s="19">
        <f t="shared" si="20"/>
        <v>3.6899999999999977</v>
      </c>
      <c r="V210" s="17">
        <f ca="1">(LN(N210/G210)+(L210/100)^2*P210/2)/(L210/100*SQRT(P210))</f>
        <v>0.53305674598276487</v>
      </c>
      <c r="W210" s="17">
        <f ca="1">V210-L210/100*SQRT(P210)</f>
        <v>-1.498860343675068E-2</v>
      </c>
      <c r="X210" s="17">
        <f ca="1">(LN(N210/G210)+P210*(U210/100+(L210/100)^2/2))/((L210/100*SQRT(P210)))</f>
        <v>0.58304710960940365</v>
      </c>
      <c r="Y210" s="17">
        <f ca="1">X210-N210/100*SQRT(R210)</f>
        <v>-8.6514251282934662E-2</v>
      </c>
      <c r="Z210" s="20">
        <f ca="1">EXP(-P210)/(N210*L210/100*SQRT(P210))*_xlfn.NORM.S.DIST(X210,FALSE)</f>
        <v>1.6907607155209066E-2</v>
      </c>
      <c r="AA210" s="17">
        <f t="shared" ca="1" si="16"/>
        <v>2.3863072806002025E-2</v>
      </c>
      <c r="AB210" s="17"/>
      <c r="AC210" s="17"/>
      <c r="AD210" s="17"/>
    </row>
    <row r="211" spans="1:30" x14ac:dyDescent="0.25">
      <c r="A211" t="s">
        <v>106</v>
      </c>
      <c r="B211" t="s">
        <v>107</v>
      </c>
      <c r="C211" t="s">
        <v>108</v>
      </c>
      <c r="D211">
        <v>46388</v>
      </c>
      <c r="E211" t="s">
        <v>107</v>
      </c>
      <c r="F211" t="s">
        <v>110</v>
      </c>
      <c r="G211">
        <v>15.5</v>
      </c>
      <c r="H211">
        <v>2.734</v>
      </c>
      <c r="I211">
        <v>-0.185</v>
      </c>
      <c r="J211" t="s">
        <v>66</v>
      </c>
      <c r="K211">
        <v>4172</v>
      </c>
      <c r="L211">
        <v>63.747900000000001</v>
      </c>
      <c r="M211">
        <v>-0.31785999999999998</v>
      </c>
      <c r="N211">
        <f>INDEX(jkm!$H:$H,MATCH(J211,jkm!$J:$J,0),1)</f>
        <v>17.288</v>
      </c>
      <c r="O211" s="3">
        <f t="shared" ca="1" si="17"/>
        <v>271</v>
      </c>
      <c r="P211" s="3">
        <f t="shared" ca="1" si="18"/>
        <v>0.74246575342465748</v>
      </c>
      <c r="Q211" t="str" cm="1">
        <f t="array" ref="Q211:S211">_xlfn.TEXTSPLIT(J211,"/")</f>
        <v>12</v>
      </c>
      <c r="R211" s="1" t="str">
        <v>15</v>
      </c>
      <c r="S211" t="str">
        <v>2026</v>
      </c>
      <c r="T211" s="1">
        <f t="shared" si="19"/>
        <v>46371</v>
      </c>
      <c r="U211" s="19">
        <f t="shared" si="20"/>
        <v>3.6899999999999977</v>
      </c>
      <c r="V211" s="17">
        <f ca="1">(LN(N211/G211)+(L211/100)^2*P211/2)/(L211/100*SQRT(P211))</f>
        <v>0.47339761878132941</v>
      </c>
      <c r="W211" s="17">
        <f ca="1">V211-L211/100*SQRT(P211)</f>
        <v>-7.5895420870202346E-2</v>
      </c>
      <c r="X211" s="17">
        <f ca="1">(LN(N211/G211)+P211*(U211/100+(L211/100)^2/2))/((L211/100*SQRT(P211)))</f>
        <v>0.52327443192782475</v>
      </c>
      <c r="Y211" s="17">
        <f ca="1">X211-N211/100*SQRT(R211)</f>
        <v>-0.14628692896451356</v>
      </c>
      <c r="Z211" s="20">
        <f ca="1">EXP(-P211)/(N211*L211/100*SQRT(P211))*_xlfn.NORM.S.DIST(X211,FALSE)</f>
        <v>1.7436287404095561E-2</v>
      </c>
      <c r="AA211" s="17">
        <f t="shared" ca="1" si="16"/>
        <v>2.4665267838134497E-2</v>
      </c>
      <c r="AB211" s="17"/>
      <c r="AC211" s="17"/>
      <c r="AD211" s="17"/>
    </row>
    <row r="212" spans="1:30" x14ac:dyDescent="0.25">
      <c r="A212" t="s">
        <v>106</v>
      </c>
      <c r="B212" t="s">
        <v>107</v>
      </c>
      <c r="C212" t="s">
        <v>108</v>
      </c>
      <c r="D212">
        <v>46388</v>
      </c>
      <c r="E212" t="s">
        <v>107</v>
      </c>
      <c r="F212" t="s">
        <v>110</v>
      </c>
      <c r="G212">
        <v>20</v>
      </c>
      <c r="H212">
        <v>5.62</v>
      </c>
      <c r="I212">
        <v>-0.27700000000000002</v>
      </c>
      <c r="J212" t="s">
        <v>66</v>
      </c>
      <c r="K212">
        <v>4172</v>
      </c>
      <c r="L212">
        <v>65.056299999999993</v>
      </c>
      <c r="M212">
        <v>-0.49109999999999998</v>
      </c>
      <c r="N212">
        <f>INDEX(jkm!$H:$H,MATCH(J212,jkm!$J:$J,0),1)</f>
        <v>17.288</v>
      </c>
      <c r="O212" s="3">
        <f t="shared" ca="1" si="17"/>
        <v>271</v>
      </c>
      <c r="P212" s="3">
        <f t="shared" ca="1" si="18"/>
        <v>0.74246575342465748</v>
      </c>
      <c r="Q212" t="str" cm="1">
        <f t="array" ref="Q212:S212">_xlfn.TEXTSPLIT(J212,"/")</f>
        <v>12</v>
      </c>
      <c r="R212" s="1" t="str">
        <v>15</v>
      </c>
      <c r="S212" t="str">
        <v>2026</v>
      </c>
      <c r="T212" s="1">
        <f t="shared" si="19"/>
        <v>46371</v>
      </c>
      <c r="U212" s="19">
        <f t="shared" si="20"/>
        <v>3.6899999999999977</v>
      </c>
      <c r="V212" s="17">
        <f ca="1">(LN(N212/G212)+(L212/100)^2*P212/2)/(L212/100*SQRT(P212))</f>
        <v>2.0333087548884455E-2</v>
      </c>
      <c r="W212" s="17">
        <f ca="1">V212-L212/100*SQRT(P212)</f>
        <v>-0.54023397074608581</v>
      </c>
      <c r="X212" s="17">
        <f ca="1">(LN(N212/G212)+P212*(U212/100+(L212/100)^2/2))/((L212/100*SQRT(P212)))</f>
        <v>6.9206787663730562E-2</v>
      </c>
      <c r="Y212" s="17">
        <f ca="1">X212-N212/100*SQRT(R212)</f>
        <v>-0.60035457322860775</v>
      </c>
      <c r="Z212" s="20">
        <f ca="1">EXP(-P212)/(N212*L212/100*SQRT(P212))*_xlfn.NORM.S.DIST(X212,FALSE)</f>
        <v>1.9545595890523671E-2</v>
      </c>
      <c r="AA212" s="17">
        <f t="shared" ca="1" si="16"/>
        <v>2.8216569307413213E-2</v>
      </c>
      <c r="AB212" s="17"/>
      <c r="AC212" s="17"/>
      <c r="AD212" s="17"/>
    </row>
    <row r="213" spans="1:30" x14ac:dyDescent="0.25">
      <c r="A213" t="s">
        <v>106</v>
      </c>
      <c r="B213" t="s">
        <v>107</v>
      </c>
      <c r="C213" t="s">
        <v>108</v>
      </c>
      <c r="D213">
        <v>46388</v>
      </c>
      <c r="E213" t="s">
        <v>107</v>
      </c>
      <c r="F213" t="s">
        <v>110</v>
      </c>
      <c r="G213">
        <v>25</v>
      </c>
      <c r="H213">
        <v>9.4819999999999993</v>
      </c>
      <c r="I213">
        <v>-0.34699999999999998</v>
      </c>
      <c r="J213" t="s">
        <v>66</v>
      </c>
      <c r="K213">
        <v>4172</v>
      </c>
      <c r="L213">
        <v>65.212800000000001</v>
      </c>
      <c r="M213">
        <v>-0.64507000000000003</v>
      </c>
      <c r="N213">
        <f>INDEX(jkm!$H:$H,MATCH(J213,jkm!$J:$J,0),1)</f>
        <v>17.288</v>
      </c>
      <c r="O213" s="3">
        <f t="shared" ca="1" si="17"/>
        <v>271</v>
      </c>
      <c r="P213" s="3">
        <f t="shared" ca="1" si="18"/>
        <v>0.74246575342465748</v>
      </c>
      <c r="Q213" t="str" cm="1">
        <f t="array" ref="Q213:S213">_xlfn.TEXTSPLIT(J213,"/")</f>
        <v>12</v>
      </c>
      <c r="R213" s="1" t="str">
        <v>15</v>
      </c>
      <c r="S213" t="str">
        <v>2026</v>
      </c>
      <c r="T213" s="1">
        <f t="shared" si="19"/>
        <v>46371</v>
      </c>
      <c r="U213" s="19">
        <f t="shared" si="20"/>
        <v>3.6899999999999977</v>
      </c>
      <c r="V213" s="17">
        <f ca="1">(LN(N213/G213)+(L213/100)^2*P213/2)/(L213/100*SQRT(P213))</f>
        <v>-0.37548106748863808</v>
      </c>
      <c r="W213" s="17">
        <f ca="1">V213-L213/100*SQRT(P213)</f>
        <v>-0.93739663076503477</v>
      </c>
      <c r="X213" s="17">
        <f ca="1">(LN(N213/G213)+P213*(U213/100+(L213/100)^2/2))/((L213/100*SQRT(P213)))</f>
        <v>-0.32672465621996899</v>
      </c>
      <c r="Y213" s="17">
        <f ca="1">X213-N213/100*SQRT(R213)</f>
        <v>-0.99628601711230735</v>
      </c>
      <c r="Z213" s="20">
        <f ca="1">EXP(-P213)/(N213*L213/100*SQRT(P213))*_xlfn.NORM.S.DIST(X213,FALSE)</f>
        <v>1.8529564846894522E-2</v>
      </c>
      <c r="AA213" s="17">
        <f t="shared" ca="1" si="16"/>
        <v>2.6814148001555307E-2</v>
      </c>
      <c r="AB213" s="17"/>
      <c r="AC213" s="17"/>
      <c r="AD213" s="17"/>
    </row>
    <row r="214" spans="1:30" x14ac:dyDescent="0.25">
      <c r="A214" t="s">
        <v>106</v>
      </c>
      <c r="B214" t="s">
        <v>107</v>
      </c>
      <c r="C214" t="s">
        <v>108</v>
      </c>
      <c r="D214">
        <v>46389</v>
      </c>
      <c r="E214" t="s">
        <v>107</v>
      </c>
      <c r="F214" t="s">
        <v>109</v>
      </c>
      <c r="G214">
        <v>5</v>
      </c>
      <c r="H214">
        <v>12.003</v>
      </c>
      <c r="I214">
        <v>0.52800000000000002</v>
      </c>
      <c r="J214" t="s">
        <v>67</v>
      </c>
      <c r="K214">
        <v>4172</v>
      </c>
      <c r="L214">
        <v>63.1586</v>
      </c>
      <c r="M214">
        <v>0.99199000000000004</v>
      </c>
      <c r="N214">
        <f>INDEX(jkm!$H:$H,MATCH(J214,jkm!$J:$J,0),1)</f>
        <v>16.972000000000001</v>
      </c>
      <c r="O214" s="3">
        <f t="shared" ca="1" si="17"/>
        <v>302</v>
      </c>
      <c r="P214" s="3">
        <f t="shared" ca="1" si="18"/>
        <v>0.82739726027397265</v>
      </c>
      <c r="Q214" t="str" cm="1">
        <f t="array" ref="Q214:S214">_xlfn.TEXTSPLIT(J214,"/")</f>
        <v>1</v>
      </c>
      <c r="R214" s="1" t="str">
        <v>15</v>
      </c>
      <c r="S214" t="str">
        <v>2027</v>
      </c>
      <c r="T214" s="1">
        <f t="shared" si="19"/>
        <v>46402</v>
      </c>
      <c r="U214" s="19">
        <f t="shared" si="20"/>
        <v>3.6899999999999977</v>
      </c>
      <c r="V214" s="17">
        <f ca="1">(LN(N214/G214)+(L214/100)^2*P214/2)/(L214/100*SQRT(P214))</f>
        <v>2.4145402170793928</v>
      </c>
      <c r="W214" s="17">
        <f ca="1">V214-L214/100*SQRT(P214)</f>
        <v>1.8400408772855688</v>
      </c>
      <c r="X214" s="17">
        <f ca="1">(LN(N214/G214)+P214*(U214/100+(L214/100)^2/2))/((L214/100*SQRT(P214)))</f>
        <v>2.4676838097509988</v>
      </c>
      <c r="Y214" s="17">
        <f ca="1">X214-N214/100*SQRT(R214)</f>
        <v>1.8103610762326761</v>
      </c>
      <c r="Z214" s="20">
        <f ca="1">EXP(-P214)/(N214*L214/100*SQRT(P214))*_xlfn.NORM.S.DIST(X214,FALSE)</f>
        <v>8.5161493936708975E-4</v>
      </c>
      <c r="AA214" s="17">
        <f t="shared" ca="1" si="16"/>
        <v>1.2819051455083615E-3</v>
      </c>
      <c r="AB214" s="17"/>
      <c r="AC214" s="17"/>
      <c r="AD214" s="17"/>
    </row>
    <row r="215" spans="1:30" x14ac:dyDescent="0.25">
      <c r="A215" t="s">
        <v>106</v>
      </c>
      <c r="B215" t="s">
        <v>107</v>
      </c>
      <c r="C215" t="s">
        <v>108</v>
      </c>
      <c r="D215">
        <v>46389</v>
      </c>
      <c r="E215" t="s">
        <v>107</v>
      </c>
      <c r="F215" t="s">
        <v>109</v>
      </c>
      <c r="G215">
        <v>8</v>
      </c>
      <c r="H215">
        <v>9.2690000000000001</v>
      </c>
      <c r="I215">
        <v>0.5</v>
      </c>
      <c r="J215" t="s">
        <v>67</v>
      </c>
      <c r="K215">
        <v>4172</v>
      </c>
      <c r="L215">
        <v>63.308100000000003</v>
      </c>
      <c r="M215">
        <v>0.94416</v>
      </c>
      <c r="N215">
        <f>INDEX(jkm!$H:$H,MATCH(J215,jkm!$J:$J,0),1)</f>
        <v>16.972000000000001</v>
      </c>
      <c r="O215" s="3">
        <f t="shared" ca="1" si="17"/>
        <v>302</v>
      </c>
      <c r="P215" s="3">
        <f t="shared" ca="1" si="18"/>
        <v>0.82739726027397265</v>
      </c>
      <c r="Q215" t="str" cm="1">
        <f t="array" ref="Q215:S215">_xlfn.TEXTSPLIT(J215,"/")</f>
        <v>1</v>
      </c>
      <c r="R215" s="1" t="str">
        <v>15</v>
      </c>
      <c r="S215" t="str">
        <v>2027</v>
      </c>
      <c r="T215" s="1">
        <f t="shared" si="19"/>
        <v>46402</v>
      </c>
      <c r="U215" s="19">
        <f t="shared" si="20"/>
        <v>3.6899999999999977</v>
      </c>
      <c r="V215" s="17">
        <f ca="1">(LN(N215/G215)+(L215/100)^2*P215/2)/(L215/100*SQRT(P215))</f>
        <v>1.5940186110184422</v>
      </c>
      <c r="W215" s="17">
        <f ca="1">V215-L215/100*SQRT(P215)</f>
        <v>1.0181593985976254</v>
      </c>
      <c r="X215" s="17">
        <f ca="1">(LN(N215/G215)+P215*(U215/100+(L215/100)^2/2))/((L215/100*SQRT(P215)))</f>
        <v>1.6470367068404441</v>
      </c>
      <c r="Y215" s="17">
        <f ca="1">X215-N215/100*SQRT(R215)</f>
        <v>0.9897139733221213</v>
      </c>
      <c r="Z215" s="20">
        <f ca="1">EXP(-P215)/(N215*L215/100*SQRT(P215))*_xlfn.NORM.S.DIST(X215,FALSE)</f>
        <v>4.5968977433654074E-3</v>
      </c>
      <c r="AA215" s="17">
        <f t="shared" ca="1" si="16"/>
        <v>6.9359227502690827E-3</v>
      </c>
      <c r="AB215" s="17"/>
      <c r="AC215" s="17"/>
      <c r="AD215" s="17"/>
    </row>
    <row r="216" spans="1:30" x14ac:dyDescent="0.25">
      <c r="A216" t="s">
        <v>106</v>
      </c>
      <c r="B216" t="s">
        <v>107</v>
      </c>
      <c r="C216" t="s">
        <v>108</v>
      </c>
      <c r="D216">
        <v>46389</v>
      </c>
      <c r="E216" t="s">
        <v>107</v>
      </c>
      <c r="F216" t="s">
        <v>109</v>
      </c>
      <c r="G216">
        <v>9</v>
      </c>
      <c r="H216">
        <v>8.452</v>
      </c>
      <c r="I216">
        <v>0.48299999999999998</v>
      </c>
      <c r="J216" t="s">
        <v>67</v>
      </c>
      <c r="K216">
        <v>4172</v>
      </c>
      <c r="L216">
        <v>63.357999999999997</v>
      </c>
      <c r="M216">
        <v>0.91715000000000002</v>
      </c>
      <c r="N216">
        <f>INDEX(jkm!$H:$H,MATCH(J216,jkm!$J:$J,0),1)</f>
        <v>16.972000000000001</v>
      </c>
      <c r="O216" s="3">
        <f t="shared" ca="1" si="17"/>
        <v>302</v>
      </c>
      <c r="P216" s="3">
        <f t="shared" ca="1" si="18"/>
        <v>0.82739726027397265</v>
      </c>
      <c r="Q216" t="str" cm="1">
        <f t="array" ref="Q216:S216">_xlfn.TEXTSPLIT(J216,"/")</f>
        <v>1</v>
      </c>
      <c r="R216" s="1" t="str">
        <v>15</v>
      </c>
      <c r="S216" t="str">
        <v>2027</v>
      </c>
      <c r="T216" s="1">
        <f t="shared" si="19"/>
        <v>46402</v>
      </c>
      <c r="U216" s="19">
        <f t="shared" si="20"/>
        <v>3.6899999999999977</v>
      </c>
      <c r="V216" s="17">
        <f ca="1">(LN(N216/G216)+(L216/100)^2*P216/2)/(L216/100*SQRT(P216))</f>
        <v>1.3888435587070713</v>
      </c>
      <c r="W216" s="17">
        <f ca="1">V216-L216/100*SQRT(P216)</f>
        <v>0.81253044900139226</v>
      </c>
      <c r="X216" s="17">
        <f ca="1">(LN(N216/G216)+P216*(U216/100+(L216/100)^2/2))/((L216/100*SQRT(P216)))</f>
        <v>1.4418198981134431</v>
      </c>
      <c r="Y216" s="17">
        <f ca="1">X216-N216/100*SQRT(R216)</f>
        <v>0.78449716459512031</v>
      </c>
      <c r="Z216" s="20">
        <f ca="1">EXP(-P216)/(N216*L216/100*SQRT(P216))*_xlfn.NORM.S.DIST(X216,FALSE)</f>
        <v>6.3062198340382786E-3</v>
      </c>
      <c r="AA216" s="17">
        <f t="shared" ca="1" si="16"/>
        <v>9.5224936207186101E-3</v>
      </c>
      <c r="AB216" s="17"/>
      <c r="AC216" s="17"/>
      <c r="AD216" s="17"/>
    </row>
    <row r="217" spans="1:30" x14ac:dyDescent="0.25">
      <c r="A217" t="s">
        <v>106</v>
      </c>
      <c r="B217" t="s">
        <v>107</v>
      </c>
      <c r="C217" t="s">
        <v>108</v>
      </c>
      <c r="D217">
        <v>46389</v>
      </c>
      <c r="E217" t="s">
        <v>107</v>
      </c>
      <c r="F217" t="s">
        <v>109</v>
      </c>
      <c r="G217">
        <v>9.5</v>
      </c>
      <c r="H217">
        <v>8.0640000000000001</v>
      </c>
      <c r="I217">
        <v>0.47399999999999998</v>
      </c>
      <c r="J217" t="s">
        <v>67</v>
      </c>
      <c r="K217">
        <v>4172</v>
      </c>
      <c r="L217">
        <v>63.382899999999999</v>
      </c>
      <c r="M217">
        <v>0.90188999999999997</v>
      </c>
      <c r="N217">
        <f>INDEX(jkm!$H:$H,MATCH(J217,jkm!$J:$J,0),1)</f>
        <v>16.972000000000001</v>
      </c>
      <c r="O217" s="3">
        <f t="shared" ca="1" si="17"/>
        <v>302</v>
      </c>
      <c r="P217" s="3">
        <f t="shared" ca="1" si="18"/>
        <v>0.82739726027397265</v>
      </c>
      <c r="Q217" t="str" cm="1">
        <f t="array" ref="Q217:S217">_xlfn.TEXTSPLIT(J217,"/")</f>
        <v>1</v>
      </c>
      <c r="R217" s="1" t="str">
        <v>15</v>
      </c>
      <c r="S217" t="str">
        <v>2027</v>
      </c>
      <c r="T217" s="1">
        <f t="shared" si="19"/>
        <v>46402</v>
      </c>
      <c r="U217" s="19">
        <f t="shared" si="20"/>
        <v>3.6899999999999977</v>
      </c>
      <c r="V217" s="17">
        <f ca="1">(LN(N217/G217)+(L217/100)^2*P217/2)/(L217/100*SQRT(P217))</f>
        <v>1.2947455497841673</v>
      </c>
      <c r="W217" s="17">
        <f ca="1">V217-L217/100*SQRT(P217)</f>
        <v>0.71820594624295564</v>
      </c>
      <c r="X217" s="17">
        <f ca="1">(LN(N217/G217)+P217*(U217/100+(L217/100)^2/2))/((L217/100*SQRT(P217)))</f>
        <v>1.3477010774124221</v>
      </c>
      <c r="Y217" s="17">
        <f ca="1">X217-N217/100*SQRT(R217)</f>
        <v>0.69037834389409924</v>
      </c>
      <c r="Z217" s="20">
        <f ca="1">EXP(-P217)/(N217*L217/100*SQRT(P217))*_xlfn.NORM.S.DIST(X217,FALSE)</f>
        <v>7.188026863976623E-3</v>
      </c>
      <c r="AA217" s="17">
        <f t="shared" ca="1" si="16"/>
        <v>1.0858302141507938E-2</v>
      </c>
      <c r="AB217" s="17"/>
      <c r="AC217" s="17"/>
      <c r="AD217" s="17"/>
    </row>
    <row r="218" spans="1:30" x14ac:dyDescent="0.25">
      <c r="A218" t="s">
        <v>106</v>
      </c>
      <c r="B218" t="s">
        <v>107</v>
      </c>
      <c r="C218" t="s">
        <v>108</v>
      </c>
      <c r="D218">
        <v>46389</v>
      </c>
      <c r="E218" t="s">
        <v>107</v>
      </c>
      <c r="F218" t="s">
        <v>109</v>
      </c>
      <c r="G218">
        <v>10</v>
      </c>
      <c r="H218">
        <v>7.6909999999999998</v>
      </c>
      <c r="I218">
        <v>0.46500000000000002</v>
      </c>
      <c r="J218" t="s">
        <v>67</v>
      </c>
      <c r="K218">
        <v>4172</v>
      </c>
      <c r="L218">
        <v>63.407800000000002</v>
      </c>
      <c r="M218">
        <v>0.88560000000000005</v>
      </c>
      <c r="N218">
        <f>INDEX(jkm!$H:$H,MATCH(J218,jkm!$J:$J,0),1)</f>
        <v>16.972000000000001</v>
      </c>
      <c r="O218" s="3">
        <f t="shared" ca="1" si="17"/>
        <v>302</v>
      </c>
      <c r="P218" s="3">
        <f t="shared" ca="1" si="18"/>
        <v>0.82739726027397265</v>
      </c>
      <c r="Q218" t="str" cm="1">
        <f t="array" ref="Q218:S218">_xlfn.TEXTSPLIT(J218,"/")</f>
        <v>1</v>
      </c>
      <c r="R218" s="1" t="str">
        <v>15</v>
      </c>
      <c r="S218" t="str">
        <v>2027</v>
      </c>
      <c r="T218" s="1">
        <f t="shared" si="19"/>
        <v>46402</v>
      </c>
      <c r="U218" s="19">
        <f t="shared" si="20"/>
        <v>3.6899999999999977</v>
      </c>
      <c r="V218" s="17">
        <f ca="1">(LN(N218/G218)+(L218/100)^2*P218/2)/(L218/100*SQRT(P218))</f>
        <v>1.205530982230143</v>
      </c>
      <c r="W218" s="17">
        <f ca="1">V218-L218/100*SQRT(P218)</f>
        <v>0.62876488485339865</v>
      </c>
      <c r="X218" s="17">
        <f ca="1">(LN(N218/G218)+P218*(U218/100+(L218/100)^2/2))/((L218/100*SQRT(P218)))</f>
        <v>1.2584657144256912</v>
      </c>
      <c r="Y218" s="17">
        <f ca="1">X218-N218/100*SQRT(R218)</f>
        <v>0.6011429809073684</v>
      </c>
      <c r="Z218" s="20">
        <f ca="1">EXP(-P218)/(N218*L218/100*SQRT(P218))*_xlfn.NORM.S.DIST(X218,FALSE)</f>
        <v>8.0712232667512224E-3</v>
      </c>
      <c r="AA218" s="17">
        <f t="shared" ca="1" si="16"/>
        <v>1.2197256892236816E-2</v>
      </c>
      <c r="AB218" s="17"/>
      <c r="AC218" s="17"/>
      <c r="AD218" s="17"/>
    </row>
    <row r="219" spans="1:30" x14ac:dyDescent="0.25">
      <c r="A219" t="s">
        <v>106</v>
      </c>
      <c r="B219" t="s">
        <v>107</v>
      </c>
      <c r="C219" t="s">
        <v>108</v>
      </c>
      <c r="D219">
        <v>46389</v>
      </c>
      <c r="E219" t="s">
        <v>107</v>
      </c>
      <c r="F219" t="s">
        <v>109</v>
      </c>
      <c r="G219">
        <v>10.5</v>
      </c>
      <c r="H219">
        <v>7.3319999999999999</v>
      </c>
      <c r="I219">
        <v>0.45500000000000002</v>
      </c>
      <c r="J219" t="s">
        <v>67</v>
      </c>
      <c r="K219">
        <v>4172</v>
      </c>
      <c r="L219">
        <v>63.432699999999997</v>
      </c>
      <c r="M219">
        <v>0.86841999999999997</v>
      </c>
      <c r="N219">
        <f>INDEX(jkm!$H:$H,MATCH(J219,jkm!$J:$J,0),1)</f>
        <v>16.972000000000001</v>
      </c>
      <c r="O219" s="3">
        <f t="shared" ca="1" si="17"/>
        <v>302</v>
      </c>
      <c r="P219" s="3">
        <f t="shared" ca="1" si="18"/>
        <v>0.82739726027397265</v>
      </c>
      <c r="Q219" t="str" cm="1">
        <f t="array" ref="Q219:S219">_xlfn.TEXTSPLIT(J219,"/")</f>
        <v>1</v>
      </c>
      <c r="R219" s="1" t="str">
        <v>15</v>
      </c>
      <c r="S219" t="str">
        <v>2027</v>
      </c>
      <c r="T219" s="1">
        <f t="shared" si="19"/>
        <v>46402</v>
      </c>
      <c r="U219" s="19">
        <f t="shared" si="20"/>
        <v>3.6899999999999977</v>
      </c>
      <c r="V219" s="17">
        <f ca="1">(LN(N219/G219)+(L219/100)^2*P219/2)/(L219/100*SQRT(P219))</f>
        <v>1.120724780841468</v>
      </c>
      <c r="W219" s="17">
        <f ca="1">V219-L219/100*SQRT(P219)</f>
        <v>0.54373218962919123</v>
      </c>
      <c r="X219" s="17">
        <f ca="1">(LN(N219/G219)+P219*(U219/100+(L219/100)^2/2))/((L219/100*SQRT(P219)))</f>
        <v>1.1736387339304726</v>
      </c>
      <c r="Y219" s="17">
        <f ca="1">X219-N219/100*SQRT(R219)</f>
        <v>0.51631600041214976</v>
      </c>
      <c r="Z219" s="20">
        <f ca="1">EXP(-P219)/(N219*L219/100*SQRT(P219))*_xlfn.NORM.S.DIST(X219,FALSE)</f>
        <v>8.9447473525344438E-3</v>
      </c>
      <c r="AA219" s="17">
        <f t="shared" ca="1" si="16"/>
        <v>1.3522637322999985E-2</v>
      </c>
      <c r="AB219" s="17"/>
      <c r="AC219" s="17"/>
      <c r="AD219" s="17"/>
    </row>
    <row r="220" spans="1:30" x14ac:dyDescent="0.25">
      <c r="A220" t="s">
        <v>106</v>
      </c>
      <c r="B220" t="s">
        <v>107</v>
      </c>
      <c r="C220" t="s">
        <v>108</v>
      </c>
      <c r="D220">
        <v>46389</v>
      </c>
      <c r="E220" t="s">
        <v>107</v>
      </c>
      <c r="F220" t="s">
        <v>109</v>
      </c>
      <c r="G220">
        <v>13</v>
      </c>
      <c r="H220">
        <v>5.7480000000000002</v>
      </c>
      <c r="I220">
        <v>0.40100000000000002</v>
      </c>
      <c r="J220" t="s">
        <v>67</v>
      </c>
      <c r="K220">
        <v>4172</v>
      </c>
      <c r="L220">
        <v>63.557299999999998</v>
      </c>
      <c r="M220">
        <v>0.77327000000000001</v>
      </c>
      <c r="N220">
        <f>INDEX(jkm!$H:$H,MATCH(J220,jkm!$J:$J,0),1)</f>
        <v>16.972000000000001</v>
      </c>
      <c r="O220" s="3">
        <f t="shared" ca="1" si="17"/>
        <v>302</v>
      </c>
      <c r="P220" s="3">
        <f t="shared" ca="1" si="18"/>
        <v>0.82739726027397265</v>
      </c>
      <c r="Q220" t="str" cm="1">
        <f t="array" ref="Q220:S220">_xlfn.TEXTSPLIT(J220,"/")</f>
        <v>1</v>
      </c>
      <c r="R220" s="1" t="str">
        <v>15</v>
      </c>
      <c r="S220" t="str">
        <v>2027</v>
      </c>
      <c r="T220" s="1">
        <f t="shared" si="19"/>
        <v>46402</v>
      </c>
      <c r="U220" s="19">
        <f t="shared" si="20"/>
        <v>3.6899999999999977</v>
      </c>
      <c r="V220" s="17">
        <f ca="1">(LN(N220/G220)+(L220/100)^2*P220/2)/(L220/100*SQRT(P220))</f>
        <v>0.75023508885462964</v>
      </c>
      <c r="W220" s="17">
        <f ca="1">V220-L220/100*SQRT(P220)</f>
        <v>0.17210911885089275</v>
      </c>
      <c r="X220" s="17">
        <f ca="1">(LN(N220/G220)+P220*(U220/100+(L220/100)^2/2))/((L220/100*SQRT(P220)))</f>
        <v>0.80304530754089998</v>
      </c>
      <c r="Y220" s="17">
        <f ca="1">X220-N220/100*SQRT(R220)</f>
        <v>0.14572257402257716</v>
      </c>
      <c r="Z220" s="20">
        <f ca="1">EXP(-P220)/(N220*L220/100*SQRT(P220))*_xlfn.NORM.S.DIST(X220,FALSE)</f>
        <v>1.2876155216192727E-2</v>
      </c>
      <c r="AA220" s="17">
        <f t="shared" ca="1" si="16"/>
        <v>1.9504362836891997E-2</v>
      </c>
      <c r="AB220" s="17"/>
      <c r="AC220" s="17"/>
      <c r="AD220" s="17"/>
    </row>
    <row r="221" spans="1:30" x14ac:dyDescent="0.25">
      <c r="A221" t="s">
        <v>106</v>
      </c>
      <c r="B221" t="s">
        <v>107</v>
      </c>
      <c r="C221" t="s">
        <v>108</v>
      </c>
      <c r="D221">
        <v>46389</v>
      </c>
      <c r="E221" t="s">
        <v>107</v>
      </c>
      <c r="F221" t="s">
        <v>109</v>
      </c>
      <c r="G221">
        <v>15</v>
      </c>
      <c r="H221">
        <v>4.7320000000000002</v>
      </c>
      <c r="I221">
        <v>0.35099999999999998</v>
      </c>
      <c r="J221" t="s">
        <v>67</v>
      </c>
      <c r="K221">
        <v>4172</v>
      </c>
      <c r="L221">
        <v>63.884</v>
      </c>
      <c r="M221">
        <v>0.69264999999999999</v>
      </c>
      <c r="N221">
        <f>INDEX(jkm!$H:$H,MATCH(J221,jkm!$J:$J,0),1)</f>
        <v>16.972000000000001</v>
      </c>
      <c r="O221" s="3">
        <f t="shared" ca="1" si="17"/>
        <v>302</v>
      </c>
      <c r="P221" s="3">
        <f t="shared" ca="1" si="18"/>
        <v>0.82739726027397265</v>
      </c>
      <c r="Q221" t="str" cm="1">
        <f t="array" ref="Q221:S221">_xlfn.TEXTSPLIT(J221,"/")</f>
        <v>1</v>
      </c>
      <c r="R221" s="1" t="str">
        <v>15</v>
      </c>
      <c r="S221" t="str">
        <v>2027</v>
      </c>
      <c r="T221" s="1">
        <f t="shared" si="19"/>
        <v>46402</v>
      </c>
      <c r="U221" s="19">
        <f t="shared" si="20"/>
        <v>3.6899999999999977</v>
      </c>
      <c r="V221" s="17">
        <f ca="1">(LN(N221/G221)+(L221/100)^2*P221/2)/(L221/100*SQRT(P221))</f>
        <v>0.50310299458496555</v>
      </c>
      <c r="W221" s="17">
        <f ca="1">V221-L221/100*SQRT(P221)</f>
        <v>-7.7994683694614042E-2</v>
      </c>
      <c r="X221" s="17">
        <f ca="1">(LN(N221/G221)+P221*(U221/100+(L221/100)^2/2))/((L221/100*SQRT(P221)))</f>
        <v>0.55564314410767701</v>
      </c>
      <c r="Y221" s="17">
        <f ca="1">X221-N221/100*SQRT(R221)</f>
        <v>-0.10167958941064581</v>
      </c>
      <c r="Z221" s="20">
        <f ca="1">EXP(-P221)/(N221*L221/100*SQRT(P221))*_xlfn.NORM.S.DIST(X221,FALSE)</f>
        <v>1.5154860743687066E-2</v>
      </c>
      <c r="AA221" s="17">
        <f t="shared" ca="1" si="16"/>
        <v>2.3074068401812333E-2</v>
      </c>
      <c r="AB221" s="17"/>
      <c r="AC221" s="17"/>
      <c r="AD221" s="17"/>
    </row>
    <row r="222" spans="1:30" x14ac:dyDescent="0.25">
      <c r="A222" t="s">
        <v>106</v>
      </c>
      <c r="B222" t="s">
        <v>107</v>
      </c>
      <c r="C222" t="s">
        <v>108</v>
      </c>
      <c r="D222">
        <v>46389</v>
      </c>
      <c r="E222" t="s">
        <v>107</v>
      </c>
      <c r="F222" t="s">
        <v>109</v>
      </c>
      <c r="G222">
        <v>15.5</v>
      </c>
      <c r="H222">
        <v>4.5110000000000001</v>
      </c>
      <c r="I222">
        <v>0.33800000000000002</v>
      </c>
      <c r="J222" t="s">
        <v>67</v>
      </c>
      <c r="K222">
        <v>4172</v>
      </c>
      <c r="L222">
        <v>64.028300000000002</v>
      </c>
      <c r="M222">
        <v>0.67271999999999998</v>
      </c>
      <c r="N222">
        <f>INDEX(jkm!$H:$H,MATCH(J222,jkm!$J:$J,0),1)</f>
        <v>16.972000000000001</v>
      </c>
      <c r="O222" s="3">
        <f t="shared" ca="1" si="17"/>
        <v>302</v>
      </c>
      <c r="P222" s="3">
        <f t="shared" ca="1" si="18"/>
        <v>0.82739726027397265</v>
      </c>
      <c r="Q222" t="str" cm="1">
        <f t="array" ref="Q222:S222">_xlfn.TEXTSPLIT(J222,"/")</f>
        <v>1</v>
      </c>
      <c r="R222" s="1" t="str">
        <v>15</v>
      </c>
      <c r="S222" t="str">
        <v>2027</v>
      </c>
      <c r="T222" s="1">
        <f t="shared" si="19"/>
        <v>46402</v>
      </c>
      <c r="U222" s="19">
        <f t="shared" si="20"/>
        <v>3.6899999999999977</v>
      </c>
      <c r="V222" s="17">
        <f ca="1">(LN(N222/G222)+(L222/100)^2*P222/2)/(L222/100*SQRT(P222))</f>
        <v>0.44698003375003181</v>
      </c>
      <c r="W222" s="17">
        <f ca="1">V222-L222/100*SQRT(P222)</f>
        <v>-0.13543021723907989</v>
      </c>
      <c r="X222" s="17">
        <f ca="1">(LN(N222/G222)+P222*(U222/100+(L222/100)^2/2))/((L222/100*SQRT(P222)))</f>
        <v>0.49940177401346048</v>
      </c>
      <c r="Y222" s="17">
        <f ca="1">X222-N222/100*SQRT(R222)</f>
        <v>-0.15792095950486235</v>
      </c>
      <c r="Z222" s="20">
        <f ca="1">EXP(-P222)/(N222*L222/100*SQRT(P222))*_xlfn.NORM.S.DIST(X222,FALSE)</f>
        <v>1.557603746216195E-2</v>
      </c>
      <c r="AA222" s="17">
        <f t="shared" ca="1" si="16"/>
        <v>2.3768899746290654E-2</v>
      </c>
      <c r="AB222" s="17"/>
      <c r="AC222" s="17"/>
      <c r="AD222" s="17"/>
    </row>
    <row r="223" spans="1:30" x14ac:dyDescent="0.25">
      <c r="A223" t="s">
        <v>106</v>
      </c>
      <c r="B223" t="s">
        <v>107</v>
      </c>
      <c r="C223" t="s">
        <v>108</v>
      </c>
      <c r="D223">
        <v>46389</v>
      </c>
      <c r="E223" t="s">
        <v>107</v>
      </c>
      <c r="F223" t="s">
        <v>109</v>
      </c>
      <c r="G223">
        <v>20</v>
      </c>
      <c r="H223">
        <v>2.9780000000000002</v>
      </c>
      <c r="I223">
        <v>0.249</v>
      </c>
      <c r="J223" t="s">
        <v>67</v>
      </c>
      <c r="K223">
        <v>4172</v>
      </c>
      <c r="L223">
        <v>65.342699999999994</v>
      </c>
      <c r="M223">
        <v>0.50912000000000002</v>
      </c>
      <c r="N223">
        <f>INDEX(jkm!$H:$H,MATCH(J223,jkm!$J:$J,0),1)</f>
        <v>16.972000000000001</v>
      </c>
      <c r="O223" s="3">
        <f t="shared" ca="1" si="17"/>
        <v>302</v>
      </c>
      <c r="P223" s="3">
        <f t="shared" ca="1" si="18"/>
        <v>0.82739726027397265</v>
      </c>
      <c r="Q223" t="str" cm="1">
        <f t="array" ref="Q223:S223">_xlfn.TEXTSPLIT(J223,"/")</f>
        <v>1</v>
      </c>
      <c r="R223" s="1" t="str">
        <v>15</v>
      </c>
      <c r="S223" t="str">
        <v>2027</v>
      </c>
      <c r="T223" s="1">
        <f t="shared" si="19"/>
        <v>46402</v>
      </c>
      <c r="U223" s="19">
        <f t="shared" si="20"/>
        <v>3.6899999999999977</v>
      </c>
      <c r="V223" s="17">
        <f ca="1">(LN(N223/G223)+(L223/100)^2*P223/2)/(L223/100*SQRT(P223))</f>
        <v>2.0977390857147057E-2</v>
      </c>
      <c r="W223" s="17">
        <f ca="1">V223-L223/100*SQRT(P223)</f>
        <v>-0.57338882388393198</v>
      </c>
      <c r="X223" s="17">
        <f ca="1">(LN(N223/G223)+P223*(U223/100+(L223/100)^2/2))/((L223/100*SQRT(P223)))</f>
        <v>7.2344642472230228E-2</v>
      </c>
      <c r="Y223" s="17">
        <f ca="1">X223-N223/100*SQRT(R223)</f>
        <v>-0.58497809104609255</v>
      </c>
      <c r="Z223" s="20">
        <f ca="1">EXP(-P223)/(N223*L223/100*SQRT(P223))*_xlfn.NORM.S.DIST(X223,FALSE)</f>
        <v>1.7244569994147876E-2</v>
      </c>
      <c r="AA223" s="17">
        <f t="shared" ca="1" si="16"/>
        <v>2.6855272895102981E-2</v>
      </c>
      <c r="AB223" s="17"/>
      <c r="AC223" s="17"/>
      <c r="AD223" s="17"/>
    </row>
    <row r="224" spans="1:30" x14ac:dyDescent="0.25">
      <c r="A224" t="s">
        <v>106</v>
      </c>
      <c r="B224" t="s">
        <v>107</v>
      </c>
      <c r="C224" t="s">
        <v>108</v>
      </c>
      <c r="D224">
        <v>46389</v>
      </c>
      <c r="E224" t="s">
        <v>107</v>
      </c>
      <c r="F224" t="s">
        <v>110</v>
      </c>
      <c r="G224">
        <v>5</v>
      </c>
      <c r="H224">
        <v>3.1E-2</v>
      </c>
      <c r="I224">
        <v>-5.0000000000000001E-3</v>
      </c>
      <c r="J224" t="s">
        <v>67</v>
      </c>
      <c r="K224">
        <v>4172</v>
      </c>
      <c r="L224">
        <v>63.1586</v>
      </c>
      <c r="M224">
        <v>-8.0099999999999998E-3</v>
      </c>
      <c r="N224">
        <f>INDEX(jkm!$H:$H,MATCH(J224,jkm!$J:$J,0),1)</f>
        <v>16.972000000000001</v>
      </c>
      <c r="O224" s="3">
        <f t="shared" ca="1" si="17"/>
        <v>302</v>
      </c>
      <c r="P224" s="3">
        <f t="shared" ca="1" si="18"/>
        <v>0.82739726027397265</v>
      </c>
      <c r="Q224" t="str" cm="1">
        <f t="array" ref="Q224:S224">_xlfn.TEXTSPLIT(J224,"/")</f>
        <v>1</v>
      </c>
      <c r="R224" s="1" t="str">
        <v>15</v>
      </c>
      <c r="S224" t="str">
        <v>2027</v>
      </c>
      <c r="T224" s="1">
        <f t="shared" si="19"/>
        <v>46402</v>
      </c>
      <c r="U224" s="19">
        <f t="shared" si="20"/>
        <v>3.6899999999999977</v>
      </c>
      <c r="V224" s="17">
        <f ca="1">(LN(N224/G224)+(L224/100)^2*P224/2)/(L224/100*SQRT(P224))</f>
        <v>2.4145402170793928</v>
      </c>
      <c r="W224" s="17">
        <f ca="1">V224-L224/100*SQRT(P224)</f>
        <v>1.8400408772855688</v>
      </c>
      <c r="X224" s="17">
        <f ca="1">(LN(N224/G224)+P224*(U224/100+(L224/100)^2/2))/((L224/100*SQRT(P224)))</f>
        <v>2.4676838097509988</v>
      </c>
      <c r="Y224" s="17">
        <f ca="1">X224-N224/100*SQRT(R224)</f>
        <v>1.8103610762326761</v>
      </c>
      <c r="Z224" s="20">
        <f ca="1">EXP(-P224)/(N224*L224/100*SQRT(P224))*_xlfn.NORM.S.DIST(X224,FALSE)</f>
        <v>8.5161493936708975E-4</v>
      </c>
      <c r="AA224" s="17">
        <f t="shared" ca="1" si="16"/>
        <v>1.2819051455083615E-3</v>
      </c>
      <c r="AB224" s="17"/>
      <c r="AC224" s="17"/>
      <c r="AD224" s="17"/>
    </row>
    <row r="225" spans="1:30" x14ac:dyDescent="0.25">
      <c r="A225" t="s">
        <v>106</v>
      </c>
      <c r="B225" t="s">
        <v>107</v>
      </c>
      <c r="C225" t="s">
        <v>108</v>
      </c>
      <c r="D225">
        <v>46389</v>
      </c>
      <c r="E225" t="s">
        <v>107</v>
      </c>
      <c r="F225" t="s">
        <v>110</v>
      </c>
      <c r="G225">
        <v>8</v>
      </c>
      <c r="H225">
        <v>0.29699999999999999</v>
      </c>
      <c r="I225">
        <v>-3.3000000000000002E-2</v>
      </c>
      <c r="J225" t="s">
        <v>67</v>
      </c>
      <c r="K225">
        <v>4172</v>
      </c>
      <c r="L225">
        <v>63.308100000000003</v>
      </c>
      <c r="M225">
        <v>-5.5840000000000001E-2</v>
      </c>
      <c r="N225">
        <f>INDEX(jkm!$H:$H,MATCH(J225,jkm!$J:$J,0),1)</f>
        <v>16.972000000000001</v>
      </c>
      <c r="O225" s="3">
        <f t="shared" ca="1" si="17"/>
        <v>302</v>
      </c>
      <c r="P225" s="3">
        <f t="shared" ca="1" si="18"/>
        <v>0.82739726027397265</v>
      </c>
      <c r="Q225" t="str" cm="1">
        <f t="array" ref="Q225:S225">_xlfn.TEXTSPLIT(J225,"/")</f>
        <v>1</v>
      </c>
      <c r="R225" s="1" t="str">
        <v>15</v>
      </c>
      <c r="S225" t="str">
        <v>2027</v>
      </c>
      <c r="T225" s="1">
        <f t="shared" si="19"/>
        <v>46402</v>
      </c>
      <c r="U225" s="19">
        <f t="shared" si="20"/>
        <v>3.6899999999999977</v>
      </c>
      <c r="V225" s="17">
        <f ca="1">(LN(N225/G225)+(L225/100)^2*P225/2)/(L225/100*SQRT(P225))</f>
        <v>1.5940186110184422</v>
      </c>
      <c r="W225" s="17">
        <f ca="1">V225-L225/100*SQRT(P225)</f>
        <v>1.0181593985976254</v>
      </c>
      <c r="X225" s="17">
        <f ca="1">(LN(N225/G225)+P225*(U225/100+(L225/100)^2/2))/((L225/100*SQRT(P225)))</f>
        <v>1.6470367068404441</v>
      </c>
      <c r="Y225" s="17">
        <f ca="1">X225-N225/100*SQRT(R225)</f>
        <v>0.9897139733221213</v>
      </c>
      <c r="Z225" s="20">
        <f ca="1">EXP(-P225)/(N225*L225/100*SQRT(P225))*_xlfn.NORM.S.DIST(X225,FALSE)</f>
        <v>4.5968977433654074E-3</v>
      </c>
      <c r="AA225" s="17">
        <f t="shared" ca="1" si="16"/>
        <v>6.9359227502690827E-3</v>
      </c>
      <c r="AB225" s="17"/>
      <c r="AC225" s="17"/>
      <c r="AD225" s="17"/>
    </row>
    <row r="226" spans="1:30" x14ac:dyDescent="0.25">
      <c r="A226" t="s">
        <v>106</v>
      </c>
      <c r="B226" t="s">
        <v>107</v>
      </c>
      <c r="C226" t="s">
        <v>108</v>
      </c>
      <c r="D226">
        <v>46389</v>
      </c>
      <c r="E226" t="s">
        <v>107</v>
      </c>
      <c r="F226" t="s">
        <v>110</v>
      </c>
      <c r="G226">
        <v>9</v>
      </c>
      <c r="H226">
        <v>0.48</v>
      </c>
      <c r="I226">
        <v>-0.05</v>
      </c>
      <c r="J226" t="s">
        <v>67</v>
      </c>
      <c r="K226">
        <v>4172</v>
      </c>
      <c r="L226">
        <v>63.357999999999997</v>
      </c>
      <c r="M226">
        <v>-8.2849999999999993E-2</v>
      </c>
      <c r="N226">
        <f>INDEX(jkm!$H:$H,MATCH(J226,jkm!$J:$J,0),1)</f>
        <v>16.972000000000001</v>
      </c>
      <c r="O226" s="3">
        <f t="shared" ca="1" si="17"/>
        <v>302</v>
      </c>
      <c r="P226" s="3">
        <f t="shared" ca="1" si="18"/>
        <v>0.82739726027397265</v>
      </c>
      <c r="Q226" t="str" cm="1">
        <f t="array" ref="Q226:S226">_xlfn.TEXTSPLIT(J226,"/")</f>
        <v>1</v>
      </c>
      <c r="R226" s="1" t="str">
        <v>15</v>
      </c>
      <c r="S226" t="str">
        <v>2027</v>
      </c>
      <c r="T226" s="1">
        <f t="shared" si="19"/>
        <v>46402</v>
      </c>
      <c r="U226" s="19">
        <f t="shared" si="20"/>
        <v>3.6899999999999977</v>
      </c>
      <c r="V226" s="17">
        <f ca="1">(LN(N226/G226)+(L226/100)^2*P226/2)/(L226/100*SQRT(P226))</f>
        <v>1.3888435587070713</v>
      </c>
      <c r="W226" s="17">
        <f ca="1">V226-L226/100*SQRT(P226)</f>
        <v>0.81253044900139226</v>
      </c>
      <c r="X226" s="17">
        <f ca="1">(LN(N226/G226)+P226*(U226/100+(L226/100)^2/2))/((L226/100*SQRT(P226)))</f>
        <v>1.4418198981134431</v>
      </c>
      <c r="Y226" s="17">
        <f ca="1">X226-N226/100*SQRT(R226)</f>
        <v>0.78449716459512031</v>
      </c>
      <c r="Z226" s="20">
        <f ca="1">EXP(-P226)/(N226*L226/100*SQRT(P226))*_xlfn.NORM.S.DIST(X226,FALSE)</f>
        <v>6.3062198340382786E-3</v>
      </c>
      <c r="AA226" s="17">
        <f t="shared" ca="1" si="16"/>
        <v>9.5224936207186101E-3</v>
      </c>
      <c r="AB226" s="17"/>
      <c r="AC226" s="17"/>
      <c r="AD226" s="17"/>
    </row>
    <row r="227" spans="1:30" x14ac:dyDescent="0.25">
      <c r="A227" t="s">
        <v>106</v>
      </c>
      <c r="B227" t="s">
        <v>107</v>
      </c>
      <c r="C227" t="s">
        <v>108</v>
      </c>
      <c r="D227">
        <v>46389</v>
      </c>
      <c r="E227" t="s">
        <v>107</v>
      </c>
      <c r="F227" t="s">
        <v>110</v>
      </c>
      <c r="G227">
        <v>9.5</v>
      </c>
      <c r="H227">
        <v>0.59199999999999997</v>
      </c>
      <c r="I227">
        <v>-5.8999999999999997E-2</v>
      </c>
      <c r="J227" t="s">
        <v>67</v>
      </c>
      <c r="K227">
        <v>4172</v>
      </c>
      <c r="L227">
        <v>63.382899999999999</v>
      </c>
      <c r="M227">
        <v>-9.8110000000000003E-2</v>
      </c>
      <c r="N227">
        <f>INDEX(jkm!$H:$H,MATCH(J227,jkm!$J:$J,0),1)</f>
        <v>16.972000000000001</v>
      </c>
      <c r="O227" s="3">
        <f t="shared" ca="1" si="17"/>
        <v>302</v>
      </c>
      <c r="P227" s="3">
        <f t="shared" ca="1" si="18"/>
        <v>0.82739726027397265</v>
      </c>
      <c r="Q227" t="str" cm="1">
        <f t="array" ref="Q227:S227">_xlfn.TEXTSPLIT(J227,"/")</f>
        <v>1</v>
      </c>
      <c r="R227" s="1" t="str">
        <v>15</v>
      </c>
      <c r="S227" t="str">
        <v>2027</v>
      </c>
      <c r="T227" s="1">
        <f t="shared" si="19"/>
        <v>46402</v>
      </c>
      <c r="U227" s="19">
        <f t="shared" si="20"/>
        <v>3.6899999999999977</v>
      </c>
      <c r="V227" s="17">
        <f ca="1">(LN(N227/G227)+(L227/100)^2*P227/2)/(L227/100*SQRT(P227))</f>
        <v>1.2947455497841673</v>
      </c>
      <c r="W227" s="17">
        <f ca="1">V227-L227/100*SQRT(P227)</f>
        <v>0.71820594624295564</v>
      </c>
      <c r="X227" s="17">
        <f ca="1">(LN(N227/G227)+P227*(U227/100+(L227/100)^2/2))/((L227/100*SQRT(P227)))</f>
        <v>1.3477010774124221</v>
      </c>
      <c r="Y227" s="17">
        <f ca="1">X227-N227/100*SQRT(R227)</f>
        <v>0.69037834389409924</v>
      </c>
      <c r="Z227" s="20">
        <f ca="1">EXP(-P227)/(N227*L227/100*SQRT(P227))*_xlfn.NORM.S.DIST(X227,FALSE)</f>
        <v>7.188026863976623E-3</v>
      </c>
      <c r="AA227" s="17">
        <f t="shared" ca="1" si="16"/>
        <v>1.0858302141507938E-2</v>
      </c>
      <c r="AB227" s="17"/>
      <c r="AC227" s="17"/>
      <c r="AD227" s="17"/>
    </row>
    <row r="228" spans="1:30" x14ac:dyDescent="0.25">
      <c r="A228" t="s">
        <v>106</v>
      </c>
      <c r="B228" t="s">
        <v>107</v>
      </c>
      <c r="C228" t="s">
        <v>108</v>
      </c>
      <c r="D228">
        <v>46389</v>
      </c>
      <c r="E228" t="s">
        <v>107</v>
      </c>
      <c r="F228" t="s">
        <v>110</v>
      </c>
      <c r="G228">
        <v>10</v>
      </c>
      <c r="H228">
        <v>0.71899999999999997</v>
      </c>
      <c r="I228">
        <v>-6.8000000000000005E-2</v>
      </c>
      <c r="J228" t="s">
        <v>67</v>
      </c>
      <c r="K228">
        <v>4172</v>
      </c>
      <c r="L228">
        <v>63.407800000000002</v>
      </c>
      <c r="M228">
        <v>-0.1144</v>
      </c>
      <c r="N228">
        <f>INDEX(jkm!$H:$H,MATCH(J228,jkm!$J:$J,0),1)</f>
        <v>16.972000000000001</v>
      </c>
      <c r="O228" s="3">
        <f t="shared" ca="1" si="17"/>
        <v>302</v>
      </c>
      <c r="P228" s="3">
        <f t="shared" ca="1" si="18"/>
        <v>0.82739726027397265</v>
      </c>
      <c r="Q228" t="str" cm="1">
        <f t="array" ref="Q228:S228">_xlfn.TEXTSPLIT(J228,"/")</f>
        <v>1</v>
      </c>
      <c r="R228" s="1" t="str">
        <v>15</v>
      </c>
      <c r="S228" t="str">
        <v>2027</v>
      </c>
      <c r="T228" s="1">
        <f t="shared" si="19"/>
        <v>46402</v>
      </c>
      <c r="U228" s="19">
        <f t="shared" si="20"/>
        <v>3.6899999999999977</v>
      </c>
      <c r="V228" s="17">
        <f ca="1">(LN(N228/G228)+(L228/100)^2*P228/2)/(L228/100*SQRT(P228))</f>
        <v>1.205530982230143</v>
      </c>
      <c r="W228" s="17">
        <f ca="1">V228-L228/100*SQRT(P228)</f>
        <v>0.62876488485339865</v>
      </c>
      <c r="X228" s="17">
        <f ca="1">(LN(N228/G228)+P228*(U228/100+(L228/100)^2/2))/((L228/100*SQRT(P228)))</f>
        <v>1.2584657144256912</v>
      </c>
      <c r="Y228" s="17">
        <f ca="1">X228-N228/100*SQRT(R228)</f>
        <v>0.6011429809073684</v>
      </c>
      <c r="Z228" s="20">
        <f ca="1">EXP(-P228)/(N228*L228/100*SQRT(P228))*_xlfn.NORM.S.DIST(X228,FALSE)</f>
        <v>8.0712232667512224E-3</v>
      </c>
      <c r="AA228" s="17">
        <f t="shared" ca="1" si="16"/>
        <v>1.2197256892236816E-2</v>
      </c>
      <c r="AB228" s="17"/>
      <c r="AC228" s="17"/>
      <c r="AD228" s="17"/>
    </row>
    <row r="229" spans="1:30" x14ac:dyDescent="0.25">
      <c r="A229" t="s">
        <v>106</v>
      </c>
      <c r="B229" t="s">
        <v>107</v>
      </c>
      <c r="C229" t="s">
        <v>108</v>
      </c>
      <c r="D229">
        <v>46389</v>
      </c>
      <c r="E229" t="s">
        <v>107</v>
      </c>
      <c r="F229" t="s">
        <v>110</v>
      </c>
      <c r="G229">
        <v>10.5</v>
      </c>
      <c r="H229">
        <v>0.86</v>
      </c>
      <c r="I229">
        <v>-7.8E-2</v>
      </c>
      <c r="J229" t="s">
        <v>67</v>
      </c>
      <c r="K229">
        <v>4172</v>
      </c>
      <c r="L229">
        <v>63.432699999999997</v>
      </c>
      <c r="M229">
        <v>-0.13158</v>
      </c>
      <c r="N229">
        <f>INDEX(jkm!$H:$H,MATCH(J229,jkm!$J:$J,0),1)</f>
        <v>16.972000000000001</v>
      </c>
      <c r="O229" s="3">
        <f t="shared" ca="1" si="17"/>
        <v>302</v>
      </c>
      <c r="P229" s="3">
        <f t="shared" ca="1" si="18"/>
        <v>0.82739726027397265</v>
      </c>
      <c r="Q229" t="str" cm="1">
        <f t="array" ref="Q229:S229">_xlfn.TEXTSPLIT(J229,"/")</f>
        <v>1</v>
      </c>
      <c r="R229" s="1" t="str">
        <v>15</v>
      </c>
      <c r="S229" t="str">
        <v>2027</v>
      </c>
      <c r="T229" s="1">
        <f t="shared" si="19"/>
        <v>46402</v>
      </c>
      <c r="U229" s="19">
        <f t="shared" si="20"/>
        <v>3.6899999999999977</v>
      </c>
      <c r="V229" s="17">
        <f ca="1">(LN(N229/G229)+(L229/100)^2*P229/2)/(L229/100*SQRT(P229))</f>
        <v>1.120724780841468</v>
      </c>
      <c r="W229" s="17">
        <f ca="1">V229-L229/100*SQRT(P229)</f>
        <v>0.54373218962919123</v>
      </c>
      <c r="X229" s="17">
        <f ca="1">(LN(N229/G229)+P229*(U229/100+(L229/100)^2/2))/((L229/100*SQRT(P229)))</f>
        <v>1.1736387339304726</v>
      </c>
      <c r="Y229" s="17">
        <f ca="1">X229-N229/100*SQRT(R229)</f>
        <v>0.51631600041214976</v>
      </c>
      <c r="Z229" s="20">
        <f ca="1">EXP(-P229)/(N229*L229/100*SQRT(P229))*_xlfn.NORM.S.DIST(X229,FALSE)</f>
        <v>8.9447473525344438E-3</v>
      </c>
      <c r="AA229" s="17">
        <f t="shared" ca="1" si="16"/>
        <v>1.3522637322999985E-2</v>
      </c>
      <c r="AB229" s="17"/>
      <c r="AC229" s="17"/>
      <c r="AD229" s="17"/>
    </row>
    <row r="230" spans="1:30" x14ac:dyDescent="0.25">
      <c r="A230" t="s">
        <v>106</v>
      </c>
      <c r="B230" t="s">
        <v>107</v>
      </c>
      <c r="C230" t="s">
        <v>108</v>
      </c>
      <c r="D230">
        <v>46389</v>
      </c>
      <c r="E230" t="s">
        <v>107</v>
      </c>
      <c r="F230" t="s">
        <v>110</v>
      </c>
      <c r="G230">
        <v>13</v>
      </c>
      <c r="H230">
        <v>1.776</v>
      </c>
      <c r="I230">
        <v>-0.13200000000000001</v>
      </c>
      <c r="J230" t="s">
        <v>67</v>
      </c>
      <c r="K230">
        <v>4172</v>
      </c>
      <c r="L230">
        <v>63.557299999999998</v>
      </c>
      <c r="M230">
        <v>-0.22672999999999999</v>
      </c>
      <c r="N230">
        <f>INDEX(jkm!$H:$H,MATCH(J230,jkm!$J:$J,0),1)</f>
        <v>16.972000000000001</v>
      </c>
      <c r="O230" s="3">
        <f t="shared" ca="1" si="17"/>
        <v>302</v>
      </c>
      <c r="P230" s="3">
        <f t="shared" ca="1" si="18"/>
        <v>0.82739726027397265</v>
      </c>
      <c r="Q230" t="str" cm="1">
        <f t="array" ref="Q230:S230">_xlfn.TEXTSPLIT(J230,"/")</f>
        <v>1</v>
      </c>
      <c r="R230" s="1" t="str">
        <v>15</v>
      </c>
      <c r="S230" t="str">
        <v>2027</v>
      </c>
      <c r="T230" s="1">
        <f t="shared" si="19"/>
        <v>46402</v>
      </c>
      <c r="U230" s="19">
        <f t="shared" si="20"/>
        <v>3.6899999999999977</v>
      </c>
      <c r="V230" s="17">
        <f ca="1">(LN(N230/G230)+(L230/100)^2*P230/2)/(L230/100*SQRT(P230))</f>
        <v>0.75023508885462964</v>
      </c>
      <c r="W230" s="17">
        <f ca="1">V230-L230/100*SQRT(P230)</f>
        <v>0.17210911885089275</v>
      </c>
      <c r="X230" s="17">
        <f ca="1">(LN(N230/G230)+P230*(U230/100+(L230/100)^2/2))/((L230/100*SQRT(P230)))</f>
        <v>0.80304530754089998</v>
      </c>
      <c r="Y230" s="17">
        <f ca="1">X230-N230/100*SQRT(R230)</f>
        <v>0.14572257402257716</v>
      </c>
      <c r="Z230" s="20">
        <f ca="1">EXP(-P230)/(N230*L230/100*SQRT(P230))*_xlfn.NORM.S.DIST(X230,FALSE)</f>
        <v>1.2876155216192727E-2</v>
      </c>
      <c r="AA230" s="17">
        <f t="shared" ca="1" si="16"/>
        <v>1.9504362836891997E-2</v>
      </c>
      <c r="AB230" s="17"/>
      <c r="AC230" s="17"/>
      <c r="AD230" s="17"/>
    </row>
    <row r="231" spans="1:30" x14ac:dyDescent="0.25">
      <c r="A231" t="s">
        <v>106</v>
      </c>
      <c r="B231" t="s">
        <v>107</v>
      </c>
      <c r="C231" t="s">
        <v>108</v>
      </c>
      <c r="D231">
        <v>46389</v>
      </c>
      <c r="E231" t="s">
        <v>107</v>
      </c>
      <c r="F231" t="s">
        <v>110</v>
      </c>
      <c r="G231">
        <v>15</v>
      </c>
      <c r="H231">
        <v>2.76</v>
      </c>
      <c r="I231">
        <v>-0.182</v>
      </c>
      <c r="J231" t="s">
        <v>67</v>
      </c>
      <c r="K231">
        <v>4172</v>
      </c>
      <c r="L231">
        <v>63.884</v>
      </c>
      <c r="M231">
        <v>-0.30735000000000001</v>
      </c>
      <c r="N231">
        <f>INDEX(jkm!$H:$H,MATCH(J231,jkm!$J:$J,0),1)</f>
        <v>16.972000000000001</v>
      </c>
      <c r="O231" s="3">
        <f t="shared" ca="1" si="17"/>
        <v>302</v>
      </c>
      <c r="P231" s="3">
        <f t="shared" ca="1" si="18"/>
        <v>0.82739726027397265</v>
      </c>
      <c r="Q231" t="str" cm="1">
        <f t="array" ref="Q231:S231">_xlfn.TEXTSPLIT(J231,"/")</f>
        <v>1</v>
      </c>
      <c r="R231" s="1" t="str">
        <v>15</v>
      </c>
      <c r="S231" t="str">
        <v>2027</v>
      </c>
      <c r="T231" s="1">
        <f t="shared" si="19"/>
        <v>46402</v>
      </c>
      <c r="U231" s="19">
        <f t="shared" si="20"/>
        <v>3.6899999999999977</v>
      </c>
      <c r="V231" s="17">
        <f ca="1">(LN(N231/G231)+(L231/100)^2*P231/2)/(L231/100*SQRT(P231))</f>
        <v>0.50310299458496555</v>
      </c>
      <c r="W231" s="17">
        <f ca="1">V231-L231/100*SQRT(P231)</f>
        <v>-7.7994683694614042E-2</v>
      </c>
      <c r="X231" s="17">
        <f ca="1">(LN(N231/G231)+P231*(U231/100+(L231/100)^2/2))/((L231/100*SQRT(P231)))</f>
        <v>0.55564314410767701</v>
      </c>
      <c r="Y231" s="17">
        <f ca="1">X231-N231/100*SQRT(R231)</f>
        <v>-0.10167958941064581</v>
      </c>
      <c r="Z231" s="20">
        <f ca="1">EXP(-P231)/(N231*L231/100*SQRT(P231))*_xlfn.NORM.S.DIST(X231,FALSE)</f>
        <v>1.5154860743687066E-2</v>
      </c>
      <c r="AA231" s="17">
        <f t="shared" ca="1" si="16"/>
        <v>2.3074068401812333E-2</v>
      </c>
      <c r="AB231" s="17"/>
      <c r="AC231" s="17"/>
      <c r="AD231" s="17"/>
    </row>
    <row r="232" spans="1:30" x14ac:dyDescent="0.25">
      <c r="A232" t="s">
        <v>106</v>
      </c>
      <c r="B232" t="s">
        <v>107</v>
      </c>
      <c r="C232" t="s">
        <v>108</v>
      </c>
      <c r="D232">
        <v>46389</v>
      </c>
      <c r="E232" t="s">
        <v>107</v>
      </c>
      <c r="F232" t="s">
        <v>110</v>
      </c>
      <c r="G232">
        <v>15.5</v>
      </c>
      <c r="H232">
        <v>3.0390000000000001</v>
      </c>
      <c r="I232">
        <v>-0.19500000000000001</v>
      </c>
      <c r="J232" t="s">
        <v>67</v>
      </c>
      <c r="K232">
        <v>4172</v>
      </c>
      <c r="L232">
        <v>64.028300000000002</v>
      </c>
      <c r="M232">
        <v>-0.32728000000000002</v>
      </c>
      <c r="N232">
        <f>INDEX(jkm!$H:$H,MATCH(J232,jkm!$J:$J,0),1)</f>
        <v>16.972000000000001</v>
      </c>
      <c r="O232" s="3">
        <f t="shared" ca="1" si="17"/>
        <v>302</v>
      </c>
      <c r="P232" s="3">
        <f t="shared" ca="1" si="18"/>
        <v>0.82739726027397265</v>
      </c>
      <c r="Q232" t="str" cm="1">
        <f t="array" ref="Q232:S232">_xlfn.TEXTSPLIT(J232,"/")</f>
        <v>1</v>
      </c>
      <c r="R232" s="1" t="str">
        <v>15</v>
      </c>
      <c r="S232" t="str">
        <v>2027</v>
      </c>
      <c r="T232" s="1">
        <f t="shared" si="19"/>
        <v>46402</v>
      </c>
      <c r="U232" s="19">
        <f t="shared" si="20"/>
        <v>3.6899999999999977</v>
      </c>
      <c r="V232" s="17">
        <f ca="1">(LN(N232/G232)+(L232/100)^2*P232/2)/(L232/100*SQRT(P232))</f>
        <v>0.44698003375003181</v>
      </c>
      <c r="W232" s="17">
        <f ca="1">V232-L232/100*SQRT(P232)</f>
        <v>-0.13543021723907989</v>
      </c>
      <c r="X232" s="17">
        <f ca="1">(LN(N232/G232)+P232*(U232/100+(L232/100)^2/2))/((L232/100*SQRT(P232)))</f>
        <v>0.49940177401346048</v>
      </c>
      <c r="Y232" s="17">
        <f ca="1">X232-N232/100*SQRT(R232)</f>
        <v>-0.15792095950486235</v>
      </c>
      <c r="Z232" s="20">
        <f ca="1">EXP(-P232)/(N232*L232/100*SQRT(P232))*_xlfn.NORM.S.DIST(X232,FALSE)</f>
        <v>1.557603746216195E-2</v>
      </c>
      <c r="AA232" s="17">
        <f t="shared" ca="1" si="16"/>
        <v>2.3768899746290654E-2</v>
      </c>
      <c r="AB232" s="17"/>
      <c r="AC232" s="17"/>
      <c r="AD232" s="17"/>
    </row>
    <row r="233" spans="1:30" x14ac:dyDescent="0.25">
      <c r="A233" t="s">
        <v>106</v>
      </c>
      <c r="B233" t="s">
        <v>107</v>
      </c>
      <c r="C233" t="s">
        <v>108</v>
      </c>
      <c r="D233">
        <v>46389</v>
      </c>
      <c r="E233" t="s">
        <v>107</v>
      </c>
      <c r="F233" t="s">
        <v>110</v>
      </c>
      <c r="G233">
        <v>20</v>
      </c>
      <c r="H233">
        <v>6.0060000000000002</v>
      </c>
      <c r="I233">
        <v>-0.28399999999999997</v>
      </c>
      <c r="J233" t="s">
        <v>67</v>
      </c>
      <c r="K233">
        <v>4172</v>
      </c>
      <c r="L233">
        <v>65.342699999999994</v>
      </c>
      <c r="M233">
        <v>-0.49087999999999998</v>
      </c>
      <c r="N233">
        <f>INDEX(jkm!$H:$H,MATCH(J233,jkm!$J:$J,0),1)</f>
        <v>16.972000000000001</v>
      </c>
      <c r="O233" s="3">
        <f t="shared" ca="1" si="17"/>
        <v>302</v>
      </c>
      <c r="P233" s="3">
        <f t="shared" ca="1" si="18"/>
        <v>0.82739726027397265</v>
      </c>
      <c r="Q233" t="str" cm="1">
        <f t="array" ref="Q233:S233">_xlfn.TEXTSPLIT(J233,"/")</f>
        <v>1</v>
      </c>
      <c r="R233" s="1" t="str">
        <v>15</v>
      </c>
      <c r="S233" t="str">
        <v>2027</v>
      </c>
      <c r="T233" s="1">
        <f t="shared" si="19"/>
        <v>46402</v>
      </c>
      <c r="U233" s="19">
        <f t="shared" si="20"/>
        <v>3.6899999999999977</v>
      </c>
      <c r="V233" s="17">
        <f ca="1">(LN(N233/G233)+(L233/100)^2*P233/2)/(L233/100*SQRT(P233))</f>
        <v>2.0977390857147057E-2</v>
      </c>
      <c r="W233" s="17">
        <f ca="1">V233-L233/100*SQRT(P233)</f>
        <v>-0.57338882388393198</v>
      </c>
      <c r="X233" s="17">
        <f ca="1">(LN(N233/G233)+P233*(U233/100+(L233/100)^2/2))/((L233/100*SQRT(P233)))</f>
        <v>7.2344642472230228E-2</v>
      </c>
      <c r="Y233" s="17">
        <f ca="1">X233-N233/100*SQRT(R233)</f>
        <v>-0.58497809104609255</v>
      </c>
      <c r="Z233" s="20">
        <f ca="1">EXP(-P233)/(N233*L233/100*SQRT(P233))*_xlfn.NORM.S.DIST(X233,FALSE)</f>
        <v>1.7244569994147876E-2</v>
      </c>
      <c r="AA233" s="17">
        <f t="shared" ca="1" si="16"/>
        <v>2.6855272895102981E-2</v>
      </c>
      <c r="AB233" s="17"/>
      <c r="AC233" s="17"/>
      <c r="AD233" s="17"/>
    </row>
    <row r="234" spans="1:30" x14ac:dyDescent="0.25">
      <c r="A234" t="s">
        <v>106</v>
      </c>
      <c r="B234" t="s">
        <v>107</v>
      </c>
      <c r="C234" t="s">
        <v>108</v>
      </c>
      <c r="D234">
        <v>46390</v>
      </c>
      <c r="E234" t="s">
        <v>107</v>
      </c>
      <c r="F234" t="s">
        <v>109</v>
      </c>
      <c r="G234">
        <v>5</v>
      </c>
      <c r="H234">
        <v>10.704000000000001</v>
      </c>
      <c r="I234">
        <v>0.45700000000000002</v>
      </c>
      <c r="J234" t="s">
        <v>68</v>
      </c>
      <c r="K234">
        <v>4172</v>
      </c>
      <c r="L234">
        <v>63.3504</v>
      </c>
      <c r="M234">
        <v>0.98548000000000002</v>
      </c>
      <c r="N234">
        <f>INDEX(jkm!$H:$H,MATCH(J234,jkm!$J:$J,0),1)</f>
        <v>15.644</v>
      </c>
      <c r="O234" s="3">
        <f t="shared" ca="1" si="17"/>
        <v>333</v>
      </c>
      <c r="P234" s="3">
        <f t="shared" ca="1" si="18"/>
        <v>0.9123287671232877</v>
      </c>
      <c r="Q234" t="str" cm="1">
        <f t="array" ref="Q234:S234">_xlfn.TEXTSPLIT(J234,"/")</f>
        <v>2</v>
      </c>
      <c r="R234" s="1" t="str">
        <v>15</v>
      </c>
      <c r="S234" t="str">
        <v>2027</v>
      </c>
      <c r="T234" s="1">
        <f t="shared" si="19"/>
        <v>46433</v>
      </c>
      <c r="U234" s="19">
        <f t="shared" si="20"/>
        <v>3.6899999999999977</v>
      </c>
      <c r="V234" s="17">
        <f ca="1">(LN(N234/G234)+(L234/100)^2*P234/2)/(L234/100*SQRT(P234))</f>
        <v>2.1876172454386928</v>
      </c>
      <c r="W234" s="17">
        <f ca="1">V234-L234/100*SQRT(P234)</f>
        <v>1.5825201811106357</v>
      </c>
      <c r="X234" s="17">
        <f ca="1">(LN(N234/G234)+P234*(U234/100+(L234/100)^2/2))/((L234/100*SQRT(P234)))</f>
        <v>2.2432528343243097</v>
      </c>
      <c r="Y234" s="17">
        <f ca="1">X234-N234/100*SQRT(R234)</f>
        <v>1.6373633196436215</v>
      </c>
      <c r="Z234" s="20">
        <f ca="1">EXP(-P234)/(N234*L234/100*SQRT(P234))*_xlfn.NORM.S.DIST(X234,FALSE)</f>
        <v>1.3670775406004719E-3</v>
      </c>
      <c r="AA234" s="17">
        <f t="shared" ca="1" si="16"/>
        <v>1.9337017641769913E-3</v>
      </c>
      <c r="AB234" s="17"/>
      <c r="AC234" s="17"/>
      <c r="AD234" s="17"/>
    </row>
    <row r="235" spans="1:30" x14ac:dyDescent="0.25">
      <c r="A235" t="s">
        <v>106</v>
      </c>
      <c r="B235" t="s">
        <v>107</v>
      </c>
      <c r="C235" t="s">
        <v>108</v>
      </c>
      <c r="D235">
        <v>46390</v>
      </c>
      <c r="E235" t="s">
        <v>107</v>
      </c>
      <c r="F235" t="s">
        <v>109</v>
      </c>
      <c r="G235">
        <v>8</v>
      </c>
      <c r="H235">
        <v>8.0950000000000006</v>
      </c>
      <c r="I235">
        <v>0.42399999999999999</v>
      </c>
      <c r="J235" t="s">
        <v>68</v>
      </c>
      <c r="K235">
        <v>4172</v>
      </c>
      <c r="L235">
        <v>63.500700000000002</v>
      </c>
      <c r="M235">
        <v>0.92022000000000004</v>
      </c>
      <c r="N235">
        <f>INDEX(jkm!$H:$H,MATCH(J235,jkm!$J:$J,0),1)</f>
        <v>15.644</v>
      </c>
      <c r="O235" s="3">
        <f t="shared" ca="1" si="17"/>
        <v>333</v>
      </c>
      <c r="P235" s="3">
        <f t="shared" ca="1" si="18"/>
        <v>0.9123287671232877</v>
      </c>
      <c r="Q235" t="str" cm="1">
        <f t="array" ref="Q235:S235">_xlfn.TEXTSPLIT(J235,"/")</f>
        <v>2</v>
      </c>
      <c r="R235" s="1" t="str">
        <v>15</v>
      </c>
      <c r="S235" t="str">
        <v>2027</v>
      </c>
      <c r="T235" s="1">
        <f t="shared" si="19"/>
        <v>46433</v>
      </c>
      <c r="U235" s="19">
        <f t="shared" si="20"/>
        <v>3.6899999999999977</v>
      </c>
      <c r="V235" s="17">
        <f ca="1">(LN(N235/G235)+(L235/100)^2*P235/2)/(L235/100*SQRT(P235))</f>
        <v>1.408970857957994</v>
      </c>
      <c r="W235" s="17">
        <f ca="1">V235-L235/100*SQRT(P235)</f>
        <v>0.80243818961214841</v>
      </c>
      <c r="X235" s="17">
        <f ca="1">(LN(N235/G235)+P235*(U235/100+(L235/100)^2/2))/((L235/100*SQRT(P235)))</f>
        <v>1.4644747627990331</v>
      </c>
      <c r="Y235" s="17">
        <f ca="1">X235-N235/100*SQRT(R235)</f>
        <v>0.8585852481183448</v>
      </c>
      <c r="Z235" s="20">
        <f ca="1">EXP(-P235)/(N235*L235/100*SQRT(P235))*_xlfn.NORM.S.DIST(X235,FALSE)</f>
        <v>5.7779794454279228E-3</v>
      </c>
      <c r="AA235" s="17">
        <f t="shared" ca="1" si="16"/>
        <v>8.1922177792155097E-3</v>
      </c>
      <c r="AB235" s="17"/>
      <c r="AC235" s="17"/>
      <c r="AD235" s="17"/>
    </row>
    <row r="236" spans="1:30" x14ac:dyDescent="0.25">
      <c r="A236" t="s">
        <v>106</v>
      </c>
      <c r="B236" t="s">
        <v>107</v>
      </c>
      <c r="C236" t="s">
        <v>108</v>
      </c>
      <c r="D236">
        <v>46390</v>
      </c>
      <c r="E236" t="s">
        <v>107</v>
      </c>
      <c r="F236" t="s">
        <v>109</v>
      </c>
      <c r="G236">
        <v>9</v>
      </c>
      <c r="H236">
        <v>7.3390000000000004</v>
      </c>
      <c r="I236">
        <v>0.40699999999999997</v>
      </c>
      <c r="J236" t="s">
        <v>68</v>
      </c>
      <c r="K236">
        <v>4172</v>
      </c>
      <c r="L236">
        <v>63.550800000000002</v>
      </c>
      <c r="M236">
        <v>0.88734000000000002</v>
      </c>
      <c r="N236">
        <f>INDEX(jkm!$H:$H,MATCH(J236,jkm!$J:$J,0),1)</f>
        <v>15.644</v>
      </c>
      <c r="O236" s="3">
        <f t="shared" ca="1" si="17"/>
        <v>333</v>
      </c>
      <c r="P236" s="3">
        <f t="shared" ca="1" si="18"/>
        <v>0.9123287671232877</v>
      </c>
      <c r="Q236" t="str" cm="1">
        <f t="array" ref="Q236:S236">_xlfn.TEXTSPLIT(J236,"/")</f>
        <v>2</v>
      </c>
      <c r="R236" s="1" t="str">
        <v>15</v>
      </c>
      <c r="S236" t="str">
        <v>2027</v>
      </c>
      <c r="T236" s="1">
        <f t="shared" si="19"/>
        <v>46433</v>
      </c>
      <c r="U236" s="19">
        <f t="shared" si="20"/>
        <v>3.6899999999999977</v>
      </c>
      <c r="V236" s="17">
        <f ca="1">(LN(N236/G236)+(L236/100)^2*P236/2)/(L236/100*SQRT(P236))</f>
        <v>1.2143007842140312</v>
      </c>
      <c r="W236" s="17">
        <f ca="1">V236-L236/100*SQRT(P236)</f>
        <v>0.6072895811955894</v>
      </c>
      <c r="X236" s="17">
        <f ca="1">(LN(N236/G236)+P236*(U236/100+(L236/100)^2/2))/((L236/100*SQRT(P236)))</f>
        <v>1.2697609327902784</v>
      </c>
      <c r="Y236" s="17">
        <f ca="1">X236-N236/100*SQRT(R236)</f>
        <v>0.66387141810959005</v>
      </c>
      <c r="Z236" s="20">
        <f ca="1">EXP(-P236)/(N236*L236/100*SQRT(P236))*_xlfn.NORM.S.DIST(X236,FALSE)</f>
        <v>7.5342714623747795E-3</v>
      </c>
      <c r="AA236" s="17">
        <f t="shared" ca="1" si="16"/>
        <v>1.0690776972101997E-2</v>
      </c>
      <c r="AB236" s="17"/>
      <c r="AC236" s="17"/>
      <c r="AD236" s="17"/>
    </row>
    <row r="237" spans="1:30" x14ac:dyDescent="0.25">
      <c r="A237" t="s">
        <v>106</v>
      </c>
      <c r="B237" t="s">
        <v>107</v>
      </c>
      <c r="C237" t="s">
        <v>108</v>
      </c>
      <c r="D237">
        <v>46390</v>
      </c>
      <c r="E237" t="s">
        <v>107</v>
      </c>
      <c r="F237" t="s">
        <v>109</v>
      </c>
      <c r="G237">
        <v>9.5</v>
      </c>
      <c r="H237">
        <v>6.984</v>
      </c>
      <c r="I237">
        <v>0.39800000000000002</v>
      </c>
      <c r="J237" t="s">
        <v>68</v>
      </c>
      <c r="K237">
        <v>4172</v>
      </c>
      <c r="L237">
        <v>63.575800000000001</v>
      </c>
      <c r="M237">
        <v>0.86938000000000004</v>
      </c>
      <c r="N237">
        <f>INDEX(jkm!$H:$H,MATCH(J237,jkm!$J:$J,0),1)</f>
        <v>15.644</v>
      </c>
      <c r="O237" s="3">
        <f t="shared" ca="1" si="17"/>
        <v>333</v>
      </c>
      <c r="P237" s="3">
        <f t="shared" ca="1" si="18"/>
        <v>0.9123287671232877</v>
      </c>
      <c r="Q237" t="str" cm="1">
        <f t="array" ref="Q237:S237">_xlfn.TEXTSPLIT(J237,"/")</f>
        <v>2</v>
      </c>
      <c r="R237" s="1" t="str">
        <v>15</v>
      </c>
      <c r="S237" t="str">
        <v>2027</v>
      </c>
      <c r="T237" s="1">
        <f t="shared" si="19"/>
        <v>46433</v>
      </c>
      <c r="U237" s="19">
        <f t="shared" si="20"/>
        <v>3.6899999999999977</v>
      </c>
      <c r="V237" s="17">
        <f ca="1">(LN(N237/G237)+(L237/100)^2*P237/2)/(L237/100*SQRT(P237))</f>
        <v>1.1250258431907549</v>
      </c>
      <c r="W237" s="17">
        <f ca="1">V237-L237/100*SQRT(P237)</f>
        <v>0.51777585041552865</v>
      </c>
      <c r="X237" s="17">
        <f ca="1">(LN(N237/G237)+P237*(U237/100+(L237/100)^2/2))/((L237/100*SQRT(P237)))</f>
        <v>1.180464183095866</v>
      </c>
      <c r="Y237" s="17">
        <f ca="1">X237-N237/100*SQRT(R237)</f>
        <v>0.57457466841517768</v>
      </c>
      <c r="Z237" s="20">
        <f ca="1">EXP(-P237)/(N237*L237/100*SQRT(P237))*_xlfn.NORM.S.DIST(X237,FALSE)</f>
        <v>8.4019800723701375E-3</v>
      </c>
      <c r="AA237" s="17">
        <f t="shared" ca="1" si="16"/>
        <v>1.1926704647910008E-2</v>
      </c>
      <c r="AB237" s="17"/>
      <c r="AC237" s="17"/>
      <c r="AD237" s="17"/>
    </row>
    <row r="238" spans="1:30" x14ac:dyDescent="0.25">
      <c r="A238" t="s">
        <v>106</v>
      </c>
      <c r="B238" t="s">
        <v>107</v>
      </c>
      <c r="C238" t="s">
        <v>108</v>
      </c>
      <c r="D238">
        <v>46390</v>
      </c>
      <c r="E238" t="s">
        <v>107</v>
      </c>
      <c r="F238" t="s">
        <v>109</v>
      </c>
      <c r="G238">
        <v>10</v>
      </c>
      <c r="H238">
        <v>6.6440000000000001</v>
      </c>
      <c r="I238">
        <v>0.38900000000000001</v>
      </c>
      <c r="J238" t="s">
        <v>68</v>
      </c>
      <c r="K238">
        <v>4172</v>
      </c>
      <c r="L238">
        <v>63.6008</v>
      </c>
      <c r="M238">
        <v>0.85062000000000004</v>
      </c>
      <c r="N238">
        <f>INDEX(jkm!$H:$H,MATCH(J238,jkm!$J:$J,0),1)</f>
        <v>15.644</v>
      </c>
      <c r="O238" s="3">
        <f t="shared" ca="1" si="17"/>
        <v>333</v>
      </c>
      <c r="P238" s="3">
        <f t="shared" ca="1" si="18"/>
        <v>0.9123287671232877</v>
      </c>
      <c r="Q238" t="str" cm="1">
        <f t="array" ref="Q238:S238">_xlfn.TEXTSPLIT(J238,"/")</f>
        <v>2</v>
      </c>
      <c r="R238" s="1" t="str">
        <v>15</v>
      </c>
      <c r="S238" t="str">
        <v>2027</v>
      </c>
      <c r="T238" s="1">
        <f t="shared" si="19"/>
        <v>46433</v>
      </c>
      <c r="U238" s="19">
        <f t="shared" si="20"/>
        <v>3.6899999999999977</v>
      </c>
      <c r="V238" s="17">
        <f ca="1">(LN(N238/G238)+(L238/100)^2*P238/2)/(L238/100*SQRT(P238))</f>
        <v>1.0403873989509111</v>
      </c>
      <c r="W238" s="17">
        <f ca="1">V238-L238/100*SQRT(P238)</f>
        <v>0.43289861641890037</v>
      </c>
      <c r="X238" s="17">
        <f ca="1">(LN(N238/G238)+P238*(U238/100+(L238/100)^2/2))/((L238/100*SQRT(P238)))</f>
        <v>1.0958039473298522</v>
      </c>
      <c r="Y238" s="17">
        <f ca="1">X238-N238/100*SQRT(R238)</f>
        <v>0.4899144326491639</v>
      </c>
      <c r="Z238" s="20">
        <f ca="1">EXP(-P238)/(N238*L238/100*SQRT(P238))*_xlfn.NORM.S.DIST(X238,FALSE)</f>
        <v>9.2482000664123251E-3</v>
      </c>
      <c r="AA238" s="17">
        <f t="shared" ca="1" si="16"/>
        <v>1.31330857018179E-2</v>
      </c>
      <c r="AB238" s="17"/>
      <c r="AC238" s="17"/>
      <c r="AD238" s="17"/>
    </row>
    <row r="239" spans="1:30" x14ac:dyDescent="0.25">
      <c r="A239" t="s">
        <v>106</v>
      </c>
      <c r="B239" t="s">
        <v>107</v>
      </c>
      <c r="C239" t="s">
        <v>108</v>
      </c>
      <c r="D239">
        <v>46390</v>
      </c>
      <c r="E239" t="s">
        <v>107</v>
      </c>
      <c r="F239" t="s">
        <v>109</v>
      </c>
      <c r="G239">
        <v>10.5</v>
      </c>
      <c r="H239">
        <v>6.319</v>
      </c>
      <c r="I239">
        <v>0.379</v>
      </c>
      <c r="J239" t="s">
        <v>68</v>
      </c>
      <c r="K239">
        <v>4172</v>
      </c>
      <c r="L239">
        <v>63.625900000000001</v>
      </c>
      <c r="M239">
        <v>0.83118999999999998</v>
      </c>
      <c r="N239">
        <f>INDEX(jkm!$H:$H,MATCH(J239,jkm!$J:$J,0),1)</f>
        <v>15.644</v>
      </c>
      <c r="O239" s="3">
        <f t="shared" ca="1" si="17"/>
        <v>333</v>
      </c>
      <c r="P239" s="3">
        <f t="shared" ca="1" si="18"/>
        <v>0.9123287671232877</v>
      </c>
      <c r="Q239" t="str" cm="1">
        <f t="array" ref="Q239:S239">_xlfn.TEXTSPLIT(J239,"/")</f>
        <v>2</v>
      </c>
      <c r="R239" s="1" t="str">
        <v>15</v>
      </c>
      <c r="S239" t="str">
        <v>2027</v>
      </c>
      <c r="T239" s="1">
        <f t="shared" si="19"/>
        <v>46433</v>
      </c>
      <c r="U239" s="19">
        <f t="shared" si="20"/>
        <v>3.6899999999999977</v>
      </c>
      <c r="V239" s="17">
        <f ca="1">(LN(N239/G239)+(L239/100)^2*P239/2)/(L239/100*SQRT(P239))</f>
        <v>0.95993384367961276</v>
      </c>
      <c r="W239" s="17">
        <f ca="1">V239-L239/100*SQRT(P239)</f>
        <v>0.3522053162317903</v>
      </c>
      <c r="X239" s="17">
        <f ca="1">(LN(N239/G239)+P239*(U239/100+(L239/100)^2/2))/((L239/100*SQRT(P239)))</f>
        <v>1.0153285305938939</v>
      </c>
      <c r="Y239" s="17">
        <f ca="1">X239-N239/100*SQRT(R239)</f>
        <v>0.40943901591320564</v>
      </c>
      <c r="Z239" s="20">
        <f ca="1">EXP(-P239)/(N239*L239/100*SQRT(P239))*_xlfn.NORM.S.DIST(X239,FALSE)</f>
        <v>1.0064169146256395E-2</v>
      </c>
      <c r="AA239" s="17">
        <f t="shared" ca="1" si="16"/>
        <v>1.4297458657866538E-2</v>
      </c>
      <c r="AB239" s="17"/>
      <c r="AC239" s="17"/>
      <c r="AD239" s="17"/>
    </row>
    <row r="240" spans="1:30" x14ac:dyDescent="0.25">
      <c r="A240" t="s">
        <v>106</v>
      </c>
      <c r="B240" t="s">
        <v>107</v>
      </c>
      <c r="C240" t="s">
        <v>108</v>
      </c>
      <c r="D240">
        <v>46390</v>
      </c>
      <c r="E240" t="s">
        <v>107</v>
      </c>
      <c r="F240" t="s">
        <v>109</v>
      </c>
      <c r="G240">
        <v>13</v>
      </c>
      <c r="H240">
        <v>4.9089999999999998</v>
      </c>
      <c r="I240">
        <v>0.32900000000000001</v>
      </c>
      <c r="J240" t="s">
        <v>68</v>
      </c>
      <c r="K240">
        <v>4172</v>
      </c>
      <c r="L240">
        <v>63.750999999999998</v>
      </c>
      <c r="M240">
        <v>0.72857000000000005</v>
      </c>
      <c r="N240">
        <f>INDEX(jkm!$H:$H,MATCH(J240,jkm!$J:$J,0),1)</f>
        <v>15.644</v>
      </c>
      <c r="O240" s="3">
        <f t="shared" ca="1" si="17"/>
        <v>333</v>
      </c>
      <c r="P240" s="3">
        <f t="shared" ca="1" si="18"/>
        <v>0.9123287671232877</v>
      </c>
      <c r="Q240" t="str" cm="1">
        <f t="array" ref="Q240:S240">_xlfn.TEXTSPLIT(J240,"/")</f>
        <v>2</v>
      </c>
      <c r="R240" s="1" t="str">
        <v>15</v>
      </c>
      <c r="S240" t="str">
        <v>2027</v>
      </c>
      <c r="T240" s="1">
        <f t="shared" si="19"/>
        <v>46433</v>
      </c>
      <c r="U240" s="19">
        <f t="shared" si="20"/>
        <v>3.6899999999999977</v>
      </c>
      <c r="V240" s="17">
        <f ca="1">(LN(N240/G240)+(L240/100)^2*P240/2)/(L240/100*SQRT(P240))</f>
        <v>0.60850338971814188</v>
      </c>
      <c r="W240" s="17">
        <f ca="1">V240-L240/100*SQRT(P240)</f>
        <v>-4.2004167263021142E-4</v>
      </c>
      <c r="X240" s="17">
        <f ca="1">(LN(N240/G240)+P240*(U240/100+(L240/100)^2/2))/((L240/100*SQRT(P240)))</f>
        <v>0.66378937441076413</v>
      </c>
      <c r="Y240" s="17">
        <f ca="1">X240-N240/100*SQRT(R240)</f>
        <v>5.7899859730075831E-2</v>
      </c>
      <c r="Z240" s="20">
        <f ca="1">EXP(-P240)/(N240*L240/100*SQRT(P240))*_xlfn.NORM.S.DIST(X240,FALSE)</f>
        <v>1.3492785059855184E-2</v>
      </c>
      <c r="AA240" s="17">
        <f t="shared" ref="AA240:AA303" ca="1" si="21">(N240*EXP(-P240)*SQRT(P240)*_xlfn.NORM.S.DIST(X240,FALSE))/100</f>
        <v>1.9205940860058411E-2</v>
      </c>
      <c r="AB240" s="17"/>
      <c r="AC240" s="17"/>
      <c r="AD240" s="17"/>
    </row>
    <row r="241" spans="1:30" x14ac:dyDescent="0.25">
      <c r="A241" t="s">
        <v>106</v>
      </c>
      <c r="B241" t="s">
        <v>107</v>
      </c>
      <c r="C241" t="s">
        <v>108</v>
      </c>
      <c r="D241">
        <v>46390</v>
      </c>
      <c r="E241" t="s">
        <v>107</v>
      </c>
      <c r="F241" t="s">
        <v>109</v>
      </c>
      <c r="G241">
        <v>15</v>
      </c>
      <c r="H241">
        <v>4.0250000000000004</v>
      </c>
      <c r="I241">
        <v>0.28299999999999997</v>
      </c>
      <c r="J241" t="s">
        <v>68</v>
      </c>
      <c r="K241">
        <v>4172</v>
      </c>
      <c r="L241">
        <v>64.085099999999997</v>
      </c>
      <c r="M241">
        <v>0.64634000000000003</v>
      </c>
      <c r="N241">
        <f>INDEX(jkm!$H:$H,MATCH(J241,jkm!$J:$J,0),1)</f>
        <v>15.644</v>
      </c>
      <c r="O241" s="3">
        <f t="shared" ca="1" si="17"/>
        <v>333</v>
      </c>
      <c r="P241" s="3">
        <f t="shared" ca="1" si="18"/>
        <v>0.9123287671232877</v>
      </c>
      <c r="Q241" t="str" cm="1">
        <f t="array" ref="Q241:S241">_xlfn.TEXTSPLIT(J241,"/")</f>
        <v>2</v>
      </c>
      <c r="R241" s="1" t="str">
        <v>15</v>
      </c>
      <c r="S241" t="str">
        <v>2027</v>
      </c>
      <c r="T241" s="1">
        <f t="shared" si="19"/>
        <v>46433</v>
      </c>
      <c r="U241" s="19">
        <f t="shared" si="20"/>
        <v>3.6899999999999977</v>
      </c>
      <c r="V241" s="17">
        <f ca="1">(LN(N241/G241)+(L241/100)^2*P241/2)/(L241/100*SQRT(P241))</f>
        <v>0.37473277350254436</v>
      </c>
      <c r="W241" s="17">
        <f ca="1">V241-L241/100*SQRT(P241)</f>
        <v>-0.23738184419789593</v>
      </c>
      <c r="X241" s="17">
        <f ca="1">(LN(N241/G241)+P241*(U241/100+(L241/100)^2/2))/((L241/100*SQRT(P241)))</f>
        <v>0.42973053132986094</v>
      </c>
      <c r="Y241" s="17">
        <f ca="1">X241-N241/100*SQRT(R241)</f>
        <v>-0.17615898335082736</v>
      </c>
      <c r="Z241" s="20">
        <f ca="1">EXP(-P241)/(N241*L241/100*SQRT(P241))*_xlfn.NORM.S.DIST(X241,FALSE)</f>
        <v>1.5254920201223501E-2</v>
      </c>
      <c r="AA241" s="17">
        <f t="shared" ca="1" si="21"/>
        <v>2.1828002262599389E-2</v>
      </c>
      <c r="AB241" s="17"/>
      <c r="AC241" s="17"/>
      <c r="AD241" s="17"/>
    </row>
    <row r="242" spans="1:30" x14ac:dyDescent="0.25">
      <c r="A242" t="s">
        <v>106</v>
      </c>
      <c r="B242" t="s">
        <v>107</v>
      </c>
      <c r="C242" t="s">
        <v>108</v>
      </c>
      <c r="D242">
        <v>46390</v>
      </c>
      <c r="E242" t="s">
        <v>107</v>
      </c>
      <c r="F242" t="s">
        <v>109</v>
      </c>
      <c r="G242">
        <v>15.5</v>
      </c>
      <c r="H242">
        <v>3.8359999999999999</v>
      </c>
      <c r="I242">
        <v>0.27300000000000002</v>
      </c>
      <c r="J242" t="s">
        <v>68</v>
      </c>
      <c r="K242">
        <v>4172</v>
      </c>
      <c r="L242">
        <v>64.231300000000005</v>
      </c>
      <c r="M242">
        <v>0.62653999999999999</v>
      </c>
      <c r="N242">
        <f>INDEX(jkm!$H:$H,MATCH(J242,jkm!$J:$J,0),1)</f>
        <v>15.644</v>
      </c>
      <c r="O242" s="3">
        <f t="shared" ca="1" si="17"/>
        <v>333</v>
      </c>
      <c r="P242" s="3">
        <f t="shared" ca="1" si="18"/>
        <v>0.9123287671232877</v>
      </c>
      <c r="Q242" t="str" cm="1">
        <f t="array" ref="Q242:S242">_xlfn.TEXTSPLIT(J242,"/")</f>
        <v>2</v>
      </c>
      <c r="R242" s="1" t="str">
        <v>15</v>
      </c>
      <c r="S242" t="str">
        <v>2027</v>
      </c>
      <c r="T242" s="1">
        <f t="shared" si="19"/>
        <v>46433</v>
      </c>
      <c r="U242" s="19">
        <f t="shared" si="20"/>
        <v>3.6899999999999977</v>
      </c>
      <c r="V242" s="17">
        <f ca="1">(LN(N242/G242)+(L242/100)^2*P242/2)/(L242/100*SQRT(P242))</f>
        <v>0.32182849873483205</v>
      </c>
      <c r="W242" s="17">
        <f ca="1">V242-L242/100*SQRT(P242)</f>
        <v>-0.29168256146328414</v>
      </c>
      <c r="X242" s="17">
        <f ca="1">(LN(N242/G242)+P242*(U242/100+(L242/100)^2/2))/((L242/100*SQRT(P242)))</f>
        <v>0.37670107347859971</v>
      </c>
      <c r="Y242" s="17">
        <f ca="1">X242-N242/100*SQRT(R242)</f>
        <v>-0.22918844120208859</v>
      </c>
      <c r="Z242" s="20">
        <f ca="1">EXP(-P242)/(N242*L242/100*SQRT(P242))*_xlfn.NORM.S.DIST(X242,FALSE)</f>
        <v>1.5549145095644141E-2</v>
      </c>
      <c r="AA242" s="17">
        <f t="shared" ca="1" si="21"/>
        <v>2.2299761166323071E-2</v>
      </c>
      <c r="AB242" s="17"/>
      <c r="AC242" s="17"/>
      <c r="AD242" s="17"/>
    </row>
    <row r="243" spans="1:30" x14ac:dyDescent="0.25">
      <c r="A243" t="s">
        <v>106</v>
      </c>
      <c r="B243" t="s">
        <v>107</v>
      </c>
      <c r="C243" t="s">
        <v>108</v>
      </c>
      <c r="D243">
        <v>46390</v>
      </c>
      <c r="E243" t="s">
        <v>107</v>
      </c>
      <c r="F243" t="s">
        <v>109</v>
      </c>
      <c r="G243">
        <v>20</v>
      </c>
      <c r="H243">
        <v>2.5329999999999999</v>
      </c>
      <c r="I243">
        <v>0.19800000000000001</v>
      </c>
      <c r="J243" t="s">
        <v>68</v>
      </c>
      <c r="K243">
        <v>4172</v>
      </c>
      <c r="L243">
        <v>65.538700000000006</v>
      </c>
      <c r="M243">
        <v>0.46920000000000001</v>
      </c>
      <c r="N243">
        <f>INDEX(jkm!$H:$H,MATCH(J243,jkm!$J:$J,0),1)</f>
        <v>15.644</v>
      </c>
      <c r="O243" s="3">
        <f t="shared" ca="1" si="17"/>
        <v>333</v>
      </c>
      <c r="P243" s="3">
        <f t="shared" ca="1" si="18"/>
        <v>0.9123287671232877</v>
      </c>
      <c r="Q243" t="str" cm="1">
        <f t="array" ref="Q243:S243">_xlfn.TEXTSPLIT(J243,"/")</f>
        <v>2</v>
      </c>
      <c r="R243" s="1" t="str">
        <v>15</v>
      </c>
      <c r="S243" t="str">
        <v>2027</v>
      </c>
      <c r="T243" s="1">
        <f t="shared" si="19"/>
        <v>46433</v>
      </c>
      <c r="U243" s="19">
        <f t="shared" si="20"/>
        <v>3.6899999999999977</v>
      </c>
      <c r="V243" s="17">
        <f ca="1">(LN(N243/G243)+(L243/100)^2*P243/2)/(L243/100*SQRT(P243))</f>
        <v>-7.9405202192720736E-2</v>
      </c>
      <c r="W243" s="17">
        <f ca="1">V243-L243/100*SQRT(P243)</f>
        <v>-0.70540401151163967</v>
      </c>
      <c r="X243" s="17">
        <f ca="1">(LN(N243/G243)+P243*(U243/100+(L243/100)^2/2))/((L243/100*SQRT(P243)))</f>
        <v>-2.5627254046978361E-2</v>
      </c>
      <c r="Y243" s="17">
        <f ca="1">X243-N243/100*SQRT(R243)</f>
        <v>-0.63151676872766671</v>
      </c>
      <c r="Z243" s="20">
        <f ca="1">EXP(-P243)/(N243*L243/100*SQRT(P243))*_xlfn.NORM.S.DIST(X243,FALSE)</f>
        <v>1.6354105285370079E-2</v>
      </c>
      <c r="AA243" s="17">
        <f t="shared" ca="1" si="21"/>
        <v>2.3931592301643372E-2</v>
      </c>
      <c r="AB243" s="17"/>
      <c r="AC243" s="17"/>
      <c r="AD243" s="17"/>
    </row>
    <row r="244" spans="1:30" x14ac:dyDescent="0.25">
      <c r="A244" t="s">
        <v>106</v>
      </c>
      <c r="B244" t="s">
        <v>107</v>
      </c>
      <c r="C244" t="s">
        <v>108</v>
      </c>
      <c r="D244">
        <v>46390</v>
      </c>
      <c r="E244" t="s">
        <v>107</v>
      </c>
      <c r="F244" t="s">
        <v>110</v>
      </c>
      <c r="G244">
        <v>5</v>
      </c>
      <c r="H244">
        <v>0.06</v>
      </c>
      <c r="I244">
        <v>-8.0000000000000002E-3</v>
      </c>
      <c r="J244" t="s">
        <v>68</v>
      </c>
      <c r="K244">
        <v>4172</v>
      </c>
      <c r="L244">
        <v>63.3504</v>
      </c>
      <c r="M244">
        <v>-1.452E-2</v>
      </c>
      <c r="N244">
        <f>INDEX(jkm!$H:$H,MATCH(J244,jkm!$J:$J,0),1)</f>
        <v>15.644</v>
      </c>
      <c r="O244" s="3">
        <f t="shared" ca="1" si="17"/>
        <v>333</v>
      </c>
      <c r="P244" s="3">
        <f t="shared" ca="1" si="18"/>
        <v>0.9123287671232877</v>
      </c>
      <c r="Q244" t="str" cm="1">
        <f t="array" ref="Q244:S244">_xlfn.TEXTSPLIT(J244,"/")</f>
        <v>2</v>
      </c>
      <c r="R244" s="1" t="str">
        <v>15</v>
      </c>
      <c r="S244" t="str">
        <v>2027</v>
      </c>
      <c r="T244" s="1">
        <f t="shared" si="19"/>
        <v>46433</v>
      </c>
      <c r="U244" s="19">
        <f t="shared" si="20"/>
        <v>3.6899999999999977</v>
      </c>
      <c r="V244" s="17">
        <f ca="1">(LN(N244/G244)+(L244/100)^2*P244/2)/(L244/100*SQRT(P244))</f>
        <v>2.1876172454386928</v>
      </c>
      <c r="W244" s="17">
        <f ca="1">V244-L244/100*SQRT(P244)</f>
        <v>1.5825201811106357</v>
      </c>
      <c r="X244" s="17">
        <f ca="1">(LN(N244/G244)+P244*(U244/100+(L244/100)^2/2))/((L244/100*SQRT(P244)))</f>
        <v>2.2432528343243097</v>
      </c>
      <c r="Y244" s="17">
        <f ca="1">X244-N244/100*SQRT(R244)</f>
        <v>1.6373633196436215</v>
      </c>
      <c r="Z244" s="20">
        <f ca="1">EXP(-P244)/(N244*L244/100*SQRT(P244))*_xlfn.NORM.S.DIST(X244,FALSE)</f>
        <v>1.3670775406004719E-3</v>
      </c>
      <c r="AA244" s="17">
        <f t="shared" ca="1" si="21"/>
        <v>1.9337017641769913E-3</v>
      </c>
      <c r="AB244" s="17"/>
      <c r="AC244" s="17"/>
      <c r="AD244" s="17"/>
    </row>
    <row r="245" spans="1:30" x14ac:dyDescent="0.25">
      <c r="A245" t="s">
        <v>106</v>
      </c>
      <c r="B245" t="s">
        <v>107</v>
      </c>
      <c r="C245" t="s">
        <v>108</v>
      </c>
      <c r="D245">
        <v>46390</v>
      </c>
      <c r="E245" t="s">
        <v>107</v>
      </c>
      <c r="F245" t="s">
        <v>110</v>
      </c>
      <c r="G245">
        <v>8</v>
      </c>
      <c r="H245">
        <v>0.45100000000000001</v>
      </c>
      <c r="I245">
        <v>-4.1000000000000002E-2</v>
      </c>
      <c r="J245" t="s">
        <v>68</v>
      </c>
      <c r="K245">
        <v>4172</v>
      </c>
      <c r="L245">
        <v>63.500700000000002</v>
      </c>
      <c r="M245">
        <v>-7.9780000000000004E-2</v>
      </c>
      <c r="N245">
        <f>INDEX(jkm!$H:$H,MATCH(J245,jkm!$J:$J,0),1)</f>
        <v>15.644</v>
      </c>
      <c r="O245" s="3">
        <f t="shared" ca="1" si="17"/>
        <v>333</v>
      </c>
      <c r="P245" s="3">
        <f t="shared" ca="1" si="18"/>
        <v>0.9123287671232877</v>
      </c>
      <c r="Q245" t="str" cm="1">
        <f t="array" ref="Q245:S245">_xlfn.TEXTSPLIT(J245,"/")</f>
        <v>2</v>
      </c>
      <c r="R245" s="1" t="str">
        <v>15</v>
      </c>
      <c r="S245" t="str">
        <v>2027</v>
      </c>
      <c r="T245" s="1">
        <f t="shared" si="19"/>
        <v>46433</v>
      </c>
      <c r="U245" s="19">
        <f t="shared" si="20"/>
        <v>3.6899999999999977</v>
      </c>
      <c r="V245" s="17">
        <f ca="1">(LN(N245/G245)+(L245/100)^2*P245/2)/(L245/100*SQRT(P245))</f>
        <v>1.408970857957994</v>
      </c>
      <c r="W245" s="17">
        <f ca="1">V245-L245/100*SQRT(P245)</f>
        <v>0.80243818961214841</v>
      </c>
      <c r="X245" s="17">
        <f ca="1">(LN(N245/G245)+P245*(U245/100+(L245/100)^2/2))/((L245/100*SQRT(P245)))</f>
        <v>1.4644747627990331</v>
      </c>
      <c r="Y245" s="17">
        <f ca="1">X245-N245/100*SQRT(R245)</f>
        <v>0.8585852481183448</v>
      </c>
      <c r="Z245" s="20">
        <f ca="1">EXP(-P245)/(N245*L245/100*SQRT(P245))*_xlfn.NORM.S.DIST(X245,FALSE)</f>
        <v>5.7779794454279228E-3</v>
      </c>
      <c r="AA245" s="17">
        <f t="shared" ca="1" si="21"/>
        <v>8.1922177792155097E-3</v>
      </c>
      <c r="AB245" s="17"/>
      <c r="AC245" s="17"/>
      <c r="AD245" s="17"/>
    </row>
    <row r="246" spans="1:30" x14ac:dyDescent="0.25">
      <c r="A246" t="s">
        <v>106</v>
      </c>
      <c r="B246" t="s">
        <v>107</v>
      </c>
      <c r="C246" t="s">
        <v>108</v>
      </c>
      <c r="D246">
        <v>46390</v>
      </c>
      <c r="E246" t="s">
        <v>107</v>
      </c>
      <c r="F246" t="s">
        <v>110</v>
      </c>
      <c r="G246">
        <v>9</v>
      </c>
      <c r="H246">
        <v>0.69499999999999995</v>
      </c>
      <c r="I246">
        <v>-5.8000000000000003E-2</v>
      </c>
      <c r="J246" t="s">
        <v>68</v>
      </c>
      <c r="K246">
        <v>4172</v>
      </c>
      <c r="L246">
        <v>63.550800000000002</v>
      </c>
      <c r="M246">
        <v>-0.11266</v>
      </c>
      <c r="N246">
        <f>INDEX(jkm!$H:$H,MATCH(J246,jkm!$J:$J,0),1)</f>
        <v>15.644</v>
      </c>
      <c r="O246" s="3">
        <f t="shared" ca="1" si="17"/>
        <v>333</v>
      </c>
      <c r="P246" s="3">
        <f t="shared" ca="1" si="18"/>
        <v>0.9123287671232877</v>
      </c>
      <c r="Q246" t="str" cm="1">
        <f t="array" ref="Q246:S246">_xlfn.TEXTSPLIT(J246,"/")</f>
        <v>2</v>
      </c>
      <c r="R246" s="1" t="str">
        <v>15</v>
      </c>
      <c r="S246" t="str">
        <v>2027</v>
      </c>
      <c r="T246" s="1">
        <f t="shared" si="19"/>
        <v>46433</v>
      </c>
      <c r="U246" s="19">
        <f t="shared" si="20"/>
        <v>3.6899999999999977</v>
      </c>
      <c r="V246" s="17">
        <f ca="1">(LN(N246/G246)+(L246/100)^2*P246/2)/(L246/100*SQRT(P246))</f>
        <v>1.2143007842140312</v>
      </c>
      <c r="W246" s="17">
        <f ca="1">V246-L246/100*SQRT(P246)</f>
        <v>0.6072895811955894</v>
      </c>
      <c r="X246" s="17">
        <f ca="1">(LN(N246/G246)+P246*(U246/100+(L246/100)^2/2))/((L246/100*SQRT(P246)))</f>
        <v>1.2697609327902784</v>
      </c>
      <c r="Y246" s="17">
        <f ca="1">X246-N246/100*SQRT(R246)</f>
        <v>0.66387141810959005</v>
      </c>
      <c r="Z246" s="20">
        <f ca="1">EXP(-P246)/(N246*L246/100*SQRT(P246))*_xlfn.NORM.S.DIST(X246,FALSE)</f>
        <v>7.5342714623747795E-3</v>
      </c>
      <c r="AA246" s="17">
        <f t="shared" ca="1" si="21"/>
        <v>1.0690776972101997E-2</v>
      </c>
      <c r="AB246" s="17"/>
      <c r="AC246" s="17"/>
      <c r="AD246" s="17"/>
    </row>
    <row r="247" spans="1:30" x14ac:dyDescent="0.25">
      <c r="A247" t="s">
        <v>106</v>
      </c>
      <c r="B247" t="s">
        <v>107</v>
      </c>
      <c r="C247" t="s">
        <v>108</v>
      </c>
      <c r="D247">
        <v>46390</v>
      </c>
      <c r="E247" t="s">
        <v>107</v>
      </c>
      <c r="F247" t="s">
        <v>110</v>
      </c>
      <c r="G247">
        <v>9.5</v>
      </c>
      <c r="H247">
        <v>0.84</v>
      </c>
      <c r="I247">
        <v>-6.7000000000000004E-2</v>
      </c>
      <c r="J247" t="s">
        <v>68</v>
      </c>
      <c r="K247">
        <v>4172</v>
      </c>
      <c r="L247">
        <v>63.575800000000001</v>
      </c>
      <c r="M247">
        <v>-0.13062000000000001</v>
      </c>
      <c r="N247">
        <f>INDEX(jkm!$H:$H,MATCH(J247,jkm!$J:$J,0),1)</f>
        <v>15.644</v>
      </c>
      <c r="O247" s="3">
        <f t="shared" ca="1" si="17"/>
        <v>333</v>
      </c>
      <c r="P247" s="3">
        <f t="shared" ca="1" si="18"/>
        <v>0.9123287671232877</v>
      </c>
      <c r="Q247" t="str" cm="1">
        <f t="array" ref="Q247:S247">_xlfn.TEXTSPLIT(J247,"/")</f>
        <v>2</v>
      </c>
      <c r="R247" s="1" t="str">
        <v>15</v>
      </c>
      <c r="S247" t="str">
        <v>2027</v>
      </c>
      <c r="T247" s="1">
        <f t="shared" si="19"/>
        <v>46433</v>
      </c>
      <c r="U247" s="19">
        <f t="shared" si="20"/>
        <v>3.6899999999999977</v>
      </c>
      <c r="V247" s="17">
        <f ca="1">(LN(N247/G247)+(L247/100)^2*P247/2)/(L247/100*SQRT(P247))</f>
        <v>1.1250258431907549</v>
      </c>
      <c r="W247" s="17">
        <f ca="1">V247-L247/100*SQRT(P247)</f>
        <v>0.51777585041552865</v>
      </c>
      <c r="X247" s="17">
        <f ca="1">(LN(N247/G247)+P247*(U247/100+(L247/100)^2/2))/((L247/100*SQRT(P247)))</f>
        <v>1.180464183095866</v>
      </c>
      <c r="Y247" s="17">
        <f ca="1">X247-N247/100*SQRT(R247)</f>
        <v>0.57457466841517768</v>
      </c>
      <c r="Z247" s="20">
        <f ca="1">EXP(-P247)/(N247*L247/100*SQRT(P247))*_xlfn.NORM.S.DIST(X247,FALSE)</f>
        <v>8.4019800723701375E-3</v>
      </c>
      <c r="AA247" s="17">
        <f t="shared" ca="1" si="21"/>
        <v>1.1926704647910008E-2</v>
      </c>
      <c r="AB247" s="17"/>
      <c r="AC247" s="17"/>
      <c r="AD247" s="17"/>
    </row>
    <row r="248" spans="1:30" x14ac:dyDescent="0.25">
      <c r="A248" t="s">
        <v>106</v>
      </c>
      <c r="B248" t="s">
        <v>107</v>
      </c>
      <c r="C248" t="s">
        <v>108</v>
      </c>
      <c r="D248">
        <v>46390</v>
      </c>
      <c r="E248" t="s">
        <v>107</v>
      </c>
      <c r="F248" t="s">
        <v>110</v>
      </c>
      <c r="G248">
        <v>10</v>
      </c>
      <c r="H248">
        <v>1</v>
      </c>
      <c r="I248">
        <v>-7.5999999999999998E-2</v>
      </c>
      <c r="J248" t="s">
        <v>68</v>
      </c>
      <c r="K248">
        <v>4172</v>
      </c>
      <c r="L248">
        <v>63.6008</v>
      </c>
      <c r="M248">
        <v>-0.14938000000000001</v>
      </c>
      <c r="N248">
        <f>INDEX(jkm!$H:$H,MATCH(J248,jkm!$J:$J,0),1)</f>
        <v>15.644</v>
      </c>
      <c r="O248" s="3">
        <f t="shared" ca="1" si="17"/>
        <v>333</v>
      </c>
      <c r="P248" s="3">
        <f t="shared" ca="1" si="18"/>
        <v>0.9123287671232877</v>
      </c>
      <c r="Q248" t="str" cm="1">
        <f t="array" ref="Q248:S248">_xlfn.TEXTSPLIT(J248,"/")</f>
        <v>2</v>
      </c>
      <c r="R248" s="1" t="str">
        <v>15</v>
      </c>
      <c r="S248" t="str">
        <v>2027</v>
      </c>
      <c r="T248" s="1">
        <f t="shared" si="19"/>
        <v>46433</v>
      </c>
      <c r="U248" s="19">
        <f t="shared" si="20"/>
        <v>3.6899999999999977</v>
      </c>
      <c r="V248" s="17">
        <f ca="1">(LN(N248/G248)+(L248/100)^2*P248/2)/(L248/100*SQRT(P248))</f>
        <v>1.0403873989509111</v>
      </c>
      <c r="W248" s="17">
        <f ca="1">V248-L248/100*SQRT(P248)</f>
        <v>0.43289861641890037</v>
      </c>
      <c r="X248" s="17">
        <f ca="1">(LN(N248/G248)+P248*(U248/100+(L248/100)^2/2))/((L248/100*SQRT(P248)))</f>
        <v>1.0958039473298522</v>
      </c>
      <c r="Y248" s="17">
        <f ca="1">X248-N248/100*SQRT(R248)</f>
        <v>0.4899144326491639</v>
      </c>
      <c r="Z248" s="20">
        <f ca="1">EXP(-P248)/(N248*L248/100*SQRT(P248))*_xlfn.NORM.S.DIST(X248,FALSE)</f>
        <v>9.2482000664123251E-3</v>
      </c>
      <c r="AA248" s="17">
        <f t="shared" ca="1" si="21"/>
        <v>1.31330857018179E-2</v>
      </c>
      <c r="AB248" s="17"/>
      <c r="AC248" s="17"/>
      <c r="AD248" s="17"/>
    </row>
    <row r="249" spans="1:30" x14ac:dyDescent="0.25">
      <c r="A249" t="s">
        <v>106</v>
      </c>
      <c r="B249" t="s">
        <v>107</v>
      </c>
      <c r="C249" t="s">
        <v>108</v>
      </c>
      <c r="D249">
        <v>46390</v>
      </c>
      <c r="E249" t="s">
        <v>107</v>
      </c>
      <c r="F249" t="s">
        <v>110</v>
      </c>
      <c r="G249">
        <v>10.5</v>
      </c>
      <c r="H249">
        <v>1.175</v>
      </c>
      <c r="I249">
        <v>-8.5999999999999993E-2</v>
      </c>
      <c r="J249" t="s">
        <v>68</v>
      </c>
      <c r="K249">
        <v>4172</v>
      </c>
      <c r="L249">
        <v>63.625900000000001</v>
      </c>
      <c r="M249">
        <v>-0.16880999999999999</v>
      </c>
      <c r="N249">
        <f>INDEX(jkm!$H:$H,MATCH(J249,jkm!$J:$J,0),1)</f>
        <v>15.644</v>
      </c>
      <c r="O249" s="3">
        <f t="shared" ca="1" si="17"/>
        <v>333</v>
      </c>
      <c r="P249" s="3">
        <f t="shared" ca="1" si="18"/>
        <v>0.9123287671232877</v>
      </c>
      <c r="Q249" t="str" cm="1">
        <f t="array" ref="Q249:S249">_xlfn.TEXTSPLIT(J249,"/")</f>
        <v>2</v>
      </c>
      <c r="R249" s="1" t="str">
        <v>15</v>
      </c>
      <c r="S249" t="str">
        <v>2027</v>
      </c>
      <c r="T249" s="1">
        <f t="shared" si="19"/>
        <v>46433</v>
      </c>
      <c r="U249" s="19">
        <f t="shared" si="20"/>
        <v>3.6899999999999977</v>
      </c>
      <c r="V249" s="17">
        <f ca="1">(LN(N249/G249)+(L249/100)^2*P249/2)/(L249/100*SQRT(P249))</f>
        <v>0.95993384367961276</v>
      </c>
      <c r="W249" s="17">
        <f ca="1">V249-L249/100*SQRT(P249)</f>
        <v>0.3522053162317903</v>
      </c>
      <c r="X249" s="17">
        <f ca="1">(LN(N249/G249)+P249*(U249/100+(L249/100)^2/2))/((L249/100*SQRT(P249)))</f>
        <v>1.0153285305938939</v>
      </c>
      <c r="Y249" s="17">
        <f ca="1">X249-N249/100*SQRT(R249)</f>
        <v>0.40943901591320564</v>
      </c>
      <c r="Z249" s="20">
        <f ca="1">EXP(-P249)/(N249*L249/100*SQRT(P249))*_xlfn.NORM.S.DIST(X249,FALSE)</f>
        <v>1.0064169146256395E-2</v>
      </c>
      <c r="AA249" s="17">
        <f t="shared" ca="1" si="21"/>
        <v>1.4297458657866538E-2</v>
      </c>
      <c r="AB249" s="17"/>
      <c r="AC249" s="17"/>
      <c r="AD249" s="17"/>
    </row>
    <row r="250" spans="1:30" x14ac:dyDescent="0.25">
      <c r="A250" t="s">
        <v>106</v>
      </c>
      <c r="B250" t="s">
        <v>107</v>
      </c>
      <c r="C250" t="s">
        <v>108</v>
      </c>
      <c r="D250">
        <v>46390</v>
      </c>
      <c r="E250" t="s">
        <v>107</v>
      </c>
      <c r="F250" t="s">
        <v>110</v>
      </c>
      <c r="G250">
        <v>13</v>
      </c>
      <c r="H250">
        <v>2.2650000000000001</v>
      </c>
      <c r="I250">
        <v>-0.13600000000000001</v>
      </c>
      <c r="J250" t="s">
        <v>68</v>
      </c>
      <c r="K250">
        <v>4172</v>
      </c>
      <c r="L250">
        <v>63.750999999999998</v>
      </c>
      <c r="M250">
        <v>-0.27143</v>
      </c>
      <c r="N250">
        <f>INDEX(jkm!$H:$H,MATCH(J250,jkm!$J:$J,0),1)</f>
        <v>15.644</v>
      </c>
      <c r="O250" s="3">
        <f t="shared" ca="1" si="17"/>
        <v>333</v>
      </c>
      <c r="P250" s="3">
        <f t="shared" ca="1" si="18"/>
        <v>0.9123287671232877</v>
      </c>
      <c r="Q250" t="str" cm="1">
        <f t="array" ref="Q250:S250">_xlfn.TEXTSPLIT(J250,"/")</f>
        <v>2</v>
      </c>
      <c r="R250" s="1" t="str">
        <v>15</v>
      </c>
      <c r="S250" t="str">
        <v>2027</v>
      </c>
      <c r="T250" s="1">
        <f t="shared" si="19"/>
        <v>46433</v>
      </c>
      <c r="U250" s="19">
        <f t="shared" si="20"/>
        <v>3.6899999999999977</v>
      </c>
      <c r="V250" s="17">
        <f ca="1">(LN(N250/G250)+(L250/100)^2*P250/2)/(L250/100*SQRT(P250))</f>
        <v>0.60850338971814188</v>
      </c>
      <c r="W250" s="17">
        <f ca="1">V250-L250/100*SQRT(P250)</f>
        <v>-4.2004167263021142E-4</v>
      </c>
      <c r="X250" s="17">
        <f ca="1">(LN(N250/G250)+P250*(U250/100+(L250/100)^2/2))/((L250/100*SQRT(P250)))</f>
        <v>0.66378937441076413</v>
      </c>
      <c r="Y250" s="17">
        <f ca="1">X250-N250/100*SQRT(R250)</f>
        <v>5.7899859730075831E-2</v>
      </c>
      <c r="Z250" s="20">
        <f ca="1">EXP(-P250)/(N250*L250/100*SQRT(P250))*_xlfn.NORM.S.DIST(X250,FALSE)</f>
        <v>1.3492785059855184E-2</v>
      </c>
      <c r="AA250" s="17">
        <f t="shared" ca="1" si="21"/>
        <v>1.9205940860058411E-2</v>
      </c>
      <c r="AB250" s="17"/>
      <c r="AC250" s="17"/>
      <c r="AD250" s="17"/>
    </row>
    <row r="251" spans="1:30" x14ac:dyDescent="0.25">
      <c r="A251" t="s">
        <v>106</v>
      </c>
      <c r="B251" t="s">
        <v>107</v>
      </c>
      <c r="C251" t="s">
        <v>108</v>
      </c>
      <c r="D251">
        <v>46390</v>
      </c>
      <c r="E251" t="s">
        <v>107</v>
      </c>
      <c r="F251" t="s">
        <v>110</v>
      </c>
      <c r="G251">
        <v>15</v>
      </c>
      <c r="H251">
        <v>3.3809999999999998</v>
      </c>
      <c r="I251">
        <v>-0.182</v>
      </c>
      <c r="J251" t="s">
        <v>68</v>
      </c>
      <c r="K251">
        <v>4172</v>
      </c>
      <c r="L251">
        <v>64.085099999999997</v>
      </c>
      <c r="M251">
        <v>-0.35366999999999998</v>
      </c>
      <c r="N251">
        <f>INDEX(jkm!$H:$H,MATCH(J251,jkm!$J:$J,0),1)</f>
        <v>15.644</v>
      </c>
      <c r="O251" s="3">
        <f t="shared" ca="1" si="17"/>
        <v>333</v>
      </c>
      <c r="P251" s="3">
        <f t="shared" ca="1" si="18"/>
        <v>0.9123287671232877</v>
      </c>
      <c r="Q251" t="str" cm="1">
        <f t="array" ref="Q251:S251">_xlfn.TEXTSPLIT(J251,"/")</f>
        <v>2</v>
      </c>
      <c r="R251" s="1" t="str">
        <v>15</v>
      </c>
      <c r="S251" t="str">
        <v>2027</v>
      </c>
      <c r="T251" s="1">
        <f t="shared" si="19"/>
        <v>46433</v>
      </c>
      <c r="U251" s="19">
        <f t="shared" si="20"/>
        <v>3.6899999999999977</v>
      </c>
      <c r="V251" s="17">
        <f ca="1">(LN(N251/G251)+(L251/100)^2*P251/2)/(L251/100*SQRT(P251))</f>
        <v>0.37473277350254436</v>
      </c>
      <c r="W251" s="17">
        <f ca="1">V251-L251/100*SQRT(P251)</f>
        <v>-0.23738184419789593</v>
      </c>
      <c r="X251" s="17">
        <f ca="1">(LN(N251/G251)+P251*(U251/100+(L251/100)^2/2))/((L251/100*SQRT(P251)))</f>
        <v>0.42973053132986094</v>
      </c>
      <c r="Y251" s="17">
        <f ca="1">X251-N251/100*SQRT(R251)</f>
        <v>-0.17615898335082736</v>
      </c>
      <c r="Z251" s="20">
        <f ca="1">EXP(-P251)/(N251*L251/100*SQRT(P251))*_xlfn.NORM.S.DIST(X251,FALSE)</f>
        <v>1.5254920201223501E-2</v>
      </c>
      <c r="AA251" s="17">
        <f t="shared" ca="1" si="21"/>
        <v>2.1828002262599389E-2</v>
      </c>
      <c r="AB251" s="17"/>
      <c r="AC251" s="17"/>
      <c r="AD251" s="17"/>
    </row>
    <row r="252" spans="1:30" x14ac:dyDescent="0.25">
      <c r="A252" t="s">
        <v>106</v>
      </c>
      <c r="B252" t="s">
        <v>107</v>
      </c>
      <c r="C252" t="s">
        <v>108</v>
      </c>
      <c r="D252">
        <v>46390</v>
      </c>
      <c r="E252" t="s">
        <v>107</v>
      </c>
      <c r="F252" t="s">
        <v>110</v>
      </c>
      <c r="G252">
        <v>15.5</v>
      </c>
      <c r="H252">
        <v>3.6920000000000002</v>
      </c>
      <c r="I252">
        <v>-0.192</v>
      </c>
      <c r="J252" t="s">
        <v>68</v>
      </c>
      <c r="K252">
        <v>4172</v>
      </c>
      <c r="L252">
        <v>64.231300000000005</v>
      </c>
      <c r="M252">
        <v>-0.37346000000000001</v>
      </c>
      <c r="N252">
        <f>INDEX(jkm!$H:$H,MATCH(J252,jkm!$J:$J,0),1)</f>
        <v>15.644</v>
      </c>
      <c r="O252" s="3">
        <f t="shared" ca="1" si="17"/>
        <v>333</v>
      </c>
      <c r="P252" s="3">
        <f t="shared" ca="1" si="18"/>
        <v>0.9123287671232877</v>
      </c>
      <c r="Q252" t="str" cm="1">
        <f t="array" ref="Q252:S252">_xlfn.TEXTSPLIT(J252,"/")</f>
        <v>2</v>
      </c>
      <c r="R252" s="1" t="str">
        <v>15</v>
      </c>
      <c r="S252" t="str">
        <v>2027</v>
      </c>
      <c r="T252" s="1">
        <f t="shared" si="19"/>
        <v>46433</v>
      </c>
      <c r="U252" s="19">
        <f t="shared" si="20"/>
        <v>3.6899999999999977</v>
      </c>
      <c r="V252" s="17">
        <f ca="1">(LN(N252/G252)+(L252/100)^2*P252/2)/(L252/100*SQRT(P252))</f>
        <v>0.32182849873483205</v>
      </c>
      <c r="W252" s="17">
        <f ca="1">V252-L252/100*SQRT(P252)</f>
        <v>-0.29168256146328414</v>
      </c>
      <c r="X252" s="17">
        <f ca="1">(LN(N252/G252)+P252*(U252/100+(L252/100)^2/2))/((L252/100*SQRT(P252)))</f>
        <v>0.37670107347859971</v>
      </c>
      <c r="Y252" s="17">
        <f ca="1">X252-N252/100*SQRT(R252)</f>
        <v>-0.22918844120208859</v>
      </c>
      <c r="Z252" s="20">
        <f ca="1">EXP(-P252)/(N252*L252/100*SQRT(P252))*_xlfn.NORM.S.DIST(X252,FALSE)</f>
        <v>1.5549145095644141E-2</v>
      </c>
      <c r="AA252" s="17">
        <f t="shared" ca="1" si="21"/>
        <v>2.2299761166323071E-2</v>
      </c>
      <c r="AB252" s="17"/>
      <c r="AC252" s="17"/>
      <c r="AD252" s="17"/>
    </row>
    <row r="253" spans="1:30" x14ac:dyDescent="0.25">
      <c r="A253" t="s">
        <v>106</v>
      </c>
      <c r="B253" t="s">
        <v>107</v>
      </c>
      <c r="C253" t="s">
        <v>108</v>
      </c>
      <c r="D253">
        <v>46390</v>
      </c>
      <c r="E253" t="s">
        <v>107</v>
      </c>
      <c r="F253" t="s">
        <v>110</v>
      </c>
      <c r="G253">
        <v>20</v>
      </c>
      <c r="H253">
        <v>6.8890000000000002</v>
      </c>
      <c r="I253">
        <v>-0.26700000000000002</v>
      </c>
      <c r="J253" t="s">
        <v>68</v>
      </c>
      <c r="K253">
        <v>4172</v>
      </c>
      <c r="L253">
        <v>65.538700000000006</v>
      </c>
      <c r="M253">
        <v>-0.53081</v>
      </c>
      <c r="N253">
        <f>INDEX(jkm!$H:$H,MATCH(J253,jkm!$J:$J,0),1)</f>
        <v>15.644</v>
      </c>
      <c r="O253" s="3">
        <f t="shared" ca="1" si="17"/>
        <v>333</v>
      </c>
      <c r="P253" s="3">
        <f t="shared" ca="1" si="18"/>
        <v>0.9123287671232877</v>
      </c>
      <c r="Q253" t="str" cm="1">
        <f t="array" ref="Q253:S253">_xlfn.TEXTSPLIT(J253,"/")</f>
        <v>2</v>
      </c>
      <c r="R253" s="1" t="str">
        <v>15</v>
      </c>
      <c r="S253" t="str">
        <v>2027</v>
      </c>
      <c r="T253" s="1">
        <f t="shared" si="19"/>
        <v>46433</v>
      </c>
      <c r="U253" s="19">
        <f t="shared" si="20"/>
        <v>3.6899999999999977</v>
      </c>
      <c r="V253" s="17">
        <f ca="1">(LN(N253/G253)+(L253/100)^2*P253/2)/(L253/100*SQRT(P253))</f>
        <v>-7.9405202192720736E-2</v>
      </c>
      <c r="W253" s="17">
        <f ca="1">V253-L253/100*SQRT(P253)</f>
        <v>-0.70540401151163967</v>
      </c>
      <c r="X253" s="17">
        <f ca="1">(LN(N253/G253)+P253*(U253/100+(L253/100)^2/2))/((L253/100*SQRT(P253)))</f>
        <v>-2.5627254046978361E-2</v>
      </c>
      <c r="Y253" s="17">
        <f ca="1">X253-N253/100*SQRT(R253)</f>
        <v>-0.63151676872766671</v>
      </c>
      <c r="Z253" s="20">
        <f ca="1">EXP(-P253)/(N253*L253/100*SQRT(P253))*_xlfn.NORM.S.DIST(X253,FALSE)</f>
        <v>1.6354105285370079E-2</v>
      </c>
      <c r="AA253" s="17">
        <f t="shared" ca="1" si="21"/>
        <v>2.3931592301643372E-2</v>
      </c>
      <c r="AB253" s="17"/>
      <c r="AC253" s="17"/>
      <c r="AD253" s="17"/>
    </row>
    <row r="254" spans="1:30" x14ac:dyDescent="0.25">
      <c r="A254" t="s">
        <v>106</v>
      </c>
      <c r="B254" t="s">
        <v>107</v>
      </c>
      <c r="C254" t="s">
        <v>108</v>
      </c>
      <c r="D254">
        <v>46391</v>
      </c>
      <c r="E254" t="s">
        <v>107</v>
      </c>
      <c r="F254" t="s">
        <v>109</v>
      </c>
      <c r="G254">
        <v>5</v>
      </c>
      <c r="H254">
        <v>8.891</v>
      </c>
      <c r="I254">
        <v>0.36499999999999999</v>
      </c>
      <c r="J254" t="s">
        <v>69</v>
      </c>
      <c r="K254">
        <v>4172</v>
      </c>
      <c r="L254">
        <v>48.008499999999998</v>
      </c>
      <c r="M254">
        <v>0.99111000000000005</v>
      </c>
      <c r="N254">
        <f>INDEX(jkm!$H:$H,MATCH(J254,jkm!$J:$J,0),1)</f>
        <v>13.868</v>
      </c>
      <c r="O254" s="3">
        <f t="shared" ca="1" si="17"/>
        <v>361</v>
      </c>
      <c r="P254" s="3">
        <f t="shared" ca="1" si="18"/>
        <v>0.989041095890411</v>
      </c>
      <c r="Q254" t="str" cm="1">
        <f t="array" ref="Q254:S254">_xlfn.TEXTSPLIT(J254,"/")</f>
        <v>3</v>
      </c>
      <c r="R254" s="1" t="str">
        <v>15</v>
      </c>
      <c r="S254" t="str">
        <v>2027</v>
      </c>
      <c r="T254" s="1">
        <f t="shared" si="19"/>
        <v>46461</v>
      </c>
      <c r="U254" s="19">
        <f t="shared" si="20"/>
        <v>3.6899999999999977</v>
      </c>
      <c r="V254" s="17">
        <f ca="1">(LN(N254/G254)+(L254/100)^2*P254/2)/(L254/100*SQRT(P254))</f>
        <v>2.3753917165827056</v>
      </c>
      <c r="W254" s="17">
        <f ca="1">V254-L254/100*SQRT(P254)</f>
        <v>1.8979445662169325</v>
      </c>
      <c r="X254" s="17">
        <f ca="1">(LN(N254/G254)+P254*(U254/100+(L254/100)^2/2))/((L254/100*SQRT(P254)))</f>
        <v>2.4518307871906191</v>
      </c>
      <c r="Y254" s="17">
        <f ca="1">X254-N254/100*SQRT(R254)</f>
        <v>1.9147254567385745</v>
      </c>
      <c r="Z254" s="20">
        <f ca="1">EXP(-P254)/(N254*L254/100*SQRT(P254))*_xlfn.NORM.S.DIST(X254,FALSE)</f>
        <v>1.1093301033083807E-3</v>
      </c>
      <c r="AA254" s="17">
        <f t="shared" ca="1" si="21"/>
        <v>1.0130268087134304E-3</v>
      </c>
      <c r="AB254" s="17"/>
      <c r="AC254" s="17"/>
      <c r="AD254" s="17"/>
    </row>
    <row r="255" spans="1:30" x14ac:dyDescent="0.25">
      <c r="A255" t="s">
        <v>106</v>
      </c>
      <c r="B255" t="s">
        <v>107</v>
      </c>
      <c r="C255" t="s">
        <v>108</v>
      </c>
      <c r="D255">
        <v>46391</v>
      </c>
      <c r="E255" t="s">
        <v>107</v>
      </c>
      <c r="F255" t="s">
        <v>109</v>
      </c>
      <c r="G255">
        <v>10</v>
      </c>
      <c r="H255">
        <v>4.6740000000000004</v>
      </c>
      <c r="I255">
        <v>0.77400000000000002</v>
      </c>
      <c r="J255" t="s">
        <v>69</v>
      </c>
      <c r="K255">
        <v>4172</v>
      </c>
      <c r="L255">
        <v>47.746600000000001</v>
      </c>
      <c r="M255">
        <v>0.82247000000000003</v>
      </c>
      <c r="N255">
        <f>INDEX(jkm!$H:$H,MATCH(J255,jkm!$J:$J,0),1)</f>
        <v>13.868</v>
      </c>
      <c r="O255" s="3">
        <f t="shared" ca="1" si="17"/>
        <v>361</v>
      </c>
      <c r="P255" s="3">
        <f t="shared" ca="1" si="18"/>
        <v>0.989041095890411</v>
      </c>
      <c r="Q255" t="str" cm="1">
        <f t="array" ref="Q255:S255">_xlfn.TEXTSPLIT(J255,"/")</f>
        <v>3</v>
      </c>
      <c r="R255" s="1" t="str">
        <v>15</v>
      </c>
      <c r="S255" t="str">
        <v>2027</v>
      </c>
      <c r="T255" s="1">
        <f t="shared" si="19"/>
        <v>46461</v>
      </c>
      <c r="U255" s="19">
        <f t="shared" si="20"/>
        <v>3.6899999999999977</v>
      </c>
      <c r="V255" s="17">
        <f ca="1">(LN(N255/G255)+(L255/100)^2*P255/2)/(L255/100*SQRT(P255))</f>
        <v>0.92606836249714097</v>
      </c>
      <c r="W255" s="17">
        <f ca="1">V255-L255/100*SQRT(P255)</f>
        <v>0.45122582191256894</v>
      </c>
      <c r="X255" s="17">
        <f ca="1">(LN(N255/G255)+P255*(U255/100+(L255/100)^2/2))/((L255/100*SQRT(P255)))</f>
        <v>1.0029267172549663</v>
      </c>
      <c r="Y255" s="17">
        <f ca="1">X255-N255/100*SQRT(R255)</f>
        <v>0.46582138680292173</v>
      </c>
      <c r="Z255" s="20">
        <f ca="1">EXP(-P255)/(N255*L255/100*SQRT(P255))*_xlfn.NORM.S.DIST(X255,FALSE)</f>
        <v>1.3626721012031153E-2</v>
      </c>
      <c r="AA255" s="17">
        <f t="shared" ca="1" si="21"/>
        <v>1.2375872289426106E-2</v>
      </c>
      <c r="AB255" s="17"/>
      <c r="AC255" s="17"/>
      <c r="AD255" s="17"/>
    </row>
    <row r="256" spans="1:30" x14ac:dyDescent="0.25">
      <c r="A256" t="s">
        <v>106</v>
      </c>
      <c r="B256" t="s">
        <v>107</v>
      </c>
      <c r="C256" t="s">
        <v>108</v>
      </c>
      <c r="D256">
        <v>46391</v>
      </c>
      <c r="E256" t="s">
        <v>107</v>
      </c>
      <c r="F256" t="s">
        <v>109</v>
      </c>
      <c r="G256">
        <v>10.5</v>
      </c>
      <c r="H256">
        <v>4.3460000000000001</v>
      </c>
      <c r="I256">
        <v>0.82199999999999995</v>
      </c>
      <c r="J256" t="s">
        <v>69</v>
      </c>
      <c r="K256">
        <v>4172</v>
      </c>
      <c r="L256">
        <v>47.716299999999997</v>
      </c>
      <c r="M256">
        <v>0.79462999999999995</v>
      </c>
      <c r="N256">
        <f>INDEX(jkm!$H:$H,MATCH(J256,jkm!$J:$J,0),1)</f>
        <v>13.868</v>
      </c>
      <c r="O256" s="3">
        <f t="shared" ca="1" si="17"/>
        <v>361</v>
      </c>
      <c r="P256" s="3">
        <f t="shared" ca="1" si="18"/>
        <v>0.989041095890411</v>
      </c>
      <c r="Q256" t="str" cm="1">
        <f t="array" ref="Q256:S256">_xlfn.TEXTSPLIT(J256,"/")</f>
        <v>3</v>
      </c>
      <c r="R256" s="1" t="str">
        <v>15</v>
      </c>
      <c r="S256" t="str">
        <v>2027</v>
      </c>
      <c r="T256" s="1">
        <f t="shared" si="19"/>
        <v>46461</v>
      </c>
      <c r="U256" s="19">
        <f t="shared" si="20"/>
        <v>3.6899999999999977</v>
      </c>
      <c r="V256" s="17">
        <f ca="1">(LN(N256/G256)+(L256/100)^2*P256/2)/(L256/100*SQRT(P256))</f>
        <v>0.8235395451694032</v>
      </c>
      <c r="W256" s="17">
        <f ca="1">V256-L256/100*SQRT(P256)</f>
        <v>0.3489983397370664</v>
      </c>
      <c r="X256" s="17">
        <f ca="1">(LN(N256/G256)+P256*(U256/100+(L256/100)^2/2))/((L256/100*SQRT(P256)))</f>
        <v>0.90044670522330472</v>
      </c>
      <c r="Y256" s="17">
        <f ca="1">X256-N256/100*SQRT(R256)</f>
        <v>0.36334137477126016</v>
      </c>
      <c r="Z256" s="20">
        <f ca="1">EXP(-P256)/(N256*L256/100*SQRT(P256))*_xlfn.NORM.S.DIST(X256,FALSE)</f>
        <v>1.5032226240714174E-2</v>
      </c>
      <c r="AA256" s="17">
        <f t="shared" ca="1" si="21"/>
        <v>1.3643697039254794E-2</v>
      </c>
      <c r="AB256" s="17"/>
      <c r="AC256" s="17"/>
      <c r="AD256" s="17"/>
    </row>
    <row r="257" spans="1:30" x14ac:dyDescent="0.25">
      <c r="A257" t="s">
        <v>106</v>
      </c>
      <c r="B257" t="s">
        <v>107</v>
      </c>
      <c r="C257" t="s">
        <v>108</v>
      </c>
      <c r="D257">
        <v>46391</v>
      </c>
      <c r="E257" t="s">
        <v>107</v>
      </c>
      <c r="F257" t="s">
        <v>109</v>
      </c>
      <c r="G257">
        <v>11</v>
      </c>
      <c r="H257">
        <v>4.0359999999999996</v>
      </c>
      <c r="I257">
        <v>0.86399999999999999</v>
      </c>
      <c r="J257" t="s">
        <v>69</v>
      </c>
      <c r="K257">
        <v>4172</v>
      </c>
      <c r="L257">
        <v>47.687600000000003</v>
      </c>
      <c r="M257">
        <v>0.76576</v>
      </c>
      <c r="N257">
        <f>INDEX(jkm!$H:$H,MATCH(J257,jkm!$J:$J,0),1)</f>
        <v>13.868</v>
      </c>
      <c r="O257" s="3">
        <f t="shared" ca="1" si="17"/>
        <v>361</v>
      </c>
      <c r="P257" s="3">
        <f t="shared" ca="1" si="18"/>
        <v>0.989041095890411</v>
      </c>
      <c r="Q257" t="str" cm="1">
        <f t="array" ref="Q257:S257">_xlfn.TEXTSPLIT(J257,"/")</f>
        <v>3</v>
      </c>
      <c r="R257" s="1" t="str">
        <v>15</v>
      </c>
      <c r="S257" t="str">
        <v>2027</v>
      </c>
      <c r="T257" s="1">
        <f t="shared" si="19"/>
        <v>46461</v>
      </c>
      <c r="U257" s="19">
        <f t="shared" si="20"/>
        <v>3.6899999999999977</v>
      </c>
      <c r="V257" s="17">
        <f ca="1">(LN(N257/G257)+(L257/100)^2*P257/2)/(L257/100*SQRT(P257))</f>
        <v>0.72565910922783339</v>
      </c>
      <c r="W257" s="17">
        <f ca="1">V257-L257/100*SQRT(P257)</f>
        <v>0.25140332686048494</v>
      </c>
      <c r="X257" s="17">
        <f ca="1">(LN(N257/G257)+P257*(U257/100+(L257/100)^2/2))/((L257/100*SQRT(P257)))</f>
        <v>0.80261255459476288</v>
      </c>
      <c r="Y257" s="17">
        <f ca="1">X257-N257/100*SQRT(R257)</f>
        <v>0.26550722414271832</v>
      </c>
      <c r="Z257" s="20">
        <f ca="1">EXP(-P257)/(N257*L257/100*SQRT(P257))*_xlfn.NORM.S.DIST(X257,FALSE)</f>
        <v>1.634801761580533E-2</v>
      </c>
      <c r="AA257" s="17">
        <f t="shared" ca="1" si="21"/>
        <v>1.4829023944515901E-2</v>
      </c>
      <c r="AB257" s="17"/>
      <c r="AC257" s="17"/>
      <c r="AD257" s="17"/>
    </row>
    <row r="258" spans="1:30" x14ac:dyDescent="0.25">
      <c r="A258" t="s">
        <v>106</v>
      </c>
      <c r="B258" t="s">
        <v>107</v>
      </c>
      <c r="C258" t="s">
        <v>108</v>
      </c>
      <c r="D258">
        <v>46391</v>
      </c>
      <c r="E258" t="s">
        <v>107</v>
      </c>
      <c r="F258" t="s">
        <v>109</v>
      </c>
      <c r="G258">
        <v>15</v>
      </c>
      <c r="H258">
        <v>2.173</v>
      </c>
      <c r="I258">
        <v>0.95799999999999996</v>
      </c>
      <c r="J258" t="s">
        <v>69</v>
      </c>
      <c r="K258">
        <v>4172</v>
      </c>
      <c r="L258">
        <v>47.51</v>
      </c>
      <c r="M258">
        <v>0.52842</v>
      </c>
      <c r="N258">
        <f>INDEX(jkm!$H:$H,MATCH(J258,jkm!$J:$J,0),1)</f>
        <v>13.868</v>
      </c>
      <c r="O258" s="3">
        <f t="shared" ref="O258:O321" ca="1" si="22">T258-TODAY()</f>
        <v>361</v>
      </c>
      <c r="P258" s="3">
        <f t="shared" ca="1" si="18"/>
        <v>0.989041095890411</v>
      </c>
      <c r="Q258" t="str" cm="1">
        <f t="array" ref="Q258:S258">_xlfn.TEXTSPLIT(J258,"/")</f>
        <v>3</v>
      </c>
      <c r="R258" s="1" t="str">
        <v>15</v>
      </c>
      <c r="S258" t="str">
        <v>2027</v>
      </c>
      <c r="T258" s="1">
        <f t="shared" si="19"/>
        <v>46461</v>
      </c>
      <c r="U258" s="19">
        <f t="shared" si="20"/>
        <v>3.6899999999999977</v>
      </c>
      <c r="V258" s="17">
        <f ca="1">(LN(N258/G258)+(L258/100)^2*P258/2)/(L258/100*SQRT(P258))</f>
        <v>7.017511900906287E-2</v>
      </c>
      <c r="W258" s="17">
        <f ca="1">V258-L258/100*SQRT(P258)</f>
        <v>-0.40231442167389708</v>
      </c>
      <c r="X258" s="17">
        <f ca="1">(LN(N258/G258)+P258*(U258/100+(L258/100)^2/2))/((L258/100*SQRT(P258)))</f>
        <v>0.14741622869712828</v>
      </c>
      <c r="Y258" s="17">
        <f ca="1">X258-N258/100*SQRT(R258)</f>
        <v>-0.38968910175491628</v>
      </c>
      <c r="Z258" s="20">
        <f ca="1">EXP(-P258)/(N258*L258/100*SQRT(P258))*_xlfn.NORM.S.DIST(X258,FALSE)</f>
        <v>2.2400102130248661E-2</v>
      </c>
      <c r="AA258" s="17">
        <f t="shared" ca="1" si="21"/>
        <v>2.0243100548766178E-2</v>
      </c>
      <c r="AB258" s="17"/>
      <c r="AC258" s="17"/>
      <c r="AD258" s="17"/>
    </row>
    <row r="259" spans="1:30" x14ac:dyDescent="0.25">
      <c r="A259" t="s">
        <v>106</v>
      </c>
      <c r="B259" t="s">
        <v>107</v>
      </c>
      <c r="C259" t="s">
        <v>108</v>
      </c>
      <c r="D259">
        <v>46391</v>
      </c>
      <c r="E259" t="s">
        <v>107</v>
      </c>
      <c r="F259" t="s">
        <v>109</v>
      </c>
      <c r="G259">
        <v>20</v>
      </c>
      <c r="H259">
        <v>0.97699999999999998</v>
      </c>
      <c r="I259">
        <v>0.67100000000000004</v>
      </c>
      <c r="J259" t="s">
        <v>69</v>
      </c>
      <c r="K259">
        <v>4172</v>
      </c>
      <c r="L259">
        <v>47.473300000000002</v>
      </c>
      <c r="M259">
        <v>0.29575000000000001</v>
      </c>
      <c r="N259">
        <f>INDEX(jkm!$H:$H,MATCH(J259,jkm!$J:$J,0),1)</f>
        <v>13.868</v>
      </c>
      <c r="O259" s="3">
        <f t="shared" ca="1" si="22"/>
        <v>361</v>
      </c>
      <c r="P259" s="3">
        <f t="shared" ref="P259:P322" ca="1" si="23">O259/365</f>
        <v>0.989041095890411</v>
      </c>
      <c r="Q259" t="str" cm="1">
        <f t="array" ref="Q259:S259">_xlfn.TEXTSPLIT(J259,"/")</f>
        <v>3</v>
      </c>
      <c r="R259" s="1" t="str">
        <v>15</v>
      </c>
      <c r="S259" t="str">
        <v>2027</v>
      </c>
      <c r="T259" s="1">
        <f t="shared" ref="T259:T322" si="24">DATE(S259,Q259,R259)</f>
        <v>46461</v>
      </c>
      <c r="U259" s="19">
        <f t="shared" si="20"/>
        <v>3.6899999999999977</v>
      </c>
      <c r="V259" s="17">
        <f ca="1">(LN(N259/G259)+(L259/100)^2*P259/2)/(L259/100*SQRT(P259))</f>
        <v>-0.53947087290811202</v>
      </c>
      <c r="W259" s="17">
        <f ca="1">V259-L259/100*SQRT(P259)</f>
        <v>-1.0115954300898498</v>
      </c>
      <c r="X259" s="17">
        <f ca="1">(LN(N259/G259)+P259*(U259/100+(L259/100)^2/2))/((L259/100*SQRT(P259)))</f>
        <v>-0.46217005073480638</v>
      </c>
      <c r="Y259" s="17">
        <f ca="1">X259-N259/100*SQRT(R259)</f>
        <v>-0.99927538118685089</v>
      </c>
      <c r="Z259" s="20">
        <f ca="1">EXP(-P259)/(N259*L259/100*SQRT(P259))*_xlfn.NORM.S.DIST(X259,FALSE)</f>
        <v>2.0366746148401942E-2</v>
      </c>
      <c r="AA259" s="17">
        <f t="shared" ca="1" si="21"/>
        <v>1.8391327393647419E-2</v>
      </c>
      <c r="AB259" s="17"/>
      <c r="AC259" s="17"/>
      <c r="AD259" s="17"/>
    </row>
    <row r="260" spans="1:30" x14ac:dyDescent="0.25">
      <c r="A260" t="s">
        <v>106</v>
      </c>
      <c r="B260" t="s">
        <v>107</v>
      </c>
      <c r="C260" t="s">
        <v>108</v>
      </c>
      <c r="D260">
        <v>46391</v>
      </c>
      <c r="E260" t="s">
        <v>107</v>
      </c>
      <c r="F260" t="s">
        <v>110</v>
      </c>
      <c r="G260">
        <v>5</v>
      </c>
      <c r="H260">
        <v>2.3E-2</v>
      </c>
      <c r="I260">
        <v>2.1999999999999999E-2</v>
      </c>
      <c r="J260" t="s">
        <v>69</v>
      </c>
      <c r="K260">
        <v>4172</v>
      </c>
      <c r="L260">
        <v>48.008499999999998</v>
      </c>
      <c r="M260">
        <v>-8.8900000000000003E-3</v>
      </c>
      <c r="N260">
        <f>INDEX(jkm!$H:$H,MATCH(J260,jkm!$J:$J,0),1)</f>
        <v>13.868</v>
      </c>
      <c r="O260" s="3">
        <f t="shared" ca="1" si="22"/>
        <v>361</v>
      </c>
      <c r="P260" s="3">
        <f t="shared" ca="1" si="23"/>
        <v>0.989041095890411</v>
      </c>
      <c r="Q260" t="str" cm="1">
        <f t="array" ref="Q260:S260">_xlfn.TEXTSPLIT(J260,"/")</f>
        <v>3</v>
      </c>
      <c r="R260" s="1" t="str">
        <v>15</v>
      </c>
      <c r="S260" t="str">
        <v>2027</v>
      </c>
      <c r="T260" s="1">
        <f t="shared" si="24"/>
        <v>46461</v>
      </c>
      <c r="U260" s="19">
        <f t="shared" ref="U260:U323" si="25">U259</f>
        <v>3.6899999999999977</v>
      </c>
      <c r="V260" s="17">
        <f ca="1">(LN(N260/G260)+(L260/100)^2*P260/2)/(L260/100*SQRT(P260))</f>
        <v>2.3753917165827056</v>
      </c>
      <c r="W260" s="17">
        <f ca="1">V260-L260/100*SQRT(P260)</f>
        <v>1.8979445662169325</v>
      </c>
      <c r="X260" s="17">
        <f ca="1">(LN(N260/G260)+P260*(U260/100+(L260/100)^2/2))/((L260/100*SQRT(P260)))</f>
        <v>2.4518307871906191</v>
      </c>
      <c r="Y260" s="17">
        <f ca="1">X260-N260/100*SQRT(R260)</f>
        <v>1.9147254567385745</v>
      </c>
      <c r="Z260" s="20">
        <f ca="1">EXP(-P260)/(N260*L260/100*SQRT(P260))*_xlfn.NORM.S.DIST(X260,FALSE)</f>
        <v>1.1093301033083807E-3</v>
      </c>
      <c r="AA260" s="17">
        <f t="shared" ca="1" si="21"/>
        <v>1.0130268087134304E-3</v>
      </c>
      <c r="AB260" s="17"/>
      <c r="AC260" s="17"/>
      <c r="AD260" s="17"/>
    </row>
    <row r="261" spans="1:30" x14ac:dyDescent="0.25">
      <c r="A261" t="s">
        <v>106</v>
      </c>
      <c r="B261" t="s">
        <v>107</v>
      </c>
      <c r="C261" t="s">
        <v>108</v>
      </c>
      <c r="D261">
        <v>46391</v>
      </c>
      <c r="E261" t="s">
        <v>107</v>
      </c>
      <c r="F261" t="s">
        <v>110</v>
      </c>
      <c r="G261">
        <v>10</v>
      </c>
      <c r="H261">
        <v>0.80600000000000005</v>
      </c>
      <c r="I261">
        <v>0.43099999999999999</v>
      </c>
      <c r="J261" t="s">
        <v>69</v>
      </c>
      <c r="K261">
        <v>4172</v>
      </c>
      <c r="L261">
        <v>47.746600000000001</v>
      </c>
      <c r="M261">
        <v>-0.17752999999999999</v>
      </c>
      <c r="N261">
        <f>INDEX(jkm!$H:$H,MATCH(J261,jkm!$J:$J,0),1)</f>
        <v>13.868</v>
      </c>
      <c r="O261" s="3">
        <f t="shared" ca="1" si="22"/>
        <v>361</v>
      </c>
      <c r="P261" s="3">
        <f t="shared" ca="1" si="23"/>
        <v>0.989041095890411</v>
      </c>
      <c r="Q261" t="str" cm="1">
        <f t="array" ref="Q261:S261">_xlfn.TEXTSPLIT(J261,"/")</f>
        <v>3</v>
      </c>
      <c r="R261" s="1" t="str">
        <v>15</v>
      </c>
      <c r="S261" t="str">
        <v>2027</v>
      </c>
      <c r="T261" s="1">
        <f t="shared" si="24"/>
        <v>46461</v>
      </c>
      <c r="U261" s="19">
        <f t="shared" si="25"/>
        <v>3.6899999999999977</v>
      </c>
      <c r="V261" s="17">
        <f ca="1">(LN(N261/G261)+(L261/100)^2*P261/2)/(L261/100*SQRT(P261))</f>
        <v>0.92606836249714097</v>
      </c>
      <c r="W261" s="17">
        <f ca="1">V261-L261/100*SQRT(P261)</f>
        <v>0.45122582191256894</v>
      </c>
      <c r="X261" s="17">
        <f ca="1">(LN(N261/G261)+P261*(U261/100+(L261/100)^2/2))/((L261/100*SQRT(P261)))</f>
        <v>1.0029267172549663</v>
      </c>
      <c r="Y261" s="17">
        <f ca="1">X261-N261/100*SQRT(R261)</f>
        <v>0.46582138680292173</v>
      </c>
      <c r="Z261" s="20">
        <f ca="1">EXP(-P261)/(N261*L261/100*SQRT(P261))*_xlfn.NORM.S.DIST(X261,FALSE)</f>
        <v>1.3626721012031153E-2</v>
      </c>
      <c r="AA261" s="17">
        <f t="shared" ca="1" si="21"/>
        <v>1.2375872289426106E-2</v>
      </c>
      <c r="AB261" s="17"/>
      <c r="AC261" s="17"/>
      <c r="AD261" s="17"/>
    </row>
    <row r="262" spans="1:30" x14ac:dyDescent="0.25">
      <c r="A262" t="s">
        <v>106</v>
      </c>
      <c r="B262" t="s">
        <v>107</v>
      </c>
      <c r="C262" t="s">
        <v>108</v>
      </c>
      <c r="D262">
        <v>46391</v>
      </c>
      <c r="E262" t="s">
        <v>107</v>
      </c>
      <c r="F262" t="s">
        <v>110</v>
      </c>
      <c r="G262">
        <v>10.5</v>
      </c>
      <c r="H262">
        <v>0.97799999999999998</v>
      </c>
      <c r="I262">
        <v>0.47899999999999998</v>
      </c>
      <c r="J262" t="s">
        <v>69</v>
      </c>
      <c r="K262">
        <v>4172</v>
      </c>
      <c r="L262">
        <v>47.716299999999997</v>
      </c>
      <c r="M262">
        <v>-0.20537</v>
      </c>
      <c r="N262">
        <f>INDEX(jkm!$H:$H,MATCH(J262,jkm!$J:$J,0),1)</f>
        <v>13.868</v>
      </c>
      <c r="O262" s="3">
        <f t="shared" ca="1" si="22"/>
        <v>361</v>
      </c>
      <c r="P262" s="3">
        <f t="shared" ca="1" si="23"/>
        <v>0.989041095890411</v>
      </c>
      <c r="Q262" t="str" cm="1">
        <f t="array" ref="Q262:S262">_xlfn.TEXTSPLIT(J262,"/")</f>
        <v>3</v>
      </c>
      <c r="R262" s="1" t="str">
        <v>15</v>
      </c>
      <c r="S262" t="str">
        <v>2027</v>
      </c>
      <c r="T262" s="1">
        <f t="shared" si="24"/>
        <v>46461</v>
      </c>
      <c r="U262" s="19">
        <f t="shared" si="25"/>
        <v>3.6899999999999977</v>
      </c>
      <c r="V262" s="17">
        <f ca="1">(LN(N262/G262)+(L262/100)^2*P262/2)/(L262/100*SQRT(P262))</f>
        <v>0.8235395451694032</v>
      </c>
      <c r="W262" s="17">
        <f ca="1">V262-L262/100*SQRT(P262)</f>
        <v>0.3489983397370664</v>
      </c>
      <c r="X262" s="17">
        <f ca="1">(LN(N262/G262)+P262*(U262/100+(L262/100)^2/2))/((L262/100*SQRT(P262)))</f>
        <v>0.90044670522330472</v>
      </c>
      <c r="Y262" s="17">
        <f ca="1">X262-N262/100*SQRT(R262)</f>
        <v>0.36334137477126016</v>
      </c>
      <c r="Z262" s="20">
        <f ca="1">EXP(-P262)/(N262*L262/100*SQRT(P262))*_xlfn.NORM.S.DIST(X262,FALSE)</f>
        <v>1.5032226240714174E-2</v>
      </c>
      <c r="AA262" s="17">
        <f t="shared" ca="1" si="21"/>
        <v>1.3643697039254794E-2</v>
      </c>
      <c r="AB262" s="17"/>
      <c r="AC262" s="17"/>
      <c r="AD262" s="17"/>
    </row>
    <row r="263" spans="1:30" x14ac:dyDescent="0.25">
      <c r="A263" t="s">
        <v>106</v>
      </c>
      <c r="B263" t="s">
        <v>107</v>
      </c>
      <c r="C263" t="s">
        <v>108</v>
      </c>
      <c r="D263">
        <v>46391</v>
      </c>
      <c r="E263" t="s">
        <v>107</v>
      </c>
      <c r="F263" t="s">
        <v>110</v>
      </c>
      <c r="G263">
        <v>11</v>
      </c>
      <c r="H263">
        <v>1.1679999999999999</v>
      </c>
      <c r="I263">
        <v>0.52100000000000002</v>
      </c>
      <c r="J263" t="s">
        <v>69</v>
      </c>
      <c r="K263">
        <v>4172</v>
      </c>
      <c r="L263">
        <v>47.687600000000003</v>
      </c>
      <c r="M263">
        <v>-0.23424</v>
      </c>
      <c r="N263">
        <f>INDEX(jkm!$H:$H,MATCH(J263,jkm!$J:$J,0),1)</f>
        <v>13.868</v>
      </c>
      <c r="O263" s="3">
        <f t="shared" ca="1" si="22"/>
        <v>361</v>
      </c>
      <c r="P263" s="3">
        <f t="shared" ca="1" si="23"/>
        <v>0.989041095890411</v>
      </c>
      <c r="Q263" t="str" cm="1">
        <f t="array" ref="Q263:S263">_xlfn.TEXTSPLIT(J263,"/")</f>
        <v>3</v>
      </c>
      <c r="R263" s="1" t="str">
        <v>15</v>
      </c>
      <c r="S263" t="str">
        <v>2027</v>
      </c>
      <c r="T263" s="1">
        <f t="shared" si="24"/>
        <v>46461</v>
      </c>
      <c r="U263" s="19">
        <f t="shared" si="25"/>
        <v>3.6899999999999977</v>
      </c>
      <c r="V263" s="17">
        <f ca="1">(LN(N263/G263)+(L263/100)^2*P263/2)/(L263/100*SQRT(P263))</f>
        <v>0.72565910922783339</v>
      </c>
      <c r="W263" s="17">
        <f ca="1">V263-L263/100*SQRT(P263)</f>
        <v>0.25140332686048494</v>
      </c>
      <c r="X263" s="17">
        <f ca="1">(LN(N263/G263)+P263*(U263/100+(L263/100)^2/2))/((L263/100*SQRT(P263)))</f>
        <v>0.80261255459476288</v>
      </c>
      <c r="Y263" s="17">
        <f ca="1">X263-N263/100*SQRT(R263)</f>
        <v>0.26550722414271832</v>
      </c>
      <c r="Z263" s="20">
        <f ca="1">EXP(-P263)/(N263*L263/100*SQRT(P263))*_xlfn.NORM.S.DIST(X263,FALSE)</f>
        <v>1.634801761580533E-2</v>
      </c>
      <c r="AA263" s="17">
        <f t="shared" ca="1" si="21"/>
        <v>1.4829023944515901E-2</v>
      </c>
      <c r="AB263" s="17"/>
      <c r="AC263" s="17"/>
      <c r="AD263" s="17"/>
    </row>
    <row r="264" spans="1:30" x14ac:dyDescent="0.25">
      <c r="A264" t="s">
        <v>106</v>
      </c>
      <c r="B264" t="s">
        <v>107</v>
      </c>
      <c r="C264" t="s">
        <v>108</v>
      </c>
      <c r="D264">
        <v>46391</v>
      </c>
      <c r="E264" t="s">
        <v>107</v>
      </c>
      <c r="F264" t="s">
        <v>110</v>
      </c>
      <c r="G264">
        <v>15</v>
      </c>
      <c r="H264">
        <v>3.3050000000000002</v>
      </c>
      <c r="I264">
        <v>0.61499999999999999</v>
      </c>
      <c r="J264" t="s">
        <v>69</v>
      </c>
      <c r="K264">
        <v>4172</v>
      </c>
      <c r="L264">
        <v>47.51</v>
      </c>
      <c r="M264">
        <v>-0.47159000000000001</v>
      </c>
      <c r="N264">
        <f>INDEX(jkm!$H:$H,MATCH(J264,jkm!$J:$J,0),1)</f>
        <v>13.868</v>
      </c>
      <c r="O264" s="3">
        <f t="shared" ca="1" si="22"/>
        <v>361</v>
      </c>
      <c r="P264" s="3">
        <f t="shared" ca="1" si="23"/>
        <v>0.989041095890411</v>
      </c>
      <c r="Q264" t="str" cm="1">
        <f t="array" ref="Q264:S264">_xlfn.TEXTSPLIT(J264,"/")</f>
        <v>3</v>
      </c>
      <c r="R264" s="1" t="str">
        <v>15</v>
      </c>
      <c r="S264" t="str">
        <v>2027</v>
      </c>
      <c r="T264" s="1">
        <f t="shared" si="24"/>
        <v>46461</v>
      </c>
      <c r="U264" s="19">
        <f t="shared" si="25"/>
        <v>3.6899999999999977</v>
      </c>
      <c r="V264" s="17">
        <f ca="1">(LN(N264/G264)+(L264/100)^2*P264/2)/(L264/100*SQRT(P264))</f>
        <v>7.017511900906287E-2</v>
      </c>
      <c r="W264" s="17">
        <f ca="1">V264-L264/100*SQRT(P264)</f>
        <v>-0.40231442167389708</v>
      </c>
      <c r="X264" s="17">
        <f ca="1">(LN(N264/G264)+P264*(U264/100+(L264/100)^2/2))/((L264/100*SQRT(P264)))</f>
        <v>0.14741622869712828</v>
      </c>
      <c r="Y264" s="17">
        <f ca="1">X264-N264/100*SQRT(R264)</f>
        <v>-0.38968910175491628</v>
      </c>
      <c r="Z264" s="20">
        <f ca="1">EXP(-P264)/(N264*L264/100*SQRT(P264))*_xlfn.NORM.S.DIST(X264,FALSE)</f>
        <v>2.2400102130248661E-2</v>
      </c>
      <c r="AA264" s="17">
        <f t="shared" ca="1" si="21"/>
        <v>2.0243100548766178E-2</v>
      </c>
      <c r="AB264" s="17"/>
      <c r="AC264" s="17"/>
      <c r="AD264" s="17"/>
    </row>
    <row r="265" spans="1:30" x14ac:dyDescent="0.25">
      <c r="A265" t="s">
        <v>106</v>
      </c>
      <c r="B265" t="s">
        <v>107</v>
      </c>
      <c r="C265" t="s">
        <v>108</v>
      </c>
      <c r="D265">
        <v>46391</v>
      </c>
      <c r="E265" t="s">
        <v>107</v>
      </c>
      <c r="F265" t="s">
        <v>110</v>
      </c>
      <c r="G265">
        <v>20</v>
      </c>
      <c r="H265">
        <v>7.109</v>
      </c>
      <c r="I265">
        <v>0.32800000000000001</v>
      </c>
      <c r="J265" t="s">
        <v>69</v>
      </c>
      <c r="K265">
        <v>4172</v>
      </c>
      <c r="L265">
        <v>47.473300000000002</v>
      </c>
      <c r="M265">
        <v>-0.70426</v>
      </c>
      <c r="N265">
        <f>INDEX(jkm!$H:$H,MATCH(J265,jkm!$J:$J,0),1)</f>
        <v>13.868</v>
      </c>
      <c r="O265" s="3">
        <f t="shared" ca="1" si="22"/>
        <v>361</v>
      </c>
      <c r="P265" s="3">
        <f t="shared" ca="1" si="23"/>
        <v>0.989041095890411</v>
      </c>
      <c r="Q265" t="str" cm="1">
        <f t="array" ref="Q265:S265">_xlfn.TEXTSPLIT(J265,"/")</f>
        <v>3</v>
      </c>
      <c r="R265" s="1" t="str">
        <v>15</v>
      </c>
      <c r="S265" t="str">
        <v>2027</v>
      </c>
      <c r="T265" s="1">
        <f t="shared" si="24"/>
        <v>46461</v>
      </c>
      <c r="U265" s="19">
        <f t="shared" si="25"/>
        <v>3.6899999999999977</v>
      </c>
      <c r="V265" s="17">
        <f ca="1">(LN(N265/G265)+(L265/100)^2*P265/2)/(L265/100*SQRT(P265))</f>
        <v>-0.53947087290811202</v>
      </c>
      <c r="W265" s="17">
        <f ca="1">V265-L265/100*SQRT(P265)</f>
        <v>-1.0115954300898498</v>
      </c>
      <c r="X265" s="17">
        <f ca="1">(LN(N265/G265)+P265*(U265/100+(L265/100)^2/2))/((L265/100*SQRT(P265)))</f>
        <v>-0.46217005073480638</v>
      </c>
      <c r="Y265" s="17">
        <f ca="1">X265-N265/100*SQRT(R265)</f>
        <v>-0.99927538118685089</v>
      </c>
      <c r="Z265" s="20">
        <f ca="1">EXP(-P265)/(N265*L265/100*SQRT(P265))*_xlfn.NORM.S.DIST(X265,FALSE)</f>
        <v>2.0366746148401942E-2</v>
      </c>
      <c r="AA265" s="17">
        <f t="shared" ca="1" si="21"/>
        <v>1.8391327393647419E-2</v>
      </c>
      <c r="AB265" s="17"/>
      <c r="AC265" s="17"/>
      <c r="AD265" s="17"/>
    </row>
    <row r="266" spans="1:30" x14ac:dyDescent="0.25">
      <c r="A266" t="s">
        <v>106</v>
      </c>
      <c r="B266" t="s">
        <v>107</v>
      </c>
      <c r="C266" t="s">
        <v>108</v>
      </c>
      <c r="D266">
        <v>46392</v>
      </c>
      <c r="E266" t="s">
        <v>107</v>
      </c>
      <c r="F266" t="s">
        <v>109</v>
      </c>
      <c r="G266">
        <v>5</v>
      </c>
      <c r="H266">
        <v>7.907</v>
      </c>
      <c r="I266">
        <v>0.24</v>
      </c>
      <c r="J266" t="s">
        <v>70</v>
      </c>
      <c r="K266">
        <v>4172</v>
      </c>
      <c r="L266">
        <v>48.047499999999999</v>
      </c>
      <c r="M266">
        <v>0.98392000000000002</v>
      </c>
      <c r="N266">
        <f>INDEX(jkm!$H:$H,MATCH(J266,jkm!$J:$J,0),1)</f>
        <v>12.863</v>
      </c>
      <c r="O266" s="3">
        <f t="shared" ca="1" si="22"/>
        <v>392</v>
      </c>
      <c r="P266" s="3">
        <f t="shared" ca="1" si="23"/>
        <v>1.0739726027397261</v>
      </c>
      <c r="Q266" t="str" cm="1">
        <f t="array" ref="Q266:S266">_xlfn.TEXTSPLIT(J266,"/")</f>
        <v>4</v>
      </c>
      <c r="R266" s="1" t="str">
        <v>15</v>
      </c>
      <c r="S266" t="str">
        <v>2027</v>
      </c>
      <c r="T266" s="1">
        <f t="shared" si="24"/>
        <v>46492</v>
      </c>
      <c r="U266" s="19">
        <f t="shared" si="25"/>
        <v>3.6899999999999977</v>
      </c>
      <c r="V266" s="17">
        <f ca="1">(LN(N266/G266)+(L266/100)^2*P266/2)/(L266/100*SQRT(P266))</f>
        <v>2.1466589630064767</v>
      </c>
      <c r="W266" s="17">
        <f ca="1">V266-L266/100*SQRT(P266)</f>
        <v>1.6487299906689046</v>
      </c>
      <c r="X266" s="17">
        <f ca="1">(LN(N266/G266)+P266*(U266/100+(L266/100)^2/2))/((L266/100*SQRT(P266)))</f>
        <v>2.2262478024649464</v>
      </c>
      <c r="Y266" s="17">
        <f ca="1">X266-N266/100*SQRT(R266)</f>
        <v>1.7280659546422863</v>
      </c>
      <c r="Z266" s="20">
        <f ca="1">EXP(-P266)/(N266*L266/100*SQRT(P266))*_xlfn.NORM.S.DIST(X266,FALSE)</f>
        <v>1.7854980017703553E-3</v>
      </c>
      <c r="AA266" s="17">
        <f t="shared" ca="1" si="21"/>
        <v>1.5244314704083225E-3</v>
      </c>
      <c r="AB266" s="17"/>
      <c r="AC266" s="17"/>
      <c r="AD266" s="17"/>
    </row>
    <row r="267" spans="1:30" x14ac:dyDescent="0.25">
      <c r="A267" t="s">
        <v>106</v>
      </c>
      <c r="B267" t="s">
        <v>107</v>
      </c>
      <c r="C267" t="s">
        <v>108</v>
      </c>
      <c r="D267">
        <v>46392</v>
      </c>
      <c r="E267" t="s">
        <v>107</v>
      </c>
      <c r="F267" t="s">
        <v>109</v>
      </c>
      <c r="G267">
        <v>8</v>
      </c>
      <c r="H267">
        <v>5.3120000000000003</v>
      </c>
      <c r="I267">
        <v>0.5</v>
      </c>
      <c r="J267" t="s">
        <v>70</v>
      </c>
      <c r="K267">
        <v>4172</v>
      </c>
      <c r="L267">
        <v>47.880800000000001</v>
      </c>
      <c r="M267">
        <v>0.88558999999999999</v>
      </c>
      <c r="N267">
        <f>INDEX(jkm!$H:$H,MATCH(J267,jkm!$J:$J,0),1)</f>
        <v>12.863</v>
      </c>
      <c r="O267" s="3">
        <f t="shared" ca="1" si="22"/>
        <v>392</v>
      </c>
      <c r="P267" s="3">
        <f t="shared" ca="1" si="23"/>
        <v>1.0739726027397261</v>
      </c>
      <c r="Q267" t="str" cm="1">
        <f t="array" ref="Q267:S267">_xlfn.TEXTSPLIT(J267,"/")</f>
        <v>4</v>
      </c>
      <c r="R267" s="1" t="str">
        <v>15</v>
      </c>
      <c r="S267" t="str">
        <v>2027</v>
      </c>
      <c r="T267" s="1">
        <f t="shared" si="24"/>
        <v>46492</v>
      </c>
      <c r="U267" s="19">
        <f t="shared" si="25"/>
        <v>3.6899999999999977</v>
      </c>
      <c r="V267" s="17">
        <f ca="1">(LN(N267/G267)+(L267/100)^2*P267/2)/(L267/100*SQRT(P267))</f>
        <v>1.2051988057732013</v>
      </c>
      <c r="W267" s="17">
        <f ca="1">V267-L267/100*SQRT(P267)</f>
        <v>0.70899738970158821</v>
      </c>
      <c r="X267" s="17">
        <f ca="1">(LN(N267/G267)+P267*(U267/100+(L267/100)^2/2))/((L267/100*SQRT(P267)))</f>
        <v>1.2850647387542882</v>
      </c>
      <c r="Y267" s="17">
        <f ca="1">X267-N267/100*SQRT(R267)</f>
        <v>0.78688289093162811</v>
      </c>
      <c r="Z267" s="20">
        <f ca="1">EXP(-P267)/(N267*L267/100*SQRT(P267))*_xlfn.NORM.S.DIST(X267,FALSE)</f>
        <v>9.3517812431251866E-3</v>
      </c>
      <c r="AA267" s="17">
        <f t="shared" ca="1" si="21"/>
        <v>7.9567090771876878E-3</v>
      </c>
      <c r="AB267" s="17"/>
      <c r="AC267" s="17"/>
      <c r="AD267" s="17"/>
    </row>
    <row r="268" spans="1:30" x14ac:dyDescent="0.25">
      <c r="A268" t="s">
        <v>106</v>
      </c>
      <c r="B268" t="s">
        <v>107</v>
      </c>
      <c r="C268" t="s">
        <v>108</v>
      </c>
      <c r="D268">
        <v>46392</v>
      </c>
      <c r="E268" t="s">
        <v>107</v>
      </c>
      <c r="F268" t="s">
        <v>109</v>
      </c>
      <c r="G268">
        <v>10</v>
      </c>
      <c r="H268">
        <v>3.9449999999999998</v>
      </c>
      <c r="I268">
        <v>0.71799999999999997</v>
      </c>
      <c r="J268" t="s">
        <v>70</v>
      </c>
      <c r="K268">
        <v>4172</v>
      </c>
      <c r="L268">
        <v>47.738599999999998</v>
      </c>
      <c r="M268">
        <v>0.77505999999999997</v>
      </c>
      <c r="N268">
        <f>INDEX(jkm!$H:$H,MATCH(J268,jkm!$J:$J,0),1)</f>
        <v>12.863</v>
      </c>
      <c r="O268" s="3">
        <f t="shared" ca="1" si="22"/>
        <v>392</v>
      </c>
      <c r="P268" s="3">
        <f t="shared" ca="1" si="23"/>
        <v>1.0739726027397261</v>
      </c>
      <c r="Q268" t="str" cm="1">
        <f t="array" ref="Q268:S268">_xlfn.TEXTSPLIT(J268,"/")</f>
        <v>4</v>
      </c>
      <c r="R268" s="1" t="str">
        <v>15</v>
      </c>
      <c r="S268" t="str">
        <v>2027</v>
      </c>
      <c r="T268" s="1">
        <f t="shared" si="24"/>
        <v>46492</v>
      </c>
      <c r="U268" s="19">
        <f t="shared" si="25"/>
        <v>3.6899999999999977</v>
      </c>
      <c r="V268" s="17">
        <f ca="1">(LN(N268/G268)+(L268/100)^2*P268/2)/(L268/100*SQRT(P268))</f>
        <v>0.75626978848528625</v>
      </c>
      <c r="W268" s="17">
        <f ca="1">V268-L268/100*SQRT(P268)</f>
        <v>0.26154202868853466</v>
      </c>
      <c r="X268" s="17">
        <f ca="1">(LN(N268/G268)+P268*(U268/100+(L268/100)^2/2))/((L268/100*SQRT(P268)))</f>
        <v>0.83637361984776504</v>
      </c>
      <c r="Y268" s="17">
        <f ca="1">X268-N268/100*SQRT(R268)</f>
        <v>0.33819177202510503</v>
      </c>
      <c r="Z268" s="20">
        <f ca="1">EXP(-P268)/(N268*L268/100*SQRT(P268))*_xlfn.NORM.S.DIST(X268,FALSE)</f>
        <v>1.509670339643546E-2</v>
      </c>
      <c r="AA268" s="17">
        <f t="shared" ca="1" si="21"/>
        <v>1.2806473141328975E-2</v>
      </c>
      <c r="AB268" s="17"/>
      <c r="AC268" s="17"/>
      <c r="AD268" s="17"/>
    </row>
    <row r="269" spans="1:30" x14ac:dyDescent="0.25">
      <c r="A269" t="s">
        <v>106</v>
      </c>
      <c r="B269" t="s">
        <v>107</v>
      </c>
      <c r="C269" t="s">
        <v>108</v>
      </c>
      <c r="D269">
        <v>46392</v>
      </c>
      <c r="E269" t="s">
        <v>107</v>
      </c>
      <c r="F269" t="s">
        <v>109</v>
      </c>
      <c r="G269">
        <v>10.5</v>
      </c>
      <c r="H269">
        <v>3.6520000000000001</v>
      </c>
      <c r="I269">
        <v>0.76100000000000001</v>
      </c>
      <c r="J269" t="s">
        <v>70</v>
      </c>
      <c r="K269">
        <v>4172</v>
      </c>
      <c r="L269">
        <v>47.7074</v>
      </c>
      <c r="M269">
        <v>0.74451999999999996</v>
      </c>
      <c r="N269">
        <f>INDEX(jkm!$H:$H,MATCH(J269,jkm!$J:$J,0),1)</f>
        <v>12.863</v>
      </c>
      <c r="O269" s="3">
        <f t="shared" ca="1" si="22"/>
        <v>392</v>
      </c>
      <c r="P269" s="3">
        <f t="shared" ca="1" si="23"/>
        <v>1.0739726027397261</v>
      </c>
      <c r="Q269" t="str" cm="1">
        <f t="array" ref="Q269:S269">_xlfn.TEXTSPLIT(J269,"/")</f>
        <v>4</v>
      </c>
      <c r="R269" s="1" t="str">
        <v>15</v>
      </c>
      <c r="S269" t="str">
        <v>2027</v>
      </c>
      <c r="T269" s="1">
        <f t="shared" si="24"/>
        <v>46492</v>
      </c>
      <c r="U269" s="19">
        <f t="shared" si="25"/>
        <v>3.6899999999999977</v>
      </c>
      <c r="V269" s="17">
        <f ca="1">(LN(N269/G269)+(L269/100)^2*P269/2)/(L269/100*SQRT(P269))</f>
        <v>0.65775621549278407</v>
      </c>
      <c r="W269" s="17">
        <f ca="1">V269-L269/100*SQRT(P269)</f>
        <v>0.16335178956224677</v>
      </c>
      <c r="X269" s="17">
        <f ca="1">(LN(N269/G269)+P269*(U269/100+(L269/100)^2/2))/((L269/100*SQRT(P269)))</f>
        <v>0.73791243368704384</v>
      </c>
      <c r="Y269" s="17">
        <f ca="1">X269-N269/100*SQRT(R269)</f>
        <v>0.23973058586438384</v>
      </c>
      <c r="Z269" s="20">
        <f ca="1">EXP(-P269)/(N269*L269/100*SQRT(P269))*_xlfn.NORM.S.DIST(X269,FALSE)</f>
        <v>1.6323947653202803E-2</v>
      </c>
      <c r="AA269" s="17">
        <f t="shared" ca="1" si="21"/>
        <v>1.3838489351863841E-2</v>
      </c>
      <c r="AB269" s="17"/>
      <c r="AC269" s="17"/>
      <c r="AD269" s="17"/>
    </row>
    <row r="270" spans="1:30" x14ac:dyDescent="0.25">
      <c r="A270" t="s">
        <v>106</v>
      </c>
      <c r="B270" t="s">
        <v>107</v>
      </c>
      <c r="C270" t="s">
        <v>108</v>
      </c>
      <c r="D270">
        <v>46392</v>
      </c>
      <c r="E270" t="s">
        <v>107</v>
      </c>
      <c r="F270" t="s">
        <v>109</v>
      </c>
      <c r="G270">
        <v>11</v>
      </c>
      <c r="H270">
        <v>3.3780000000000001</v>
      </c>
      <c r="I270">
        <v>0.79800000000000004</v>
      </c>
      <c r="J270" t="s">
        <v>70</v>
      </c>
      <c r="K270">
        <v>4172</v>
      </c>
      <c r="L270">
        <v>47.677599999999998</v>
      </c>
      <c r="M270">
        <v>0.71345999999999998</v>
      </c>
      <c r="N270">
        <f>INDEX(jkm!$H:$H,MATCH(J270,jkm!$J:$J,0),1)</f>
        <v>12.863</v>
      </c>
      <c r="O270" s="3">
        <f t="shared" ca="1" si="22"/>
        <v>392</v>
      </c>
      <c r="P270" s="3">
        <f t="shared" ca="1" si="23"/>
        <v>1.0739726027397261</v>
      </c>
      <c r="Q270" t="str" cm="1">
        <f t="array" ref="Q270:S270">_xlfn.TEXTSPLIT(J270,"/")</f>
        <v>4</v>
      </c>
      <c r="R270" s="1" t="str">
        <v>15</v>
      </c>
      <c r="S270" t="str">
        <v>2027</v>
      </c>
      <c r="T270" s="1">
        <f t="shared" si="24"/>
        <v>46492</v>
      </c>
      <c r="U270" s="19">
        <f t="shared" si="25"/>
        <v>3.6899999999999977</v>
      </c>
      <c r="V270" s="17">
        <f ca="1">(LN(N270/G270)+(L270/100)^2*P270/2)/(L270/100*SQRT(P270))</f>
        <v>0.56370656047871714</v>
      </c>
      <c r="W270" s="17">
        <f ca="1">V270-L270/100*SQRT(P270)</f>
        <v>6.9610959843474318E-2</v>
      </c>
      <c r="X270" s="17">
        <f ca="1">(LN(N270/G270)+P270*(U270/100+(L270/100)^2/2))/((L270/100*SQRT(P270)))</f>
        <v>0.64391287883116832</v>
      </c>
      <c r="Y270" s="17">
        <f ca="1">X270-N270/100*SQRT(R270)</f>
        <v>0.14573103100850832</v>
      </c>
      <c r="Z270" s="20">
        <f ca="1">EXP(-P270)/(N270*L270/100*SQRT(P270))*_xlfn.NORM.S.DIST(X270,FALSE)</f>
        <v>1.7430185972316513E-2</v>
      </c>
      <c r="AA270" s="17">
        <f t="shared" ca="1" si="21"/>
        <v>1.4767063704920071E-2</v>
      </c>
      <c r="AB270" s="17"/>
      <c r="AC270" s="17"/>
      <c r="AD270" s="17"/>
    </row>
    <row r="271" spans="1:30" x14ac:dyDescent="0.25">
      <c r="A271" t="s">
        <v>106</v>
      </c>
      <c r="B271" t="s">
        <v>107</v>
      </c>
      <c r="C271" t="s">
        <v>108</v>
      </c>
      <c r="D271">
        <v>46392</v>
      </c>
      <c r="E271" t="s">
        <v>107</v>
      </c>
      <c r="F271" t="s">
        <v>109</v>
      </c>
      <c r="G271">
        <v>15</v>
      </c>
      <c r="H271">
        <v>1.776</v>
      </c>
      <c r="I271">
        <v>0.84099999999999997</v>
      </c>
      <c r="J271" t="s">
        <v>70</v>
      </c>
      <c r="K271">
        <v>4172</v>
      </c>
      <c r="L271">
        <v>47.536000000000001</v>
      </c>
      <c r="M271">
        <v>0.47438000000000002</v>
      </c>
      <c r="N271">
        <f>INDEX(jkm!$H:$H,MATCH(J271,jkm!$J:$J,0),1)</f>
        <v>12.863</v>
      </c>
      <c r="O271" s="3">
        <f t="shared" ca="1" si="22"/>
        <v>392</v>
      </c>
      <c r="P271" s="3">
        <f t="shared" ca="1" si="23"/>
        <v>1.0739726027397261</v>
      </c>
      <c r="Q271" t="str" cm="1">
        <f t="array" ref="Q271:S271">_xlfn.TEXTSPLIT(J271,"/")</f>
        <v>4</v>
      </c>
      <c r="R271" s="1" t="str">
        <v>15</v>
      </c>
      <c r="S271" t="str">
        <v>2027</v>
      </c>
      <c r="T271" s="1">
        <f t="shared" si="24"/>
        <v>46492</v>
      </c>
      <c r="U271" s="19">
        <f t="shared" si="25"/>
        <v>3.6899999999999977</v>
      </c>
      <c r="V271" s="17">
        <f ca="1">(LN(N271/G271)+(L271/100)^2*P271/2)/(L271/100*SQRT(P271))</f>
        <v>-6.5676259144903978E-2</v>
      </c>
      <c r="W271" s="17">
        <f ca="1">V271-L271/100*SQRT(P271)</f>
        <v>-0.55830442146425108</v>
      </c>
      <c r="X271" s="17">
        <f ca="1">(LN(N271/G271)+P271*(U271/100+(L271/100)^2/2))/((L271/100*SQRT(P271)))</f>
        <v>1.4768977389108689E-2</v>
      </c>
      <c r="Y271" s="17">
        <f ca="1">X271-N271/100*SQRT(R271)</f>
        <v>-0.4834128704335513</v>
      </c>
      <c r="Z271" s="20">
        <f ca="1">EXP(-P271)/(N271*L271/100*SQRT(P271))*_xlfn.NORM.S.DIST(X271,FALSE)</f>
        <v>2.1507048804161506E-2</v>
      </c>
      <c r="AA271" s="17">
        <f t="shared" ca="1" si="21"/>
        <v>1.8166915531767799E-2</v>
      </c>
      <c r="AB271" s="17"/>
      <c r="AC271" s="17"/>
      <c r="AD271" s="17"/>
    </row>
    <row r="272" spans="1:30" x14ac:dyDescent="0.25">
      <c r="A272" t="s">
        <v>106</v>
      </c>
      <c r="B272" t="s">
        <v>107</v>
      </c>
      <c r="C272" t="s">
        <v>108</v>
      </c>
      <c r="D272">
        <v>46392</v>
      </c>
      <c r="E272" t="s">
        <v>107</v>
      </c>
      <c r="F272" t="s">
        <v>109</v>
      </c>
      <c r="G272">
        <v>20</v>
      </c>
      <c r="H272">
        <v>0.78900000000000003</v>
      </c>
      <c r="I272">
        <v>0.56100000000000005</v>
      </c>
      <c r="J272" t="s">
        <v>70</v>
      </c>
      <c r="K272">
        <v>4172</v>
      </c>
      <c r="L272">
        <v>47.5077</v>
      </c>
      <c r="M272">
        <v>0.25868000000000002</v>
      </c>
      <c r="N272">
        <f>INDEX(jkm!$H:$H,MATCH(J272,jkm!$J:$J,0),1)</f>
        <v>12.863</v>
      </c>
      <c r="O272" s="3">
        <f t="shared" ca="1" si="22"/>
        <v>392</v>
      </c>
      <c r="P272" s="3">
        <f t="shared" ca="1" si="23"/>
        <v>1.0739726027397261</v>
      </c>
      <c r="Q272" t="str" cm="1">
        <f t="array" ref="Q272:S272">_xlfn.TEXTSPLIT(J272,"/")</f>
        <v>4</v>
      </c>
      <c r="R272" s="1" t="str">
        <v>15</v>
      </c>
      <c r="S272" t="str">
        <v>2027</v>
      </c>
      <c r="T272" s="1">
        <f t="shared" si="24"/>
        <v>46492</v>
      </c>
      <c r="U272" s="19">
        <f t="shared" si="25"/>
        <v>3.6899999999999977</v>
      </c>
      <c r="V272" s="17">
        <f ca="1">(LN(N272/G272)+(L272/100)^2*P272/2)/(L272/100*SQRT(P272))</f>
        <v>-0.65033068798520111</v>
      </c>
      <c r="W272" s="17">
        <f ca="1">V272-L272/100*SQRT(P272)</f>
        <v>-1.1426655699066679</v>
      </c>
      <c r="X272" s="17">
        <f ca="1">(LN(N272/G272)+P272*(U272/100+(L272/100)^2/2))/((L272/100*SQRT(P272)))</f>
        <v>-0.56983753079424426</v>
      </c>
      <c r="Y272" s="17">
        <f ca="1">X272-N272/100*SQRT(R272)</f>
        <v>-1.0680193786169043</v>
      </c>
      <c r="Z272" s="20">
        <f ca="1">EXP(-P272)/(N272*L272/100*SQRT(P272))*_xlfn.NORM.S.DIST(X272,FALSE)</f>
        <v>1.8296831520643535E-2</v>
      </c>
      <c r="AA272" s="17">
        <f t="shared" ca="1" si="21"/>
        <v>1.5446057109409175E-2</v>
      </c>
      <c r="AB272" s="17"/>
      <c r="AC272" s="17"/>
      <c r="AD272" s="17"/>
    </row>
    <row r="273" spans="1:30" x14ac:dyDescent="0.25">
      <c r="A273" t="s">
        <v>106</v>
      </c>
      <c r="B273" t="s">
        <v>107</v>
      </c>
      <c r="C273" t="s">
        <v>108</v>
      </c>
      <c r="D273">
        <v>46392</v>
      </c>
      <c r="E273" t="s">
        <v>107</v>
      </c>
      <c r="F273" t="s">
        <v>110</v>
      </c>
      <c r="G273">
        <v>5</v>
      </c>
      <c r="H273">
        <v>4.3999999999999997E-2</v>
      </c>
      <c r="I273">
        <v>4.1000000000000002E-2</v>
      </c>
      <c r="J273" t="s">
        <v>70</v>
      </c>
      <c r="K273">
        <v>4172</v>
      </c>
      <c r="L273">
        <v>48.047499999999999</v>
      </c>
      <c r="M273">
        <v>-1.6080000000000001E-2</v>
      </c>
      <c r="N273">
        <f>INDEX(jkm!$H:$H,MATCH(J273,jkm!$J:$J,0),1)</f>
        <v>12.863</v>
      </c>
      <c r="O273" s="3">
        <f t="shared" ca="1" si="22"/>
        <v>392</v>
      </c>
      <c r="P273" s="3">
        <f t="shared" ca="1" si="23"/>
        <v>1.0739726027397261</v>
      </c>
      <c r="Q273" t="str" cm="1">
        <f t="array" ref="Q273:S273">_xlfn.TEXTSPLIT(J273,"/")</f>
        <v>4</v>
      </c>
      <c r="R273" s="1" t="str">
        <v>15</v>
      </c>
      <c r="S273" t="str">
        <v>2027</v>
      </c>
      <c r="T273" s="1">
        <f t="shared" si="24"/>
        <v>46492</v>
      </c>
      <c r="U273" s="19">
        <f t="shared" si="25"/>
        <v>3.6899999999999977</v>
      </c>
      <c r="V273" s="17">
        <f ca="1">(LN(N273/G273)+(L273/100)^2*P273/2)/(L273/100*SQRT(P273))</f>
        <v>2.1466589630064767</v>
      </c>
      <c r="W273" s="17">
        <f ca="1">V273-L273/100*SQRT(P273)</f>
        <v>1.6487299906689046</v>
      </c>
      <c r="X273" s="17">
        <f ca="1">(LN(N273/G273)+P273*(U273/100+(L273/100)^2/2))/((L273/100*SQRT(P273)))</f>
        <v>2.2262478024649464</v>
      </c>
      <c r="Y273" s="17">
        <f ca="1">X273-N273/100*SQRT(R273)</f>
        <v>1.7280659546422863</v>
      </c>
      <c r="Z273" s="20">
        <f ca="1">EXP(-P273)/(N273*L273/100*SQRT(P273))*_xlfn.NORM.S.DIST(X273,FALSE)</f>
        <v>1.7854980017703553E-3</v>
      </c>
      <c r="AA273" s="17">
        <f t="shared" ca="1" si="21"/>
        <v>1.5244314704083225E-3</v>
      </c>
      <c r="AB273" s="17"/>
      <c r="AC273" s="17"/>
      <c r="AD273" s="17"/>
    </row>
    <row r="274" spans="1:30" x14ac:dyDescent="0.25">
      <c r="A274" t="s">
        <v>106</v>
      </c>
      <c r="B274" t="s">
        <v>107</v>
      </c>
      <c r="C274" t="s">
        <v>108</v>
      </c>
      <c r="D274">
        <v>46392</v>
      </c>
      <c r="E274" t="s">
        <v>107</v>
      </c>
      <c r="F274" t="s">
        <v>110</v>
      </c>
      <c r="G274">
        <v>8</v>
      </c>
      <c r="H274">
        <v>0.44900000000000001</v>
      </c>
      <c r="I274">
        <v>0.30099999999999999</v>
      </c>
      <c r="J274" t="s">
        <v>70</v>
      </c>
      <c r="K274">
        <v>4172</v>
      </c>
      <c r="L274">
        <v>47.880800000000001</v>
      </c>
      <c r="M274">
        <v>-0.11441</v>
      </c>
      <c r="N274">
        <f>INDEX(jkm!$H:$H,MATCH(J274,jkm!$J:$J,0),1)</f>
        <v>12.863</v>
      </c>
      <c r="O274" s="3">
        <f t="shared" ca="1" si="22"/>
        <v>392</v>
      </c>
      <c r="P274" s="3">
        <f t="shared" ca="1" si="23"/>
        <v>1.0739726027397261</v>
      </c>
      <c r="Q274" t="str" cm="1">
        <f t="array" ref="Q274:S274">_xlfn.TEXTSPLIT(J274,"/")</f>
        <v>4</v>
      </c>
      <c r="R274" s="1" t="str">
        <v>15</v>
      </c>
      <c r="S274" t="str">
        <v>2027</v>
      </c>
      <c r="T274" s="1">
        <f t="shared" si="24"/>
        <v>46492</v>
      </c>
      <c r="U274" s="19">
        <f t="shared" si="25"/>
        <v>3.6899999999999977</v>
      </c>
      <c r="V274" s="17">
        <f ca="1">(LN(N274/G274)+(L274/100)^2*P274/2)/(L274/100*SQRT(P274))</f>
        <v>1.2051988057732013</v>
      </c>
      <c r="W274" s="17">
        <f ca="1">V274-L274/100*SQRT(P274)</f>
        <v>0.70899738970158821</v>
      </c>
      <c r="X274" s="17">
        <f ca="1">(LN(N274/G274)+P274*(U274/100+(L274/100)^2/2))/((L274/100*SQRT(P274)))</f>
        <v>1.2850647387542882</v>
      </c>
      <c r="Y274" s="17">
        <f ca="1">X274-N274/100*SQRT(R274)</f>
        <v>0.78688289093162811</v>
      </c>
      <c r="Z274" s="20">
        <f ca="1">EXP(-P274)/(N274*L274/100*SQRT(P274))*_xlfn.NORM.S.DIST(X274,FALSE)</f>
        <v>9.3517812431251866E-3</v>
      </c>
      <c r="AA274" s="17">
        <f t="shared" ca="1" si="21"/>
        <v>7.9567090771876878E-3</v>
      </c>
      <c r="AB274" s="17"/>
      <c r="AC274" s="17"/>
      <c r="AD274" s="17"/>
    </row>
    <row r="275" spans="1:30" x14ac:dyDescent="0.25">
      <c r="A275" t="s">
        <v>106</v>
      </c>
      <c r="B275" t="s">
        <v>107</v>
      </c>
      <c r="C275" t="s">
        <v>108</v>
      </c>
      <c r="D275">
        <v>46392</v>
      </c>
      <c r="E275" t="s">
        <v>107</v>
      </c>
      <c r="F275" t="s">
        <v>110</v>
      </c>
      <c r="G275">
        <v>10</v>
      </c>
      <c r="H275">
        <v>1.0820000000000001</v>
      </c>
      <c r="I275">
        <v>0.51900000000000002</v>
      </c>
      <c r="J275" t="s">
        <v>70</v>
      </c>
      <c r="K275">
        <v>4172</v>
      </c>
      <c r="L275">
        <v>47.738599999999998</v>
      </c>
      <c r="M275">
        <v>-0.22494</v>
      </c>
      <c r="N275">
        <f>INDEX(jkm!$H:$H,MATCH(J275,jkm!$J:$J,0),1)</f>
        <v>12.863</v>
      </c>
      <c r="O275" s="3">
        <f t="shared" ca="1" si="22"/>
        <v>392</v>
      </c>
      <c r="P275" s="3">
        <f t="shared" ca="1" si="23"/>
        <v>1.0739726027397261</v>
      </c>
      <c r="Q275" t="str" cm="1">
        <f t="array" ref="Q275:S275">_xlfn.TEXTSPLIT(J275,"/")</f>
        <v>4</v>
      </c>
      <c r="R275" s="1" t="str">
        <v>15</v>
      </c>
      <c r="S275" t="str">
        <v>2027</v>
      </c>
      <c r="T275" s="1">
        <f t="shared" si="24"/>
        <v>46492</v>
      </c>
      <c r="U275" s="19">
        <f t="shared" si="25"/>
        <v>3.6899999999999977</v>
      </c>
      <c r="V275" s="17">
        <f ca="1">(LN(N275/G275)+(L275/100)^2*P275/2)/(L275/100*SQRT(P275))</f>
        <v>0.75626978848528625</v>
      </c>
      <c r="W275" s="17">
        <f ca="1">V275-L275/100*SQRT(P275)</f>
        <v>0.26154202868853466</v>
      </c>
      <c r="X275" s="17">
        <f ca="1">(LN(N275/G275)+P275*(U275/100+(L275/100)^2/2))/((L275/100*SQRT(P275)))</f>
        <v>0.83637361984776504</v>
      </c>
      <c r="Y275" s="17">
        <f ca="1">X275-N275/100*SQRT(R275)</f>
        <v>0.33819177202510503</v>
      </c>
      <c r="Z275" s="20">
        <f ca="1">EXP(-P275)/(N275*L275/100*SQRT(P275))*_xlfn.NORM.S.DIST(X275,FALSE)</f>
        <v>1.509670339643546E-2</v>
      </c>
      <c r="AA275" s="17">
        <f t="shared" ca="1" si="21"/>
        <v>1.2806473141328975E-2</v>
      </c>
      <c r="AB275" s="17"/>
      <c r="AC275" s="17"/>
      <c r="AD275" s="17"/>
    </row>
    <row r="276" spans="1:30" x14ac:dyDescent="0.25">
      <c r="A276" t="s">
        <v>106</v>
      </c>
      <c r="B276" t="s">
        <v>107</v>
      </c>
      <c r="C276" t="s">
        <v>108</v>
      </c>
      <c r="D276">
        <v>46392</v>
      </c>
      <c r="E276" t="s">
        <v>107</v>
      </c>
      <c r="F276" t="s">
        <v>110</v>
      </c>
      <c r="G276">
        <v>10.5</v>
      </c>
      <c r="H276">
        <v>1.2889999999999999</v>
      </c>
      <c r="I276">
        <v>0.56200000000000006</v>
      </c>
      <c r="J276" t="s">
        <v>70</v>
      </c>
      <c r="K276">
        <v>4172</v>
      </c>
      <c r="L276">
        <v>47.7074</v>
      </c>
      <c r="M276">
        <v>-0.25547999999999998</v>
      </c>
      <c r="N276">
        <f>INDEX(jkm!$H:$H,MATCH(J276,jkm!$J:$J,0),1)</f>
        <v>12.863</v>
      </c>
      <c r="O276" s="3">
        <f t="shared" ca="1" si="22"/>
        <v>392</v>
      </c>
      <c r="P276" s="3">
        <f t="shared" ca="1" si="23"/>
        <v>1.0739726027397261</v>
      </c>
      <c r="Q276" t="str" cm="1">
        <f t="array" ref="Q276:S276">_xlfn.TEXTSPLIT(J276,"/")</f>
        <v>4</v>
      </c>
      <c r="R276" s="1" t="str">
        <v>15</v>
      </c>
      <c r="S276" t="str">
        <v>2027</v>
      </c>
      <c r="T276" s="1">
        <f t="shared" si="24"/>
        <v>46492</v>
      </c>
      <c r="U276" s="19">
        <f t="shared" si="25"/>
        <v>3.6899999999999977</v>
      </c>
      <c r="V276" s="17">
        <f ca="1">(LN(N276/G276)+(L276/100)^2*P276/2)/(L276/100*SQRT(P276))</f>
        <v>0.65775621549278407</v>
      </c>
      <c r="W276" s="17">
        <f ca="1">V276-L276/100*SQRT(P276)</f>
        <v>0.16335178956224677</v>
      </c>
      <c r="X276" s="17">
        <f ca="1">(LN(N276/G276)+P276*(U276/100+(L276/100)^2/2))/((L276/100*SQRT(P276)))</f>
        <v>0.73791243368704384</v>
      </c>
      <c r="Y276" s="17">
        <f ca="1">X276-N276/100*SQRT(R276)</f>
        <v>0.23973058586438384</v>
      </c>
      <c r="Z276" s="20">
        <f ca="1">EXP(-P276)/(N276*L276/100*SQRT(P276))*_xlfn.NORM.S.DIST(X276,FALSE)</f>
        <v>1.6323947653202803E-2</v>
      </c>
      <c r="AA276" s="17">
        <f t="shared" ca="1" si="21"/>
        <v>1.3838489351863841E-2</v>
      </c>
      <c r="AB276" s="17"/>
      <c r="AC276" s="17"/>
      <c r="AD276" s="17"/>
    </row>
    <row r="277" spans="1:30" x14ac:dyDescent="0.25">
      <c r="A277" t="s">
        <v>106</v>
      </c>
      <c r="B277" t="s">
        <v>107</v>
      </c>
      <c r="C277" t="s">
        <v>108</v>
      </c>
      <c r="D277">
        <v>46392</v>
      </c>
      <c r="E277" t="s">
        <v>107</v>
      </c>
      <c r="F277" t="s">
        <v>110</v>
      </c>
      <c r="G277">
        <v>11</v>
      </c>
      <c r="H277">
        <v>1.5149999999999999</v>
      </c>
      <c r="I277">
        <v>0.59899999999999998</v>
      </c>
      <c r="J277" t="s">
        <v>70</v>
      </c>
      <c r="K277">
        <v>4172</v>
      </c>
      <c r="L277">
        <v>47.677599999999998</v>
      </c>
      <c r="M277">
        <v>-0.28654000000000002</v>
      </c>
      <c r="N277">
        <f>INDEX(jkm!$H:$H,MATCH(J277,jkm!$J:$J,0),1)</f>
        <v>12.863</v>
      </c>
      <c r="O277" s="3">
        <f t="shared" ca="1" si="22"/>
        <v>392</v>
      </c>
      <c r="P277" s="3">
        <f t="shared" ca="1" si="23"/>
        <v>1.0739726027397261</v>
      </c>
      <c r="Q277" t="str" cm="1">
        <f t="array" ref="Q277:S277">_xlfn.TEXTSPLIT(J277,"/")</f>
        <v>4</v>
      </c>
      <c r="R277" s="1" t="str">
        <v>15</v>
      </c>
      <c r="S277" t="str">
        <v>2027</v>
      </c>
      <c r="T277" s="1">
        <f t="shared" si="24"/>
        <v>46492</v>
      </c>
      <c r="U277" s="19">
        <f t="shared" si="25"/>
        <v>3.6899999999999977</v>
      </c>
      <c r="V277" s="17">
        <f ca="1">(LN(N277/G277)+(L277/100)^2*P277/2)/(L277/100*SQRT(P277))</f>
        <v>0.56370656047871714</v>
      </c>
      <c r="W277" s="17">
        <f ca="1">V277-L277/100*SQRT(P277)</f>
        <v>6.9610959843474318E-2</v>
      </c>
      <c r="X277" s="17">
        <f ca="1">(LN(N277/G277)+P277*(U277/100+(L277/100)^2/2))/((L277/100*SQRT(P277)))</f>
        <v>0.64391287883116832</v>
      </c>
      <c r="Y277" s="17">
        <f ca="1">X277-N277/100*SQRT(R277)</f>
        <v>0.14573103100850832</v>
      </c>
      <c r="Z277" s="20">
        <f ca="1">EXP(-P277)/(N277*L277/100*SQRT(P277))*_xlfn.NORM.S.DIST(X277,FALSE)</f>
        <v>1.7430185972316513E-2</v>
      </c>
      <c r="AA277" s="17">
        <f t="shared" ca="1" si="21"/>
        <v>1.4767063704920071E-2</v>
      </c>
      <c r="AB277" s="17"/>
      <c r="AC277" s="17"/>
      <c r="AD277" s="17"/>
    </row>
    <row r="278" spans="1:30" x14ac:dyDescent="0.25">
      <c r="A278" t="s">
        <v>106</v>
      </c>
      <c r="B278" t="s">
        <v>107</v>
      </c>
      <c r="C278" t="s">
        <v>108</v>
      </c>
      <c r="D278">
        <v>46392</v>
      </c>
      <c r="E278" t="s">
        <v>107</v>
      </c>
      <c r="F278" t="s">
        <v>110</v>
      </c>
      <c r="G278">
        <v>15</v>
      </c>
      <c r="H278">
        <v>3.9129999999999998</v>
      </c>
      <c r="I278">
        <v>0.64200000000000002</v>
      </c>
      <c r="J278" t="s">
        <v>70</v>
      </c>
      <c r="K278">
        <v>4172</v>
      </c>
      <c r="L278">
        <v>47.536000000000001</v>
      </c>
      <c r="M278">
        <v>-0.52561999999999998</v>
      </c>
      <c r="N278">
        <f>INDEX(jkm!$H:$H,MATCH(J278,jkm!$J:$J,0),1)</f>
        <v>12.863</v>
      </c>
      <c r="O278" s="3">
        <f t="shared" ca="1" si="22"/>
        <v>392</v>
      </c>
      <c r="P278" s="3">
        <f t="shared" ca="1" si="23"/>
        <v>1.0739726027397261</v>
      </c>
      <c r="Q278" t="str" cm="1">
        <f t="array" ref="Q278:S278">_xlfn.TEXTSPLIT(J278,"/")</f>
        <v>4</v>
      </c>
      <c r="R278" s="1" t="str">
        <v>15</v>
      </c>
      <c r="S278" t="str">
        <v>2027</v>
      </c>
      <c r="T278" s="1">
        <f t="shared" si="24"/>
        <v>46492</v>
      </c>
      <c r="U278" s="19">
        <f t="shared" si="25"/>
        <v>3.6899999999999977</v>
      </c>
      <c r="V278" s="17">
        <f ca="1">(LN(N278/G278)+(L278/100)^2*P278/2)/(L278/100*SQRT(P278))</f>
        <v>-6.5676259144903978E-2</v>
      </c>
      <c r="W278" s="17">
        <f ca="1">V278-L278/100*SQRT(P278)</f>
        <v>-0.55830442146425108</v>
      </c>
      <c r="X278" s="17">
        <f ca="1">(LN(N278/G278)+P278*(U278/100+(L278/100)^2/2))/((L278/100*SQRT(P278)))</f>
        <v>1.4768977389108689E-2</v>
      </c>
      <c r="Y278" s="17">
        <f ca="1">X278-N278/100*SQRT(R278)</f>
        <v>-0.4834128704335513</v>
      </c>
      <c r="Z278" s="20">
        <f ca="1">EXP(-P278)/(N278*L278/100*SQRT(P278))*_xlfn.NORM.S.DIST(X278,FALSE)</f>
        <v>2.1507048804161506E-2</v>
      </c>
      <c r="AA278" s="17">
        <f t="shared" ca="1" si="21"/>
        <v>1.8166915531767799E-2</v>
      </c>
      <c r="AB278" s="17"/>
      <c r="AC278" s="17"/>
      <c r="AD278" s="17"/>
    </row>
    <row r="279" spans="1:30" x14ac:dyDescent="0.25">
      <c r="A279" t="s">
        <v>106</v>
      </c>
      <c r="B279" t="s">
        <v>107</v>
      </c>
      <c r="C279" t="s">
        <v>108</v>
      </c>
      <c r="D279">
        <v>46392</v>
      </c>
      <c r="E279" t="s">
        <v>107</v>
      </c>
      <c r="F279" t="s">
        <v>110</v>
      </c>
      <c r="G279">
        <v>20</v>
      </c>
      <c r="H279">
        <v>7.9260000000000002</v>
      </c>
      <c r="I279">
        <v>0.36199999999999999</v>
      </c>
      <c r="J279" t="s">
        <v>70</v>
      </c>
      <c r="K279">
        <v>4172</v>
      </c>
      <c r="L279">
        <v>47.5077</v>
      </c>
      <c r="M279">
        <v>-0.74131999999999998</v>
      </c>
      <c r="N279">
        <f>INDEX(jkm!$H:$H,MATCH(J279,jkm!$J:$J,0),1)</f>
        <v>12.863</v>
      </c>
      <c r="O279" s="3">
        <f t="shared" ca="1" si="22"/>
        <v>392</v>
      </c>
      <c r="P279" s="3">
        <f t="shared" ca="1" si="23"/>
        <v>1.0739726027397261</v>
      </c>
      <c r="Q279" t="str" cm="1">
        <f t="array" ref="Q279:S279">_xlfn.TEXTSPLIT(J279,"/")</f>
        <v>4</v>
      </c>
      <c r="R279" s="1" t="str">
        <v>15</v>
      </c>
      <c r="S279" t="str">
        <v>2027</v>
      </c>
      <c r="T279" s="1">
        <f t="shared" si="24"/>
        <v>46492</v>
      </c>
      <c r="U279" s="19">
        <f t="shared" si="25"/>
        <v>3.6899999999999977</v>
      </c>
      <c r="V279" s="17">
        <f ca="1">(LN(N279/G279)+(L279/100)^2*P279/2)/(L279/100*SQRT(P279))</f>
        <v>-0.65033068798520111</v>
      </c>
      <c r="W279" s="17">
        <f ca="1">V279-L279/100*SQRT(P279)</f>
        <v>-1.1426655699066679</v>
      </c>
      <c r="X279" s="17">
        <f ca="1">(LN(N279/G279)+P279*(U279/100+(L279/100)^2/2))/((L279/100*SQRT(P279)))</f>
        <v>-0.56983753079424426</v>
      </c>
      <c r="Y279" s="17">
        <f ca="1">X279-N279/100*SQRT(R279)</f>
        <v>-1.0680193786169043</v>
      </c>
      <c r="Z279" s="20">
        <f ca="1">EXP(-P279)/(N279*L279/100*SQRT(P279))*_xlfn.NORM.S.DIST(X279,FALSE)</f>
        <v>1.8296831520643535E-2</v>
      </c>
      <c r="AA279" s="17">
        <f t="shared" ca="1" si="21"/>
        <v>1.5446057109409175E-2</v>
      </c>
      <c r="AB279" s="17"/>
      <c r="AC279" s="17"/>
      <c r="AD279" s="17"/>
    </row>
    <row r="280" spans="1:30" x14ac:dyDescent="0.25">
      <c r="A280" t="s">
        <v>106</v>
      </c>
      <c r="B280" t="s">
        <v>107</v>
      </c>
      <c r="C280" t="s">
        <v>108</v>
      </c>
      <c r="D280">
        <v>46393</v>
      </c>
      <c r="E280" t="s">
        <v>107</v>
      </c>
      <c r="F280" t="s">
        <v>109</v>
      </c>
      <c r="G280">
        <v>5</v>
      </c>
      <c r="H280">
        <v>7.5830000000000002</v>
      </c>
      <c r="I280">
        <v>0.28499999999999998</v>
      </c>
      <c r="J280" t="s">
        <v>71</v>
      </c>
      <c r="K280">
        <v>4172</v>
      </c>
      <c r="L280">
        <v>48.261899999999997</v>
      </c>
      <c r="M280">
        <v>0.97865000000000002</v>
      </c>
      <c r="N280">
        <f>INDEX(jkm!$H:$H,MATCH(J280,jkm!$J:$J,0),1)</f>
        <v>12.521000000000001</v>
      </c>
      <c r="O280" s="3">
        <f t="shared" ca="1" si="22"/>
        <v>421</v>
      </c>
      <c r="P280" s="3">
        <f t="shared" ca="1" si="23"/>
        <v>1.1534246575342466</v>
      </c>
      <c r="Q280" t="str" cm="1">
        <f t="array" ref="Q280:S280">_xlfn.TEXTSPLIT(J280,"/")</f>
        <v>5</v>
      </c>
      <c r="R280" s="1" t="str">
        <v>14</v>
      </c>
      <c r="S280" t="str">
        <v>2027</v>
      </c>
      <c r="T280" s="1">
        <f t="shared" si="24"/>
        <v>46521</v>
      </c>
      <c r="U280" s="19">
        <f t="shared" si="25"/>
        <v>3.6899999999999977</v>
      </c>
      <c r="V280" s="17">
        <f ca="1">(LN(N280/G280)+(L280/100)^2*P280/2)/(L280/100*SQRT(P280))</f>
        <v>2.030203760646728</v>
      </c>
      <c r="W280" s="17">
        <f ca="1">V280-L280/100*SQRT(P280)</f>
        <v>1.5118824905523236</v>
      </c>
      <c r="X280" s="17">
        <f ca="1">(LN(N280/G280)+P280*(U280/100+(L280/100)^2/2))/((L280/100*SQRT(P280)))</f>
        <v>2.1123176392750578</v>
      </c>
      <c r="Y280" s="17">
        <f ca="1">X280-N280/100*SQRT(R280)</f>
        <v>1.6438247178770924</v>
      </c>
      <c r="Z280" s="20">
        <f ca="1">EXP(-P280)/(N280*L280/100*SQRT(P280))*_xlfn.NORM.S.DIST(X280,FALSE)</f>
        <v>2.0838183696150008E-3</v>
      </c>
      <c r="AA280" s="17">
        <f t="shared" ca="1" si="21"/>
        <v>1.8185763548727884E-3</v>
      </c>
      <c r="AB280" s="17"/>
      <c r="AC280" s="17"/>
      <c r="AD280" s="17"/>
    </row>
    <row r="281" spans="1:30" x14ac:dyDescent="0.25">
      <c r="A281" t="s">
        <v>106</v>
      </c>
      <c r="B281" t="s">
        <v>107</v>
      </c>
      <c r="C281" t="s">
        <v>108</v>
      </c>
      <c r="D281">
        <v>46393</v>
      </c>
      <c r="E281" t="s">
        <v>107</v>
      </c>
      <c r="F281" t="s">
        <v>109</v>
      </c>
      <c r="G281">
        <v>8</v>
      </c>
      <c r="H281">
        <v>5.0640000000000001</v>
      </c>
      <c r="I281">
        <v>0.57099999999999995</v>
      </c>
      <c r="J281" t="s">
        <v>71</v>
      </c>
      <c r="K281">
        <v>4172</v>
      </c>
      <c r="L281">
        <v>48.079799999999999</v>
      </c>
      <c r="M281">
        <v>0.86955000000000005</v>
      </c>
      <c r="N281">
        <f>INDEX(jkm!$H:$H,MATCH(J281,jkm!$J:$J,0),1)</f>
        <v>12.521000000000001</v>
      </c>
      <c r="O281" s="3">
        <f t="shared" ca="1" si="22"/>
        <v>421</v>
      </c>
      <c r="P281" s="3">
        <f t="shared" ca="1" si="23"/>
        <v>1.1534246575342466</v>
      </c>
      <c r="Q281" t="str" cm="1">
        <f t="array" ref="Q281:S281">_xlfn.TEXTSPLIT(J281,"/")</f>
        <v>5</v>
      </c>
      <c r="R281" s="1" t="str">
        <v>14</v>
      </c>
      <c r="S281" t="str">
        <v>2027</v>
      </c>
      <c r="T281" s="1">
        <f t="shared" si="24"/>
        <v>46521</v>
      </c>
      <c r="U281" s="19">
        <f t="shared" si="25"/>
        <v>3.6899999999999977</v>
      </c>
      <c r="V281" s="17">
        <f ca="1">(LN(N281/G281)+(L281/100)^2*P281/2)/(L281/100*SQRT(P281))</f>
        <v>1.1257187427736703</v>
      </c>
      <c r="W281" s="17">
        <f ca="1">V281-L281/100*SQRT(P281)</f>
        <v>0.60935318315241727</v>
      </c>
      <c r="X281" s="17">
        <f ca="1">(LN(N281/G281)+P281*(U281/100+(L281/100)^2/2))/((L281/100*SQRT(P281)))</f>
        <v>1.2081436238874141</v>
      </c>
      <c r="Y281" s="17">
        <f ca="1">X281-N281/100*SQRT(R281)</f>
        <v>0.73965070248944886</v>
      </c>
      <c r="Z281" s="20">
        <f ca="1">EXP(-P281)/(N281*L281/100*SQRT(P281))*_xlfn.NORM.S.DIST(X281,FALSE)</f>
        <v>9.3850656107798414E-3</v>
      </c>
      <c r="AA281" s="17">
        <f t="shared" ca="1" si="21"/>
        <v>8.1595691637491984E-3</v>
      </c>
      <c r="AB281" s="17"/>
      <c r="AC281" s="17"/>
      <c r="AD281" s="17"/>
    </row>
    <row r="282" spans="1:30" x14ac:dyDescent="0.25">
      <c r="A282" t="s">
        <v>106</v>
      </c>
      <c r="B282" t="s">
        <v>107</v>
      </c>
      <c r="C282" t="s">
        <v>108</v>
      </c>
      <c r="D282">
        <v>46393</v>
      </c>
      <c r="E282" t="s">
        <v>107</v>
      </c>
      <c r="F282" t="s">
        <v>109</v>
      </c>
      <c r="G282">
        <v>10</v>
      </c>
      <c r="H282">
        <v>3.762</v>
      </c>
      <c r="I282">
        <v>0.77900000000000003</v>
      </c>
      <c r="J282" t="s">
        <v>71</v>
      </c>
      <c r="K282">
        <v>4172</v>
      </c>
      <c r="L282">
        <v>47.934199999999997</v>
      </c>
      <c r="M282">
        <v>0.75605999999999995</v>
      </c>
      <c r="N282">
        <f>INDEX(jkm!$H:$H,MATCH(J282,jkm!$J:$J,0),1)</f>
        <v>12.521000000000001</v>
      </c>
      <c r="O282" s="3">
        <f t="shared" ca="1" si="22"/>
        <v>421</v>
      </c>
      <c r="P282" s="3">
        <f t="shared" ca="1" si="23"/>
        <v>1.1534246575342466</v>
      </c>
      <c r="Q282" t="str" cm="1">
        <f t="array" ref="Q282:S282">_xlfn.TEXTSPLIT(J282,"/")</f>
        <v>5</v>
      </c>
      <c r="R282" s="1" t="str">
        <v>14</v>
      </c>
      <c r="S282" t="str">
        <v>2027</v>
      </c>
      <c r="T282" s="1">
        <f t="shared" si="24"/>
        <v>46521</v>
      </c>
      <c r="U282" s="19">
        <f t="shared" si="25"/>
        <v>3.6899999999999977</v>
      </c>
      <c r="V282" s="17">
        <f ca="1">(LN(N282/G282)+(L282/100)^2*P282/2)/(L282/100*SQRT(P282))</f>
        <v>0.6941168024134271</v>
      </c>
      <c r="W282" s="17">
        <f ca="1">V282-L282/100*SQRT(P282)</f>
        <v>0.17931495198981751</v>
      </c>
      <c r="X282" s="17">
        <f ca="1">(LN(N282/G282)+P282*(U282/100+(L282/100)^2/2))/((L282/100*SQRT(P282)))</f>
        <v>0.77679204887571462</v>
      </c>
      <c r="Y282" s="17">
        <f ca="1">X282-N282/100*SQRT(R282)</f>
        <v>0.30829912747774935</v>
      </c>
      <c r="Z282" s="20">
        <f ca="1">EXP(-P282)/(N282*L282/100*SQRT(P282))*_xlfn.NORM.S.DIST(X282,FALSE)</f>
        <v>1.4443653569986909E-2</v>
      </c>
      <c r="AA282" s="17">
        <f t="shared" ca="1" si="21"/>
        <v>1.2519581434872069E-2</v>
      </c>
      <c r="AB282" s="17"/>
      <c r="AC282" s="17"/>
      <c r="AD282" s="17"/>
    </row>
    <row r="283" spans="1:30" x14ac:dyDescent="0.25">
      <c r="A283" t="s">
        <v>106</v>
      </c>
      <c r="B283" t="s">
        <v>107</v>
      </c>
      <c r="C283" t="s">
        <v>108</v>
      </c>
      <c r="D283">
        <v>46393</v>
      </c>
      <c r="E283" t="s">
        <v>107</v>
      </c>
      <c r="F283" t="s">
        <v>109</v>
      </c>
      <c r="G283">
        <v>10.5</v>
      </c>
      <c r="H283">
        <v>3.484</v>
      </c>
      <c r="I283">
        <v>0.81699999999999995</v>
      </c>
      <c r="J283" t="s">
        <v>71</v>
      </c>
      <c r="K283">
        <v>4172</v>
      </c>
      <c r="L283">
        <v>47.902299999999997</v>
      </c>
      <c r="M283">
        <v>0.72548000000000001</v>
      </c>
      <c r="N283">
        <f>INDEX(jkm!$H:$H,MATCH(J283,jkm!$J:$J,0),1)</f>
        <v>12.521000000000001</v>
      </c>
      <c r="O283" s="3">
        <f t="shared" ca="1" si="22"/>
        <v>421</v>
      </c>
      <c r="P283" s="3">
        <f t="shared" ca="1" si="23"/>
        <v>1.1534246575342466</v>
      </c>
      <c r="Q283" t="str" cm="1">
        <f t="array" ref="Q283:S283">_xlfn.TEXTSPLIT(J283,"/")</f>
        <v>5</v>
      </c>
      <c r="R283" s="1" t="str">
        <v>14</v>
      </c>
      <c r="S283" t="str">
        <v>2027</v>
      </c>
      <c r="T283" s="1">
        <f t="shared" si="24"/>
        <v>46521</v>
      </c>
      <c r="U283" s="19">
        <f t="shared" si="25"/>
        <v>3.6899999999999977</v>
      </c>
      <c r="V283" s="17">
        <f ca="1">(LN(N283/G283)+(L283/100)^2*P283/2)/(L283/100*SQRT(P283))</f>
        <v>0.59939856714522988</v>
      </c>
      <c r="W283" s="17">
        <f ca="1">V283-L283/100*SQRT(P283)</f>
        <v>8.4939315096653423E-2</v>
      </c>
      <c r="X283" s="17">
        <f ca="1">(LN(N283/G283)+P283*(U283/100+(L283/100)^2/2))/((L283/100*SQRT(P283)))</f>
        <v>0.68212887026162683</v>
      </c>
      <c r="Y283" s="17">
        <f ca="1">X283-N283/100*SQRT(R283)</f>
        <v>0.21363594886366155</v>
      </c>
      <c r="Z283" s="20">
        <f ca="1">EXP(-P283)/(N283*L283/100*SQRT(P283))*_xlfn.NORM.S.DIST(X283,FALSE)</f>
        <v>1.5486580608004485E-2</v>
      </c>
      <c r="AA283" s="17">
        <f t="shared" ca="1" si="21"/>
        <v>1.3414644444055403E-2</v>
      </c>
      <c r="AB283" s="17"/>
      <c r="AC283" s="17"/>
      <c r="AD283" s="17"/>
    </row>
    <row r="284" spans="1:30" x14ac:dyDescent="0.25">
      <c r="A284" t="s">
        <v>106</v>
      </c>
      <c r="B284" t="s">
        <v>107</v>
      </c>
      <c r="C284" t="s">
        <v>108</v>
      </c>
      <c r="D284">
        <v>46393</v>
      </c>
      <c r="E284" t="s">
        <v>107</v>
      </c>
      <c r="F284" t="s">
        <v>109</v>
      </c>
      <c r="G284">
        <v>11</v>
      </c>
      <c r="H284">
        <v>3.2250000000000001</v>
      </c>
      <c r="I284">
        <v>0.84799999999999998</v>
      </c>
      <c r="J284" t="s">
        <v>71</v>
      </c>
      <c r="K284">
        <v>4172</v>
      </c>
      <c r="L284">
        <v>47.871899999999997</v>
      </c>
      <c r="M284">
        <v>0.69462000000000002</v>
      </c>
      <c r="N284">
        <f>INDEX(jkm!$H:$H,MATCH(J284,jkm!$J:$J,0),1)</f>
        <v>12.521000000000001</v>
      </c>
      <c r="O284" s="3">
        <f t="shared" ca="1" si="22"/>
        <v>421</v>
      </c>
      <c r="P284" s="3">
        <f t="shared" ca="1" si="23"/>
        <v>1.1534246575342466</v>
      </c>
      <c r="Q284" t="str" cm="1">
        <f t="array" ref="Q284:S284">_xlfn.TEXTSPLIT(J284,"/")</f>
        <v>5</v>
      </c>
      <c r="R284" s="1" t="str">
        <v>14</v>
      </c>
      <c r="S284" t="str">
        <v>2027</v>
      </c>
      <c r="T284" s="1">
        <f t="shared" si="24"/>
        <v>46521</v>
      </c>
      <c r="U284" s="19">
        <f t="shared" si="25"/>
        <v>3.6899999999999977</v>
      </c>
      <c r="V284" s="17">
        <f ca="1">(LN(N284/G284)+(L284/100)^2*P284/2)/(L284/100*SQRT(P284))</f>
        <v>0.50897011378571388</v>
      </c>
      <c r="W284" s="17">
        <f ca="1">V284-L284/100*SQRT(P284)</f>
        <v>-5.1626495292886876E-3</v>
      </c>
      <c r="X284" s="17">
        <f ca="1">(LN(N284/G284)+P284*(U284/100+(L284/100)^2/2))/((L284/100*SQRT(P284)))</f>
        <v>0.59175295296637298</v>
      </c>
      <c r="Y284" s="17">
        <f ca="1">X284-N284/100*SQRT(R284)</f>
        <v>0.1232600315684077</v>
      </c>
      <c r="Z284" s="20">
        <f ca="1">EXP(-P284)/(N284*L284/100*SQRT(P284))*_xlfn.NORM.S.DIST(X284,FALSE)</f>
        <v>1.6414626996716614E-2</v>
      </c>
      <c r="AA284" s="17">
        <f t="shared" ca="1" si="21"/>
        <v>1.4209504878379509E-2</v>
      </c>
      <c r="AB284" s="17"/>
      <c r="AC284" s="17"/>
      <c r="AD284" s="17"/>
    </row>
    <row r="285" spans="1:30" x14ac:dyDescent="0.25">
      <c r="A285" t="s">
        <v>106</v>
      </c>
      <c r="B285" t="s">
        <v>107</v>
      </c>
      <c r="C285" t="s">
        <v>108</v>
      </c>
      <c r="D285">
        <v>46393</v>
      </c>
      <c r="E285" t="s">
        <v>107</v>
      </c>
      <c r="F285" t="s">
        <v>109</v>
      </c>
      <c r="G285">
        <v>15</v>
      </c>
      <c r="H285">
        <v>1.718</v>
      </c>
      <c r="I285">
        <v>0.85299999999999998</v>
      </c>
      <c r="J285" t="s">
        <v>71</v>
      </c>
      <c r="K285">
        <v>4172</v>
      </c>
      <c r="L285">
        <v>47.743400000000001</v>
      </c>
      <c r="M285">
        <v>0.46235999999999999</v>
      </c>
      <c r="N285">
        <f>INDEX(jkm!$H:$H,MATCH(J285,jkm!$J:$J,0),1)</f>
        <v>12.521000000000001</v>
      </c>
      <c r="O285" s="3">
        <f t="shared" ca="1" si="22"/>
        <v>421</v>
      </c>
      <c r="P285" s="3">
        <f t="shared" ca="1" si="23"/>
        <v>1.1534246575342466</v>
      </c>
      <c r="Q285" t="str" cm="1">
        <f t="array" ref="Q285:S285">_xlfn.TEXTSPLIT(J285,"/")</f>
        <v>5</v>
      </c>
      <c r="R285" s="1" t="str">
        <v>14</v>
      </c>
      <c r="S285" t="str">
        <v>2027</v>
      </c>
      <c r="T285" s="1">
        <f t="shared" si="24"/>
        <v>46521</v>
      </c>
      <c r="U285" s="19">
        <f t="shared" si="25"/>
        <v>3.6899999999999977</v>
      </c>
      <c r="V285" s="17">
        <f ca="1">(LN(N285/G285)+(L285/100)^2*P285/2)/(L285/100*SQRT(P285))</f>
        <v>-9.5924016165668952E-2</v>
      </c>
      <c r="W285" s="17">
        <f ca="1">V285-L285/100*SQRT(P285)</f>
        <v>-0.60867672019566355</v>
      </c>
      <c r="X285" s="17">
        <f ca="1">(LN(N285/G285)+P285*(U285/100+(L285/100)^2/2))/((L285/100*SQRT(P285)))</f>
        <v>-1.2918369333382418E-2</v>
      </c>
      <c r="Y285" s="17">
        <f ca="1">X285-N285/100*SQRT(R285)</f>
        <v>-0.4814112907313477</v>
      </c>
      <c r="Z285" s="20">
        <f ca="1">EXP(-P285)/(N285*L285/100*SQRT(P285))*_xlfn.NORM.S.DIST(X285,FALSE)</f>
        <v>1.9606536781272787E-2</v>
      </c>
      <c r="AA285" s="17">
        <f t="shared" ca="1" si="21"/>
        <v>1.6927058476992118E-2</v>
      </c>
      <c r="AB285" s="17"/>
      <c r="AC285" s="17"/>
      <c r="AD285" s="17"/>
    </row>
    <row r="286" spans="1:30" x14ac:dyDescent="0.25">
      <c r="A286" t="s">
        <v>106</v>
      </c>
      <c r="B286" t="s">
        <v>107</v>
      </c>
      <c r="C286" t="s">
        <v>108</v>
      </c>
      <c r="D286">
        <v>46393</v>
      </c>
      <c r="E286" t="s">
        <v>107</v>
      </c>
      <c r="F286" t="s">
        <v>109</v>
      </c>
      <c r="G286">
        <v>20</v>
      </c>
      <c r="H286">
        <v>0.78300000000000003</v>
      </c>
      <c r="I286">
        <v>0.56499999999999995</v>
      </c>
      <c r="J286" t="s">
        <v>71</v>
      </c>
      <c r="K286">
        <v>4172</v>
      </c>
      <c r="L286">
        <v>47.7181</v>
      </c>
      <c r="M286">
        <v>0.25629000000000002</v>
      </c>
      <c r="N286">
        <f>INDEX(jkm!$H:$H,MATCH(J286,jkm!$J:$J,0),1)</f>
        <v>12.521000000000001</v>
      </c>
      <c r="O286" s="3">
        <f t="shared" ca="1" si="22"/>
        <v>421</v>
      </c>
      <c r="P286" s="3">
        <f t="shared" ca="1" si="23"/>
        <v>1.1534246575342466</v>
      </c>
      <c r="Q286" t="str" cm="1">
        <f t="array" ref="Q286:S286">_xlfn.TEXTSPLIT(J286,"/")</f>
        <v>5</v>
      </c>
      <c r="R286" s="1" t="str">
        <v>14</v>
      </c>
      <c r="S286" t="str">
        <v>2027</v>
      </c>
      <c r="T286" s="1">
        <f t="shared" si="24"/>
        <v>46521</v>
      </c>
      <c r="U286" s="19">
        <f t="shared" si="25"/>
        <v>3.6899999999999977</v>
      </c>
      <c r="V286" s="17">
        <f ca="1">(LN(N286/G286)+(L286/100)^2*P286/2)/(L286/100*SQRT(P286))</f>
        <v>-0.65759836001157002</v>
      </c>
      <c r="W286" s="17">
        <f ca="1">V286-L286/100*SQRT(P286)</f>
        <v>-1.1700793480889522</v>
      </c>
      <c r="X286" s="17">
        <f ca="1">(LN(N286/G286)+P286*(U286/100+(L286/100)^2/2))/((L286/100*SQRT(P286)))</f>
        <v>-0.57454870382298351</v>
      </c>
      <c r="Y286" s="17">
        <f ca="1">X286-N286/100*SQRT(R286)</f>
        <v>-1.0430416252209489</v>
      </c>
      <c r="Z286" s="20">
        <f ca="1">EXP(-P286)/(N286*L286/100*SQRT(P286))*_xlfn.NORM.S.DIST(X286,FALSE)</f>
        <v>1.6633577812308262E-2</v>
      </c>
      <c r="AA286" s="17">
        <f t="shared" ca="1" si="21"/>
        <v>1.4352781705021512E-2</v>
      </c>
      <c r="AB286" s="17"/>
      <c r="AC286" s="17"/>
      <c r="AD286" s="17"/>
    </row>
    <row r="287" spans="1:30" x14ac:dyDescent="0.25">
      <c r="A287" t="s">
        <v>106</v>
      </c>
      <c r="B287" t="s">
        <v>107</v>
      </c>
      <c r="C287" t="s">
        <v>108</v>
      </c>
      <c r="D287">
        <v>46393</v>
      </c>
      <c r="E287" t="s">
        <v>107</v>
      </c>
      <c r="F287" t="s">
        <v>110</v>
      </c>
      <c r="G287">
        <v>5</v>
      </c>
      <c r="H287">
        <v>6.2E-2</v>
      </c>
      <c r="I287">
        <v>5.6000000000000001E-2</v>
      </c>
      <c r="J287" t="s">
        <v>71</v>
      </c>
      <c r="K287">
        <v>4172</v>
      </c>
      <c r="L287">
        <v>48.261899999999997</v>
      </c>
      <c r="M287">
        <v>-2.1350000000000001E-2</v>
      </c>
      <c r="N287">
        <f>INDEX(jkm!$H:$H,MATCH(J287,jkm!$J:$J,0),1)</f>
        <v>12.521000000000001</v>
      </c>
      <c r="O287" s="3">
        <f t="shared" ca="1" si="22"/>
        <v>421</v>
      </c>
      <c r="P287" s="3">
        <f t="shared" ca="1" si="23"/>
        <v>1.1534246575342466</v>
      </c>
      <c r="Q287" t="str" cm="1">
        <f t="array" ref="Q287:S287">_xlfn.TEXTSPLIT(J287,"/")</f>
        <v>5</v>
      </c>
      <c r="R287" s="1" t="str">
        <v>14</v>
      </c>
      <c r="S287" t="str">
        <v>2027</v>
      </c>
      <c r="T287" s="1">
        <f t="shared" si="24"/>
        <v>46521</v>
      </c>
      <c r="U287" s="19">
        <f t="shared" si="25"/>
        <v>3.6899999999999977</v>
      </c>
      <c r="V287" s="17">
        <f ca="1">(LN(N287/G287)+(L287/100)^2*P287/2)/(L287/100*SQRT(P287))</f>
        <v>2.030203760646728</v>
      </c>
      <c r="W287" s="17">
        <f ca="1">V287-L287/100*SQRT(P287)</f>
        <v>1.5118824905523236</v>
      </c>
      <c r="X287" s="17">
        <f ca="1">(LN(N287/G287)+P287*(U287/100+(L287/100)^2/2))/((L287/100*SQRT(P287)))</f>
        <v>2.1123176392750578</v>
      </c>
      <c r="Y287" s="17">
        <f ca="1">X287-N287/100*SQRT(R287)</f>
        <v>1.6438247178770924</v>
      </c>
      <c r="Z287" s="20">
        <f ca="1">EXP(-P287)/(N287*L287/100*SQRT(P287))*_xlfn.NORM.S.DIST(X287,FALSE)</f>
        <v>2.0838183696150008E-3</v>
      </c>
      <c r="AA287" s="17">
        <f t="shared" ca="1" si="21"/>
        <v>1.8185763548727884E-3</v>
      </c>
      <c r="AB287" s="17"/>
      <c r="AC287" s="17"/>
      <c r="AD287" s="17"/>
    </row>
    <row r="288" spans="1:30" x14ac:dyDescent="0.25">
      <c r="A288" t="s">
        <v>106</v>
      </c>
      <c r="B288" t="s">
        <v>107</v>
      </c>
      <c r="C288" t="s">
        <v>108</v>
      </c>
      <c r="D288">
        <v>46393</v>
      </c>
      <c r="E288" t="s">
        <v>107</v>
      </c>
      <c r="F288" t="s">
        <v>110</v>
      </c>
      <c r="G288">
        <v>8</v>
      </c>
      <c r="H288">
        <v>0.54300000000000004</v>
      </c>
      <c r="I288">
        <v>0.34200000000000003</v>
      </c>
      <c r="J288" t="s">
        <v>71</v>
      </c>
      <c r="K288">
        <v>4172</v>
      </c>
      <c r="L288">
        <v>48.079799999999999</v>
      </c>
      <c r="M288">
        <v>-0.13045000000000001</v>
      </c>
      <c r="N288">
        <f>INDEX(jkm!$H:$H,MATCH(J288,jkm!$J:$J,0),1)</f>
        <v>12.521000000000001</v>
      </c>
      <c r="O288" s="3">
        <f t="shared" ca="1" si="22"/>
        <v>421</v>
      </c>
      <c r="P288" s="3">
        <f t="shared" ca="1" si="23"/>
        <v>1.1534246575342466</v>
      </c>
      <c r="Q288" t="str" cm="1">
        <f t="array" ref="Q288:S288">_xlfn.TEXTSPLIT(J288,"/")</f>
        <v>5</v>
      </c>
      <c r="R288" s="1" t="str">
        <v>14</v>
      </c>
      <c r="S288" t="str">
        <v>2027</v>
      </c>
      <c r="T288" s="1">
        <f t="shared" si="24"/>
        <v>46521</v>
      </c>
      <c r="U288" s="19">
        <f t="shared" si="25"/>
        <v>3.6899999999999977</v>
      </c>
      <c r="V288" s="17">
        <f ca="1">(LN(N288/G288)+(L288/100)^2*P288/2)/(L288/100*SQRT(P288))</f>
        <v>1.1257187427736703</v>
      </c>
      <c r="W288" s="17">
        <f ca="1">V288-L288/100*SQRT(P288)</f>
        <v>0.60935318315241727</v>
      </c>
      <c r="X288" s="17">
        <f ca="1">(LN(N288/G288)+P288*(U288/100+(L288/100)^2/2))/((L288/100*SQRT(P288)))</f>
        <v>1.2081436238874141</v>
      </c>
      <c r="Y288" s="17">
        <f ca="1">X288-N288/100*SQRT(R288)</f>
        <v>0.73965070248944886</v>
      </c>
      <c r="Z288" s="20">
        <f ca="1">EXP(-P288)/(N288*L288/100*SQRT(P288))*_xlfn.NORM.S.DIST(X288,FALSE)</f>
        <v>9.3850656107798414E-3</v>
      </c>
      <c r="AA288" s="17">
        <f t="shared" ca="1" si="21"/>
        <v>8.1595691637491984E-3</v>
      </c>
      <c r="AB288" s="17"/>
      <c r="AC288" s="17"/>
      <c r="AD288" s="17"/>
    </row>
    <row r="289" spans="1:30" x14ac:dyDescent="0.25">
      <c r="A289" t="s">
        <v>106</v>
      </c>
      <c r="B289" t="s">
        <v>107</v>
      </c>
      <c r="C289" t="s">
        <v>108</v>
      </c>
      <c r="D289">
        <v>46393</v>
      </c>
      <c r="E289" t="s">
        <v>107</v>
      </c>
      <c r="F289" t="s">
        <v>110</v>
      </c>
      <c r="G289">
        <v>10</v>
      </c>
      <c r="H289">
        <v>1.2410000000000001</v>
      </c>
      <c r="I289">
        <v>0.55000000000000004</v>
      </c>
      <c r="J289" t="s">
        <v>71</v>
      </c>
      <c r="K289">
        <v>4172</v>
      </c>
      <c r="L289">
        <v>47.934199999999997</v>
      </c>
      <c r="M289">
        <v>-0.24393999999999999</v>
      </c>
      <c r="N289">
        <f>INDEX(jkm!$H:$H,MATCH(J289,jkm!$J:$J,0),1)</f>
        <v>12.521000000000001</v>
      </c>
      <c r="O289" s="3">
        <f t="shared" ca="1" si="22"/>
        <v>421</v>
      </c>
      <c r="P289" s="3">
        <f t="shared" ca="1" si="23"/>
        <v>1.1534246575342466</v>
      </c>
      <c r="Q289" t="str" cm="1">
        <f t="array" ref="Q289:S289">_xlfn.TEXTSPLIT(J289,"/")</f>
        <v>5</v>
      </c>
      <c r="R289" s="1" t="str">
        <v>14</v>
      </c>
      <c r="S289" t="str">
        <v>2027</v>
      </c>
      <c r="T289" s="1">
        <f t="shared" si="24"/>
        <v>46521</v>
      </c>
      <c r="U289" s="19">
        <f t="shared" si="25"/>
        <v>3.6899999999999977</v>
      </c>
      <c r="V289" s="17">
        <f ca="1">(LN(N289/G289)+(L289/100)^2*P289/2)/(L289/100*SQRT(P289))</f>
        <v>0.6941168024134271</v>
      </c>
      <c r="W289" s="17">
        <f ca="1">V289-L289/100*SQRT(P289)</f>
        <v>0.17931495198981751</v>
      </c>
      <c r="X289" s="17">
        <f ca="1">(LN(N289/G289)+P289*(U289/100+(L289/100)^2/2))/((L289/100*SQRT(P289)))</f>
        <v>0.77679204887571462</v>
      </c>
      <c r="Y289" s="17">
        <f ca="1">X289-N289/100*SQRT(R289)</f>
        <v>0.30829912747774935</v>
      </c>
      <c r="Z289" s="20">
        <f ca="1">EXP(-P289)/(N289*L289/100*SQRT(P289))*_xlfn.NORM.S.DIST(X289,FALSE)</f>
        <v>1.4443653569986909E-2</v>
      </c>
      <c r="AA289" s="17">
        <f t="shared" ca="1" si="21"/>
        <v>1.2519581434872069E-2</v>
      </c>
      <c r="AB289" s="17"/>
      <c r="AC289" s="17"/>
      <c r="AD289" s="17"/>
    </row>
    <row r="290" spans="1:30" x14ac:dyDescent="0.25">
      <c r="A290" t="s">
        <v>106</v>
      </c>
      <c r="B290" t="s">
        <v>107</v>
      </c>
      <c r="C290" t="s">
        <v>108</v>
      </c>
      <c r="D290">
        <v>46393</v>
      </c>
      <c r="E290" t="s">
        <v>107</v>
      </c>
      <c r="F290" t="s">
        <v>110</v>
      </c>
      <c r="G290">
        <v>10.5</v>
      </c>
      <c r="H290">
        <v>1.4630000000000001</v>
      </c>
      <c r="I290">
        <v>0.58799999999999997</v>
      </c>
      <c r="J290" t="s">
        <v>71</v>
      </c>
      <c r="K290">
        <v>4172</v>
      </c>
      <c r="L290">
        <v>47.902299999999997</v>
      </c>
      <c r="M290">
        <v>-0.27451999999999999</v>
      </c>
      <c r="N290">
        <f>INDEX(jkm!$H:$H,MATCH(J290,jkm!$J:$J,0),1)</f>
        <v>12.521000000000001</v>
      </c>
      <c r="O290" s="3">
        <f t="shared" ca="1" si="22"/>
        <v>421</v>
      </c>
      <c r="P290" s="3">
        <f t="shared" ca="1" si="23"/>
        <v>1.1534246575342466</v>
      </c>
      <c r="Q290" t="str" cm="1">
        <f t="array" ref="Q290:S290">_xlfn.TEXTSPLIT(J290,"/")</f>
        <v>5</v>
      </c>
      <c r="R290" s="1" t="str">
        <v>14</v>
      </c>
      <c r="S290" t="str">
        <v>2027</v>
      </c>
      <c r="T290" s="1">
        <f t="shared" si="24"/>
        <v>46521</v>
      </c>
      <c r="U290" s="19">
        <f t="shared" si="25"/>
        <v>3.6899999999999977</v>
      </c>
      <c r="V290" s="17">
        <f ca="1">(LN(N290/G290)+(L290/100)^2*P290/2)/(L290/100*SQRT(P290))</f>
        <v>0.59939856714522988</v>
      </c>
      <c r="W290" s="17">
        <f ca="1">V290-L290/100*SQRT(P290)</f>
        <v>8.4939315096653423E-2</v>
      </c>
      <c r="X290" s="17">
        <f ca="1">(LN(N290/G290)+P290*(U290/100+(L290/100)^2/2))/((L290/100*SQRT(P290)))</f>
        <v>0.68212887026162683</v>
      </c>
      <c r="Y290" s="17">
        <f ca="1">X290-N290/100*SQRT(R290)</f>
        <v>0.21363594886366155</v>
      </c>
      <c r="Z290" s="20">
        <f ca="1">EXP(-P290)/(N290*L290/100*SQRT(P290))*_xlfn.NORM.S.DIST(X290,FALSE)</f>
        <v>1.5486580608004485E-2</v>
      </c>
      <c r="AA290" s="17">
        <f t="shared" ca="1" si="21"/>
        <v>1.3414644444055403E-2</v>
      </c>
      <c r="AB290" s="17"/>
      <c r="AC290" s="17"/>
      <c r="AD290" s="17"/>
    </row>
    <row r="291" spans="1:30" x14ac:dyDescent="0.25">
      <c r="A291" t="s">
        <v>106</v>
      </c>
      <c r="B291" t="s">
        <v>107</v>
      </c>
      <c r="C291" t="s">
        <v>108</v>
      </c>
      <c r="D291">
        <v>46393</v>
      </c>
      <c r="E291" t="s">
        <v>107</v>
      </c>
      <c r="F291" t="s">
        <v>110</v>
      </c>
      <c r="G291">
        <v>11</v>
      </c>
      <c r="H291">
        <v>1.704</v>
      </c>
      <c r="I291">
        <v>0.61899999999999999</v>
      </c>
      <c r="J291" t="s">
        <v>71</v>
      </c>
      <c r="K291">
        <v>4172</v>
      </c>
      <c r="L291">
        <v>47.871899999999997</v>
      </c>
      <c r="M291">
        <v>-0.30537999999999998</v>
      </c>
      <c r="N291">
        <f>INDEX(jkm!$H:$H,MATCH(J291,jkm!$J:$J,0),1)</f>
        <v>12.521000000000001</v>
      </c>
      <c r="O291" s="3">
        <f t="shared" ca="1" si="22"/>
        <v>421</v>
      </c>
      <c r="P291" s="3">
        <f t="shared" ca="1" si="23"/>
        <v>1.1534246575342466</v>
      </c>
      <c r="Q291" t="str" cm="1">
        <f t="array" ref="Q291:S291">_xlfn.TEXTSPLIT(J291,"/")</f>
        <v>5</v>
      </c>
      <c r="R291" s="1" t="str">
        <v>14</v>
      </c>
      <c r="S291" t="str">
        <v>2027</v>
      </c>
      <c r="T291" s="1">
        <f t="shared" si="24"/>
        <v>46521</v>
      </c>
      <c r="U291" s="19">
        <f t="shared" si="25"/>
        <v>3.6899999999999977</v>
      </c>
      <c r="V291" s="17">
        <f ca="1">(LN(N291/G291)+(L291/100)^2*P291/2)/(L291/100*SQRT(P291))</f>
        <v>0.50897011378571388</v>
      </c>
      <c r="W291" s="17">
        <f ca="1">V291-L291/100*SQRT(P291)</f>
        <v>-5.1626495292886876E-3</v>
      </c>
      <c r="X291" s="17">
        <f ca="1">(LN(N291/G291)+P291*(U291/100+(L291/100)^2/2))/((L291/100*SQRT(P291)))</f>
        <v>0.59175295296637298</v>
      </c>
      <c r="Y291" s="17">
        <f ca="1">X291-N291/100*SQRT(R291)</f>
        <v>0.1232600315684077</v>
      </c>
      <c r="Z291" s="20">
        <f ca="1">EXP(-P291)/(N291*L291/100*SQRT(P291))*_xlfn.NORM.S.DIST(X291,FALSE)</f>
        <v>1.6414626996716614E-2</v>
      </c>
      <c r="AA291" s="17">
        <f t="shared" ca="1" si="21"/>
        <v>1.4209504878379509E-2</v>
      </c>
      <c r="AB291" s="17"/>
      <c r="AC291" s="17"/>
      <c r="AD291" s="17"/>
    </row>
    <row r="292" spans="1:30" x14ac:dyDescent="0.25">
      <c r="A292" t="s">
        <v>106</v>
      </c>
      <c r="B292" t="s">
        <v>107</v>
      </c>
      <c r="C292" t="s">
        <v>108</v>
      </c>
      <c r="D292">
        <v>46393</v>
      </c>
      <c r="E292" t="s">
        <v>107</v>
      </c>
      <c r="F292" t="s">
        <v>110</v>
      </c>
      <c r="G292">
        <v>15</v>
      </c>
      <c r="H292">
        <v>4.1970000000000001</v>
      </c>
      <c r="I292">
        <v>0.624</v>
      </c>
      <c r="J292" t="s">
        <v>71</v>
      </c>
      <c r="K292">
        <v>4172</v>
      </c>
      <c r="L292">
        <v>47.743400000000001</v>
      </c>
      <c r="M292">
        <v>-0.53764000000000001</v>
      </c>
      <c r="N292">
        <f>INDEX(jkm!$H:$H,MATCH(J292,jkm!$J:$J,0),1)</f>
        <v>12.521000000000001</v>
      </c>
      <c r="O292" s="3">
        <f t="shared" ca="1" si="22"/>
        <v>421</v>
      </c>
      <c r="P292" s="3">
        <f t="shared" ca="1" si="23"/>
        <v>1.1534246575342466</v>
      </c>
      <c r="Q292" t="str" cm="1">
        <f t="array" ref="Q292:S292">_xlfn.TEXTSPLIT(J292,"/")</f>
        <v>5</v>
      </c>
      <c r="R292" s="1" t="str">
        <v>14</v>
      </c>
      <c r="S292" t="str">
        <v>2027</v>
      </c>
      <c r="T292" s="1">
        <f t="shared" si="24"/>
        <v>46521</v>
      </c>
      <c r="U292" s="19">
        <f t="shared" si="25"/>
        <v>3.6899999999999977</v>
      </c>
      <c r="V292" s="17">
        <f ca="1">(LN(N292/G292)+(L292/100)^2*P292/2)/(L292/100*SQRT(P292))</f>
        <v>-9.5924016165668952E-2</v>
      </c>
      <c r="W292" s="17">
        <f ca="1">V292-L292/100*SQRT(P292)</f>
        <v>-0.60867672019566355</v>
      </c>
      <c r="X292" s="17">
        <f ca="1">(LN(N292/G292)+P292*(U292/100+(L292/100)^2/2))/((L292/100*SQRT(P292)))</f>
        <v>-1.2918369333382418E-2</v>
      </c>
      <c r="Y292" s="17">
        <f ca="1">X292-N292/100*SQRT(R292)</f>
        <v>-0.4814112907313477</v>
      </c>
      <c r="Z292" s="20">
        <f ca="1">EXP(-P292)/(N292*L292/100*SQRT(P292))*_xlfn.NORM.S.DIST(X292,FALSE)</f>
        <v>1.9606536781272787E-2</v>
      </c>
      <c r="AA292" s="17">
        <f t="shared" ca="1" si="21"/>
        <v>1.6927058476992118E-2</v>
      </c>
      <c r="AB292" s="17"/>
      <c r="AC292" s="17"/>
      <c r="AD292" s="17"/>
    </row>
    <row r="293" spans="1:30" x14ac:dyDescent="0.25">
      <c r="A293" t="s">
        <v>106</v>
      </c>
      <c r="B293" t="s">
        <v>107</v>
      </c>
      <c r="C293" t="s">
        <v>108</v>
      </c>
      <c r="D293">
        <v>46393</v>
      </c>
      <c r="E293" t="s">
        <v>107</v>
      </c>
      <c r="F293" t="s">
        <v>110</v>
      </c>
      <c r="G293">
        <v>20</v>
      </c>
      <c r="H293">
        <v>8.2620000000000005</v>
      </c>
      <c r="I293">
        <v>0.33600000000000002</v>
      </c>
      <c r="J293" t="s">
        <v>71</v>
      </c>
      <c r="K293">
        <v>4172</v>
      </c>
      <c r="L293">
        <v>47.7181</v>
      </c>
      <c r="M293">
        <v>-0.74370999999999998</v>
      </c>
      <c r="N293">
        <f>INDEX(jkm!$H:$H,MATCH(J293,jkm!$J:$J,0),1)</f>
        <v>12.521000000000001</v>
      </c>
      <c r="O293" s="3">
        <f t="shared" ca="1" si="22"/>
        <v>421</v>
      </c>
      <c r="P293" s="3">
        <f t="shared" ca="1" si="23"/>
        <v>1.1534246575342466</v>
      </c>
      <c r="Q293" t="str" cm="1">
        <f t="array" ref="Q293:S293">_xlfn.TEXTSPLIT(J293,"/")</f>
        <v>5</v>
      </c>
      <c r="R293" s="1" t="str">
        <v>14</v>
      </c>
      <c r="S293" t="str">
        <v>2027</v>
      </c>
      <c r="T293" s="1">
        <f t="shared" si="24"/>
        <v>46521</v>
      </c>
      <c r="U293" s="19">
        <f t="shared" si="25"/>
        <v>3.6899999999999977</v>
      </c>
      <c r="V293" s="17">
        <f ca="1">(LN(N293/G293)+(L293/100)^2*P293/2)/(L293/100*SQRT(P293))</f>
        <v>-0.65759836001157002</v>
      </c>
      <c r="W293" s="17">
        <f ca="1">V293-L293/100*SQRT(P293)</f>
        <v>-1.1700793480889522</v>
      </c>
      <c r="X293" s="17">
        <f ca="1">(LN(N293/G293)+P293*(U293/100+(L293/100)^2/2))/((L293/100*SQRT(P293)))</f>
        <v>-0.57454870382298351</v>
      </c>
      <c r="Y293" s="17">
        <f ca="1">X293-N293/100*SQRT(R293)</f>
        <v>-1.0430416252209489</v>
      </c>
      <c r="Z293" s="20">
        <f ca="1">EXP(-P293)/(N293*L293/100*SQRT(P293))*_xlfn.NORM.S.DIST(X293,FALSE)</f>
        <v>1.6633577812308262E-2</v>
      </c>
      <c r="AA293" s="17">
        <f t="shared" ca="1" si="21"/>
        <v>1.4352781705021512E-2</v>
      </c>
      <c r="AB293" s="17"/>
      <c r="AC293" s="17"/>
      <c r="AD293" s="17"/>
    </row>
    <row r="294" spans="1:30" x14ac:dyDescent="0.25">
      <c r="A294" t="s">
        <v>106</v>
      </c>
      <c r="B294" t="s">
        <v>107</v>
      </c>
      <c r="C294" t="s">
        <v>108</v>
      </c>
      <c r="D294">
        <v>46394</v>
      </c>
      <c r="E294" t="s">
        <v>107</v>
      </c>
      <c r="F294" t="s">
        <v>109</v>
      </c>
      <c r="G294">
        <v>5</v>
      </c>
      <c r="H294">
        <v>7.5730000000000004</v>
      </c>
      <c r="I294">
        <v>0.32300000000000001</v>
      </c>
      <c r="J294" t="s">
        <v>72</v>
      </c>
      <c r="K294">
        <v>4172</v>
      </c>
      <c r="L294">
        <v>48.212699999999998</v>
      </c>
      <c r="M294">
        <v>0.97563999999999995</v>
      </c>
      <c r="N294">
        <f>INDEX(jkm!$H:$H,MATCH(J294,jkm!$J:$J,0),1)</f>
        <v>12.497999999999999</v>
      </c>
      <c r="O294" s="3">
        <f t="shared" ca="1" si="22"/>
        <v>453</v>
      </c>
      <c r="P294" s="3">
        <f t="shared" ca="1" si="23"/>
        <v>1.2410958904109588</v>
      </c>
      <c r="Q294" t="str" cm="1">
        <f t="array" ref="Q294:S294">_xlfn.TEXTSPLIT(J294,"/")</f>
        <v>6</v>
      </c>
      <c r="R294" s="1" t="str">
        <v>15</v>
      </c>
      <c r="S294" t="str">
        <v>2027</v>
      </c>
      <c r="T294" s="1">
        <f t="shared" si="24"/>
        <v>46553</v>
      </c>
      <c r="U294" s="19">
        <f t="shared" si="25"/>
        <v>3.6899999999999977</v>
      </c>
      <c r="V294" s="17">
        <f ca="1">(LN(N294/G294)+(L294/100)^2*P294/2)/(L294/100*SQRT(P294))</f>
        <v>1.9742189196401034</v>
      </c>
      <c r="W294" s="17">
        <f ca="1">V294-L294/100*SQRT(P294)</f>
        <v>1.4371078263371049</v>
      </c>
      <c r="X294" s="17">
        <f ca="1">(LN(N294/G294)+P294*(U294/100+(L294/100)^2/2))/((L294/100*SQRT(P294)))</f>
        <v>2.0594832884591057</v>
      </c>
      <c r="Y294" s="17">
        <f ca="1">X294-N294/100*SQRT(R294)</f>
        <v>1.5754378298501028</v>
      </c>
      <c r="Z294" s="20">
        <f ca="1">EXP(-P294)/(N294*L294/100*SQRT(P294))*_xlfn.NORM.S.DIST(X294,FALSE)</f>
        <v>2.060537444883638E-3</v>
      </c>
      <c r="AA294" s="17">
        <f t="shared" ca="1" si="21"/>
        <v>1.925876096197976E-3</v>
      </c>
      <c r="AB294" s="17"/>
      <c r="AC294" s="17"/>
      <c r="AD294" s="17"/>
    </row>
    <row r="295" spans="1:30" x14ac:dyDescent="0.25">
      <c r="A295" t="s">
        <v>106</v>
      </c>
      <c r="B295" t="s">
        <v>107</v>
      </c>
      <c r="C295" t="s">
        <v>108</v>
      </c>
      <c r="D295">
        <v>46394</v>
      </c>
      <c r="E295" t="s">
        <v>107</v>
      </c>
      <c r="F295" t="s">
        <v>109</v>
      </c>
      <c r="G295">
        <v>10</v>
      </c>
      <c r="H295">
        <v>3.8170000000000002</v>
      </c>
      <c r="I295">
        <v>0.82599999999999996</v>
      </c>
      <c r="J295" t="s">
        <v>72</v>
      </c>
      <c r="K295">
        <v>4172</v>
      </c>
      <c r="L295">
        <v>47.883800000000001</v>
      </c>
      <c r="M295">
        <v>0.75314000000000003</v>
      </c>
      <c r="N295">
        <f>INDEX(jkm!$H:$H,MATCH(J295,jkm!$J:$J,0),1)</f>
        <v>12.497999999999999</v>
      </c>
      <c r="O295" s="3">
        <f t="shared" ca="1" si="22"/>
        <v>453</v>
      </c>
      <c r="P295" s="3">
        <f t="shared" ca="1" si="23"/>
        <v>1.2410958904109588</v>
      </c>
      <c r="Q295" t="str" cm="1">
        <f t="array" ref="Q295:S295">_xlfn.TEXTSPLIT(J295,"/")</f>
        <v>6</v>
      </c>
      <c r="R295" s="1" t="str">
        <v>15</v>
      </c>
      <c r="S295" t="str">
        <v>2027</v>
      </c>
      <c r="T295" s="1">
        <f t="shared" si="24"/>
        <v>46553</v>
      </c>
      <c r="U295" s="19">
        <f t="shared" si="25"/>
        <v>3.6899999999999977</v>
      </c>
      <c r="V295" s="17">
        <f ca="1">(LN(N295/G295)+(L295/100)^2*P295/2)/(L295/100*SQRT(P295))</f>
        <v>0.68472854742937417</v>
      </c>
      <c r="W295" s="17">
        <f ca="1">V295-L295/100*SQRT(P295)</f>
        <v>0.15128154758281676</v>
      </c>
      <c r="X295" s="17">
        <f ca="1">(LN(N295/G295)+P295*(U295/100+(L295/100)^2/2))/((L295/100*SQRT(P295)))</f>
        <v>0.77057857258527029</v>
      </c>
      <c r="Y295" s="17">
        <f ca="1">X295-N295/100*SQRT(R295)</f>
        <v>0.28653311397626735</v>
      </c>
      <c r="Z295" s="20">
        <f ca="1">EXP(-P295)/(N295*L295/100*SQRT(P295))*_xlfn.NORM.S.DIST(X295,FALSE)</f>
        <v>1.2853962287250579E-2</v>
      </c>
      <c r="AA295" s="17">
        <f t="shared" ca="1" si="21"/>
        <v>1.1931966016749443E-2</v>
      </c>
      <c r="AB295" s="17"/>
      <c r="AC295" s="17"/>
      <c r="AD295" s="17"/>
    </row>
    <row r="296" spans="1:30" x14ac:dyDescent="0.25">
      <c r="A296" t="s">
        <v>106</v>
      </c>
      <c r="B296" t="s">
        <v>107</v>
      </c>
      <c r="C296" t="s">
        <v>108</v>
      </c>
      <c r="D296">
        <v>46394</v>
      </c>
      <c r="E296" t="s">
        <v>107</v>
      </c>
      <c r="F296" t="s">
        <v>109</v>
      </c>
      <c r="G296">
        <v>10.5</v>
      </c>
      <c r="H296">
        <v>3.5449999999999999</v>
      </c>
      <c r="I296">
        <v>0.86299999999999999</v>
      </c>
      <c r="J296" t="s">
        <v>72</v>
      </c>
      <c r="K296">
        <v>4172</v>
      </c>
      <c r="L296">
        <v>47.853099999999998</v>
      </c>
      <c r="M296">
        <v>0.72346999999999995</v>
      </c>
      <c r="N296">
        <f>INDEX(jkm!$H:$H,MATCH(J296,jkm!$J:$J,0),1)</f>
        <v>12.497999999999999</v>
      </c>
      <c r="O296" s="3">
        <f t="shared" ca="1" si="22"/>
        <v>453</v>
      </c>
      <c r="P296" s="3">
        <f t="shared" ca="1" si="23"/>
        <v>1.2410958904109588</v>
      </c>
      <c r="Q296" t="str" cm="1">
        <f t="array" ref="Q296:S296">_xlfn.TEXTSPLIT(J296,"/")</f>
        <v>6</v>
      </c>
      <c r="R296" s="1" t="str">
        <v>15</v>
      </c>
      <c r="S296" t="str">
        <v>2027</v>
      </c>
      <c r="T296" s="1">
        <f t="shared" si="24"/>
        <v>46553</v>
      </c>
      <c r="U296" s="19">
        <f t="shared" si="25"/>
        <v>3.6899999999999977</v>
      </c>
      <c r="V296" s="17">
        <f ca="1">(LN(N296/G296)+(L296/100)^2*P296/2)/(L296/100*SQRT(P296))</f>
        <v>0.59330496913990605</v>
      </c>
      <c r="W296" s="17">
        <f ca="1">V296-L296/100*SQRT(P296)</f>
        <v>6.0199981057145302E-2</v>
      </c>
      <c r="X296" s="17">
        <f ca="1">(LN(N296/G296)+P296*(U296/100+(L296/100)^2/2))/((L296/100*SQRT(P296)))</f>
        <v>0.67921007109902487</v>
      </c>
      <c r="Y296" s="17">
        <f ca="1">X296-N296/100*SQRT(R296)</f>
        <v>0.19516461249002193</v>
      </c>
      <c r="Z296" s="20">
        <f ca="1">EXP(-P296)/(N296*L296/100*SQRT(P296))*_xlfn.NORM.S.DIST(X296,FALSE)</f>
        <v>1.3742949953502224E-2</v>
      </c>
      <c r="AA296" s="17">
        <f t="shared" ca="1" si="21"/>
        <v>1.2749008788378528E-2</v>
      </c>
      <c r="AB296" s="17"/>
      <c r="AC296" s="17"/>
      <c r="AD296" s="17"/>
    </row>
    <row r="297" spans="1:30" x14ac:dyDescent="0.25">
      <c r="A297" t="s">
        <v>106</v>
      </c>
      <c r="B297" t="s">
        <v>107</v>
      </c>
      <c r="C297" t="s">
        <v>108</v>
      </c>
      <c r="D297">
        <v>46394</v>
      </c>
      <c r="E297" t="s">
        <v>107</v>
      </c>
      <c r="F297" t="s">
        <v>109</v>
      </c>
      <c r="G297">
        <v>11</v>
      </c>
      <c r="H297">
        <v>3.2909999999999999</v>
      </c>
      <c r="I297">
        <v>0.89300000000000002</v>
      </c>
      <c r="J297" t="s">
        <v>72</v>
      </c>
      <c r="K297">
        <v>4172</v>
      </c>
      <c r="L297">
        <v>47.823599999999999</v>
      </c>
      <c r="M297">
        <v>0.69359999999999999</v>
      </c>
      <c r="N297">
        <f>INDEX(jkm!$H:$H,MATCH(J297,jkm!$J:$J,0),1)</f>
        <v>12.497999999999999</v>
      </c>
      <c r="O297" s="3">
        <f t="shared" ca="1" si="22"/>
        <v>453</v>
      </c>
      <c r="P297" s="3">
        <f t="shared" ca="1" si="23"/>
        <v>1.2410958904109588</v>
      </c>
      <c r="Q297" t="str" cm="1">
        <f t="array" ref="Q297:S297">_xlfn.TEXTSPLIT(J297,"/")</f>
        <v>6</v>
      </c>
      <c r="R297" s="1" t="str">
        <v>15</v>
      </c>
      <c r="S297" t="str">
        <v>2027</v>
      </c>
      <c r="T297" s="1">
        <f t="shared" si="24"/>
        <v>46553</v>
      </c>
      <c r="U297" s="19">
        <f t="shared" si="25"/>
        <v>3.6899999999999977</v>
      </c>
      <c r="V297" s="17">
        <f ca="1">(LN(N297/G297)+(L297/100)^2*P297/2)/(L297/100*SQRT(P297))</f>
        <v>0.50602598657129316</v>
      </c>
      <c r="W297" s="17">
        <f ca="1">V297-L297/100*SQRT(P297)</f>
        <v>-2.6750358285669407E-2</v>
      </c>
      <c r="X297" s="17">
        <f ca="1">(LN(N297/G297)+P297*(U297/100+(L297/100)^2/2))/((L297/100*SQRT(P297)))</f>
        <v>0.59198407911472162</v>
      </c>
      <c r="Y297" s="17">
        <f ca="1">X297-N297/100*SQRT(R297)</f>
        <v>0.10793862050571867</v>
      </c>
      <c r="Z297" s="20">
        <f ca="1">EXP(-P297)/(N297*L297/100*SQRT(P297))*_xlfn.NORM.S.DIST(X297,FALSE)</f>
        <v>1.453534409721346E-2</v>
      </c>
      <c r="AA297" s="17">
        <f t="shared" ca="1" si="21"/>
        <v>1.3475781506335729E-2</v>
      </c>
      <c r="AB297" s="17"/>
      <c r="AC297" s="17"/>
      <c r="AD297" s="17"/>
    </row>
    <row r="298" spans="1:30" x14ac:dyDescent="0.25">
      <c r="A298" t="s">
        <v>106</v>
      </c>
      <c r="B298" t="s">
        <v>107</v>
      </c>
      <c r="C298" t="s">
        <v>108</v>
      </c>
      <c r="D298">
        <v>46394</v>
      </c>
      <c r="E298" t="s">
        <v>107</v>
      </c>
      <c r="F298" t="s">
        <v>109</v>
      </c>
      <c r="G298">
        <v>15</v>
      </c>
      <c r="H298">
        <v>1.7989999999999999</v>
      </c>
      <c r="I298">
        <v>0.89400000000000002</v>
      </c>
      <c r="J298" t="s">
        <v>72</v>
      </c>
      <c r="K298">
        <v>4172</v>
      </c>
      <c r="L298">
        <v>47.694200000000002</v>
      </c>
      <c r="M298">
        <v>0.46954000000000001</v>
      </c>
      <c r="N298">
        <f>INDEX(jkm!$H:$H,MATCH(J298,jkm!$J:$J,0),1)</f>
        <v>12.497999999999999</v>
      </c>
      <c r="O298" s="3">
        <f t="shared" ca="1" si="22"/>
        <v>453</v>
      </c>
      <c r="P298" s="3">
        <f t="shared" ca="1" si="23"/>
        <v>1.2410958904109588</v>
      </c>
      <c r="Q298" t="str" cm="1">
        <f t="array" ref="Q298:S298">_xlfn.TEXTSPLIT(J298,"/")</f>
        <v>6</v>
      </c>
      <c r="R298" s="1" t="str">
        <v>15</v>
      </c>
      <c r="S298" t="str">
        <v>2027</v>
      </c>
      <c r="T298" s="1">
        <f t="shared" si="24"/>
        <v>46553</v>
      </c>
      <c r="U298" s="19">
        <f t="shared" si="25"/>
        <v>3.6899999999999977</v>
      </c>
      <c r="V298" s="17">
        <f ca="1">(LN(N298/G298)+(L298/100)^2*P298/2)/(L298/100*SQRT(P298))</f>
        <v>-7.7772531574581624E-2</v>
      </c>
      <c r="W298" s="17">
        <f ca="1">V298-L298/100*SQRT(P298)</f>
        <v>-0.60910730241736522</v>
      </c>
      <c r="X298" s="17">
        <f ca="1">(LN(N298/G298)+P298*(U298/100+(L298/100)^2/2))/((L298/100*SQRT(P298)))</f>
        <v>8.4187754304610313E-3</v>
      </c>
      <c r="Y298" s="17">
        <f ca="1">X298-N298/100*SQRT(R298)</f>
        <v>-0.4756266831785419</v>
      </c>
      <c r="Z298" s="20">
        <f ca="1">EXP(-P298)/(N298*L298/100*SQRT(P298))*_xlfn.NORM.S.DIST(X298,FALSE)</f>
        <v>1.7365401181312617E-2</v>
      </c>
      <c r="AA298" s="17">
        <f t="shared" ca="1" si="21"/>
        <v>1.6055978122938817E-2</v>
      </c>
      <c r="AB298" s="17"/>
      <c r="AC298" s="17"/>
      <c r="AD298" s="17"/>
    </row>
    <row r="299" spans="1:30" x14ac:dyDescent="0.25">
      <c r="A299" t="s">
        <v>106</v>
      </c>
      <c r="B299" t="s">
        <v>107</v>
      </c>
      <c r="C299" t="s">
        <v>108</v>
      </c>
      <c r="D299">
        <v>46394</v>
      </c>
      <c r="E299" t="s">
        <v>107</v>
      </c>
      <c r="F299" t="s">
        <v>109</v>
      </c>
      <c r="G299">
        <v>20</v>
      </c>
      <c r="H299">
        <v>0.85299999999999998</v>
      </c>
      <c r="I299">
        <v>0.61</v>
      </c>
      <c r="J299" t="s">
        <v>72</v>
      </c>
      <c r="K299">
        <v>4172</v>
      </c>
      <c r="L299">
        <v>47.669400000000003</v>
      </c>
      <c r="M299">
        <v>0.26852999999999999</v>
      </c>
      <c r="N299">
        <f>INDEX(jkm!$H:$H,MATCH(J299,jkm!$J:$J,0),1)</f>
        <v>12.497999999999999</v>
      </c>
      <c r="O299" s="3">
        <f t="shared" ca="1" si="22"/>
        <v>453</v>
      </c>
      <c r="P299" s="3">
        <f t="shared" ca="1" si="23"/>
        <v>1.2410958904109588</v>
      </c>
      <c r="Q299" t="str" cm="1">
        <f t="array" ref="Q299:S299">_xlfn.TEXTSPLIT(J299,"/")</f>
        <v>6</v>
      </c>
      <c r="R299" s="1" t="str">
        <v>15</v>
      </c>
      <c r="S299" t="str">
        <v>2027</v>
      </c>
      <c r="T299" s="1">
        <f t="shared" si="24"/>
        <v>46553</v>
      </c>
      <c r="U299" s="19">
        <f t="shared" si="25"/>
        <v>3.6899999999999977</v>
      </c>
      <c r="V299" s="17">
        <f ca="1">(LN(N299/G299)+(L299/100)^2*P299/2)/(L299/100*SQRT(P299))</f>
        <v>-0.6198038275703962</v>
      </c>
      <c r="W299" s="17">
        <f ca="1">V299-L299/100*SQRT(P299)</f>
        <v>-1.1508623152945427</v>
      </c>
      <c r="X299" s="17">
        <f ca="1">(LN(N299/G299)+P299*(U299/100+(L299/100)^2/2))/((L299/100*SQRT(P299)))</f>
        <v>-0.53356767954755746</v>
      </c>
      <c r="Y299" s="17">
        <f ca="1">X299-N299/100*SQRT(R299)</f>
        <v>-1.0176131381565603</v>
      </c>
      <c r="Z299" s="20">
        <f ca="1">EXP(-P299)/(N299*L299/100*SQRT(P299))*_xlfn.NORM.S.DIST(X299,FALSE)</f>
        <v>1.5069730163894101E-2</v>
      </c>
      <c r="AA299" s="17">
        <f t="shared" ca="1" si="21"/>
        <v>1.392616510744449E-2</v>
      </c>
      <c r="AB299" s="17"/>
      <c r="AC299" s="17"/>
      <c r="AD299" s="17"/>
    </row>
    <row r="300" spans="1:30" x14ac:dyDescent="0.25">
      <c r="A300" t="s">
        <v>106</v>
      </c>
      <c r="B300" t="s">
        <v>107</v>
      </c>
      <c r="C300" t="s">
        <v>108</v>
      </c>
      <c r="D300">
        <v>46394</v>
      </c>
      <c r="E300" t="s">
        <v>107</v>
      </c>
      <c r="F300" t="s">
        <v>110</v>
      </c>
      <c r="G300">
        <v>5</v>
      </c>
      <c r="H300">
        <v>7.4999999999999997E-2</v>
      </c>
      <c r="I300">
        <v>6.7000000000000004E-2</v>
      </c>
      <c r="J300" t="s">
        <v>72</v>
      </c>
      <c r="K300">
        <v>4172</v>
      </c>
      <c r="L300">
        <v>48.212699999999998</v>
      </c>
      <c r="M300">
        <v>-2.436E-2</v>
      </c>
      <c r="N300">
        <f>INDEX(jkm!$H:$H,MATCH(J300,jkm!$J:$J,0),1)</f>
        <v>12.497999999999999</v>
      </c>
      <c r="O300" s="3">
        <f t="shared" ca="1" si="22"/>
        <v>453</v>
      </c>
      <c r="P300" s="3">
        <f t="shared" ca="1" si="23"/>
        <v>1.2410958904109588</v>
      </c>
      <c r="Q300" t="str" cm="1">
        <f t="array" ref="Q300:S300">_xlfn.TEXTSPLIT(J300,"/")</f>
        <v>6</v>
      </c>
      <c r="R300" s="1" t="str">
        <v>15</v>
      </c>
      <c r="S300" t="str">
        <v>2027</v>
      </c>
      <c r="T300" s="1">
        <f t="shared" si="24"/>
        <v>46553</v>
      </c>
      <c r="U300" s="19">
        <f t="shared" si="25"/>
        <v>3.6899999999999977</v>
      </c>
      <c r="V300" s="17">
        <f ca="1">(LN(N300/G300)+(L300/100)^2*P300/2)/(L300/100*SQRT(P300))</f>
        <v>1.9742189196401034</v>
      </c>
      <c r="W300" s="17">
        <f ca="1">V300-L300/100*SQRT(P300)</f>
        <v>1.4371078263371049</v>
      </c>
      <c r="X300" s="17">
        <f ca="1">(LN(N300/G300)+P300*(U300/100+(L300/100)^2/2))/((L300/100*SQRT(P300)))</f>
        <v>2.0594832884591057</v>
      </c>
      <c r="Y300" s="17">
        <f ca="1">X300-N300/100*SQRT(R300)</f>
        <v>1.5754378298501028</v>
      </c>
      <c r="Z300" s="20">
        <f ca="1">EXP(-P300)/(N300*L300/100*SQRT(P300))*_xlfn.NORM.S.DIST(X300,FALSE)</f>
        <v>2.060537444883638E-3</v>
      </c>
      <c r="AA300" s="17">
        <f t="shared" ca="1" si="21"/>
        <v>1.925876096197976E-3</v>
      </c>
      <c r="AB300" s="17"/>
      <c r="AC300" s="17"/>
      <c r="AD300" s="17"/>
    </row>
    <row r="301" spans="1:30" x14ac:dyDescent="0.25">
      <c r="A301" t="s">
        <v>106</v>
      </c>
      <c r="B301" t="s">
        <v>107</v>
      </c>
      <c r="C301" t="s">
        <v>108</v>
      </c>
      <c r="D301">
        <v>46394</v>
      </c>
      <c r="E301" t="s">
        <v>107</v>
      </c>
      <c r="F301" t="s">
        <v>110</v>
      </c>
      <c r="G301">
        <v>10</v>
      </c>
      <c r="H301">
        <v>1.319</v>
      </c>
      <c r="I301">
        <v>0.56999999999999995</v>
      </c>
      <c r="J301" t="s">
        <v>72</v>
      </c>
      <c r="K301">
        <v>4172</v>
      </c>
      <c r="L301">
        <v>47.883800000000001</v>
      </c>
      <c r="M301">
        <v>-0.24686</v>
      </c>
      <c r="N301">
        <f>INDEX(jkm!$H:$H,MATCH(J301,jkm!$J:$J,0),1)</f>
        <v>12.497999999999999</v>
      </c>
      <c r="O301" s="3">
        <f t="shared" ca="1" si="22"/>
        <v>453</v>
      </c>
      <c r="P301" s="3">
        <f t="shared" ca="1" si="23"/>
        <v>1.2410958904109588</v>
      </c>
      <c r="Q301" t="str" cm="1">
        <f t="array" ref="Q301:S301">_xlfn.TEXTSPLIT(J301,"/")</f>
        <v>6</v>
      </c>
      <c r="R301" s="1" t="str">
        <v>15</v>
      </c>
      <c r="S301" t="str">
        <v>2027</v>
      </c>
      <c r="T301" s="1">
        <f t="shared" si="24"/>
        <v>46553</v>
      </c>
      <c r="U301" s="19">
        <f t="shared" si="25"/>
        <v>3.6899999999999977</v>
      </c>
      <c r="V301" s="17">
        <f ca="1">(LN(N301/G301)+(L301/100)^2*P301/2)/(L301/100*SQRT(P301))</f>
        <v>0.68472854742937417</v>
      </c>
      <c r="W301" s="17">
        <f ca="1">V301-L301/100*SQRT(P301)</f>
        <v>0.15128154758281676</v>
      </c>
      <c r="X301" s="17">
        <f ca="1">(LN(N301/G301)+P301*(U301/100+(L301/100)^2/2))/((L301/100*SQRT(P301)))</f>
        <v>0.77057857258527029</v>
      </c>
      <c r="Y301" s="17">
        <f ca="1">X301-N301/100*SQRT(R301)</f>
        <v>0.28653311397626735</v>
      </c>
      <c r="Z301" s="20">
        <f ca="1">EXP(-P301)/(N301*L301/100*SQRT(P301))*_xlfn.NORM.S.DIST(X301,FALSE)</f>
        <v>1.2853962287250579E-2</v>
      </c>
      <c r="AA301" s="17">
        <f t="shared" ca="1" si="21"/>
        <v>1.1931966016749443E-2</v>
      </c>
      <c r="AB301" s="17"/>
      <c r="AC301" s="17"/>
      <c r="AD301" s="17"/>
    </row>
    <row r="302" spans="1:30" x14ac:dyDescent="0.25">
      <c r="A302" t="s">
        <v>106</v>
      </c>
      <c r="B302" t="s">
        <v>107</v>
      </c>
      <c r="C302" t="s">
        <v>108</v>
      </c>
      <c r="D302">
        <v>46394</v>
      </c>
      <c r="E302" t="s">
        <v>107</v>
      </c>
      <c r="F302" t="s">
        <v>110</v>
      </c>
      <c r="G302">
        <v>10.5</v>
      </c>
      <c r="H302">
        <v>1.5469999999999999</v>
      </c>
      <c r="I302">
        <v>0.60699999999999998</v>
      </c>
      <c r="J302" t="s">
        <v>72</v>
      </c>
      <c r="K302">
        <v>4172</v>
      </c>
      <c r="L302">
        <v>47.853099999999998</v>
      </c>
      <c r="M302">
        <v>-0.27653</v>
      </c>
      <c r="N302">
        <f>INDEX(jkm!$H:$H,MATCH(J302,jkm!$J:$J,0),1)</f>
        <v>12.497999999999999</v>
      </c>
      <c r="O302" s="3">
        <f t="shared" ca="1" si="22"/>
        <v>453</v>
      </c>
      <c r="P302" s="3">
        <f t="shared" ca="1" si="23"/>
        <v>1.2410958904109588</v>
      </c>
      <c r="Q302" t="str" cm="1">
        <f t="array" ref="Q302:S302">_xlfn.TEXTSPLIT(J302,"/")</f>
        <v>6</v>
      </c>
      <c r="R302" s="1" t="str">
        <v>15</v>
      </c>
      <c r="S302" t="str">
        <v>2027</v>
      </c>
      <c r="T302" s="1">
        <f t="shared" si="24"/>
        <v>46553</v>
      </c>
      <c r="U302" s="19">
        <f t="shared" si="25"/>
        <v>3.6899999999999977</v>
      </c>
      <c r="V302" s="17">
        <f ca="1">(LN(N302/G302)+(L302/100)^2*P302/2)/(L302/100*SQRT(P302))</f>
        <v>0.59330496913990605</v>
      </c>
      <c r="W302" s="17">
        <f ca="1">V302-L302/100*SQRT(P302)</f>
        <v>6.0199981057145302E-2</v>
      </c>
      <c r="X302" s="17">
        <f ca="1">(LN(N302/G302)+P302*(U302/100+(L302/100)^2/2))/((L302/100*SQRT(P302)))</f>
        <v>0.67921007109902487</v>
      </c>
      <c r="Y302" s="17">
        <f ca="1">X302-N302/100*SQRT(R302)</f>
        <v>0.19516461249002193</v>
      </c>
      <c r="Z302" s="20">
        <f ca="1">EXP(-P302)/(N302*L302/100*SQRT(P302))*_xlfn.NORM.S.DIST(X302,FALSE)</f>
        <v>1.3742949953502224E-2</v>
      </c>
      <c r="AA302" s="17">
        <f t="shared" ca="1" si="21"/>
        <v>1.2749008788378528E-2</v>
      </c>
      <c r="AB302" s="17"/>
      <c r="AC302" s="17"/>
      <c r="AD302" s="17"/>
    </row>
    <row r="303" spans="1:30" x14ac:dyDescent="0.25">
      <c r="A303" t="s">
        <v>106</v>
      </c>
      <c r="B303" t="s">
        <v>107</v>
      </c>
      <c r="C303" t="s">
        <v>108</v>
      </c>
      <c r="D303">
        <v>46394</v>
      </c>
      <c r="E303" t="s">
        <v>107</v>
      </c>
      <c r="F303" t="s">
        <v>110</v>
      </c>
      <c r="G303">
        <v>11</v>
      </c>
      <c r="H303">
        <v>1.7929999999999999</v>
      </c>
      <c r="I303">
        <v>0.63700000000000001</v>
      </c>
      <c r="J303" t="s">
        <v>72</v>
      </c>
      <c r="K303">
        <v>4172</v>
      </c>
      <c r="L303">
        <v>47.823599999999999</v>
      </c>
      <c r="M303">
        <v>-0.30640000000000001</v>
      </c>
      <c r="N303">
        <f>INDEX(jkm!$H:$H,MATCH(J303,jkm!$J:$J,0),1)</f>
        <v>12.497999999999999</v>
      </c>
      <c r="O303" s="3">
        <f t="shared" ca="1" si="22"/>
        <v>453</v>
      </c>
      <c r="P303" s="3">
        <f t="shared" ca="1" si="23"/>
        <v>1.2410958904109588</v>
      </c>
      <c r="Q303" t="str" cm="1">
        <f t="array" ref="Q303:S303">_xlfn.TEXTSPLIT(J303,"/")</f>
        <v>6</v>
      </c>
      <c r="R303" s="1" t="str">
        <v>15</v>
      </c>
      <c r="S303" t="str">
        <v>2027</v>
      </c>
      <c r="T303" s="1">
        <f t="shared" si="24"/>
        <v>46553</v>
      </c>
      <c r="U303" s="19">
        <f t="shared" si="25"/>
        <v>3.6899999999999977</v>
      </c>
      <c r="V303" s="17">
        <f ca="1">(LN(N303/G303)+(L303/100)^2*P303/2)/(L303/100*SQRT(P303))</f>
        <v>0.50602598657129316</v>
      </c>
      <c r="W303" s="17">
        <f ca="1">V303-L303/100*SQRT(P303)</f>
        <v>-2.6750358285669407E-2</v>
      </c>
      <c r="X303" s="17">
        <f ca="1">(LN(N303/G303)+P303*(U303/100+(L303/100)^2/2))/((L303/100*SQRT(P303)))</f>
        <v>0.59198407911472162</v>
      </c>
      <c r="Y303" s="17">
        <f ca="1">X303-N303/100*SQRT(R303)</f>
        <v>0.10793862050571867</v>
      </c>
      <c r="Z303" s="20">
        <f ca="1">EXP(-P303)/(N303*L303/100*SQRT(P303))*_xlfn.NORM.S.DIST(X303,FALSE)</f>
        <v>1.453534409721346E-2</v>
      </c>
      <c r="AA303" s="17">
        <f t="shared" ca="1" si="21"/>
        <v>1.3475781506335729E-2</v>
      </c>
      <c r="AB303" s="17"/>
      <c r="AC303" s="17"/>
      <c r="AD303" s="17"/>
    </row>
    <row r="304" spans="1:30" x14ac:dyDescent="0.25">
      <c r="A304" t="s">
        <v>106</v>
      </c>
      <c r="B304" t="s">
        <v>107</v>
      </c>
      <c r="C304" t="s">
        <v>108</v>
      </c>
      <c r="D304">
        <v>46394</v>
      </c>
      <c r="E304" t="s">
        <v>107</v>
      </c>
      <c r="F304" t="s">
        <v>110</v>
      </c>
      <c r="G304">
        <v>15</v>
      </c>
      <c r="H304">
        <v>4.3010000000000002</v>
      </c>
      <c r="I304">
        <v>0.63800000000000001</v>
      </c>
      <c r="J304" t="s">
        <v>72</v>
      </c>
      <c r="K304">
        <v>4172</v>
      </c>
      <c r="L304">
        <v>47.694200000000002</v>
      </c>
      <c r="M304">
        <v>-0.53046000000000004</v>
      </c>
      <c r="N304">
        <f>INDEX(jkm!$H:$H,MATCH(J304,jkm!$J:$J,0),1)</f>
        <v>12.497999999999999</v>
      </c>
      <c r="O304" s="3">
        <f t="shared" ca="1" si="22"/>
        <v>453</v>
      </c>
      <c r="P304" s="3">
        <f t="shared" ca="1" si="23"/>
        <v>1.2410958904109588</v>
      </c>
      <c r="Q304" t="str" cm="1">
        <f t="array" ref="Q304:S304">_xlfn.TEXTSPLIT(J304,"/")</f>
        <v>6</v>
      </c>
      <c r="R304" s="1" t="str">
        <v>15</v>
      </c>
      <c r="S304" t="str">
        <v>2027</v>
      </c>
      <c r="T304" s="1">
        <f t="shared" si="24"/>
        <v>46553</v>
      </c>
      <c r="U304" s="19">
        <f t="shared" si="25"/>
        <v>3.6899999999999977</v>
      </c>
      <c r="V304" s="17">
        <f ca="1">(LN(N304/G304)+(L304/100)^2*P304/2)/(L304/100*SQRT(P304))</f>
        <v>-7.7772531574581624E-2</v>
      </c>
      <c r="W304" s="17">
        <f ca="1">V304-L304/100*SQRT(P304)</f>
        <v>-0.60910730241736522</v>
      </c>
      <c r="X304" s="17">
        <f ca="1">(LN(N304/G304)+P304*(U304/100+(L304/100)^2/2))/((L304/100*SQRT(P304)))</f>
        <v>8.4187754304610313E-3</v>
      </c>
      <c r="Y304" s="17">
        <f ca="1">X304-N304/100*SQRT(R304)</f>
        <v>-0.4756266831785419</v>
      </c>
      <c r="Z304" s="20">
        <f ca="1">EXP(-P304)/(N304*L304/100*SQRT(P304))*_xlfn.NORM.S.DIST(X304,FALSE)</f>
        <v>1.7365401181312617E-2</v>
      </c>
      <c r="AA304" s="17">
        <f t="shared" ref="AA304:AA367" ca="1" si="26">(N304*EXP(-P304)*SQRT(P304)*_xlfn.NORM.S.DIST(X304,FALSE))/100</f>
        <v>1.6055978122938817E-2</v>
      </c>
      <c r="AB304" s="17"/>
      <c r="AC304" s="17"/>
      <c r="AD304" s="17"/>
    </row>
    <row r="305" spans="1:30" x14ac:dyDescent="0.25">
      <c r="A305" t="s">
        <v>106</v>
      </c>
      <c r="B305" t="s">
        <v>107</v>
      </c>
      <c r="C305" t="s">
        <v>108</v>
      </c>
      <c r="D305">
        <v>46394</v>
      </c>
      <c r="E305" t="s">
        <v>107</v>
      </c>
      <c r="F305" t="s">
        <v>110</v>
      </c>
      <c r="G305">
        <v>20</v>
      </c>
      <c r="H305">
        <v>8.3550000000000004</v>
      </c>
      <c r="I305">
        <v>0.35399999999999998</v>
      </c>
      <c r="J305" t="s">
        <v>72</v>
      </c>
      <c r="K305">
        <v>4172</v>
      </c>
      <c r="L305">
        <v>47.669400000000003</v>
      </c>
      <c r="M305">
        <v>-0.73146999999999995</v>
      </c>
      <c r="N305">
        <f>INDEX(jkm!$H:$H,MATCH(J305,jkm!$J:$J,0),1)</f>
        <v>12.497999999999999</v>
      </c>
      <c r="O305" s="3">
        <f t="shared" ca="1" si="22"/>
        <v>453</v>
      </c>
      <c r="P305" s="3">
        <f t="shared" ca="1" si="23"/>
        <v>1.2410958904109588</v>
      </c>
      <c r="Q305" t="str" cm="1">
        <f t="array" ref="Q305:S305">_xlfn.TEXTSPLIT(J305,"/")</f>
        <v>6</v>
      </c>
      <c r="R305" s="1" t="str">
        <v>15</v>
      </c>
      <c r="S305" t="str">
        <v>2027</v>
      </c>
      <c r="T305" s="1">
        <f t="shared" si="24"/>
        <v>46553</v>
      </c>
      <c r="U305" s="19">
        <f t="shared" si="25"/>
        <v>3.6899999999999977</v>
      </c>
      <c r="V305" s="17">
        <f ca="1">(LN(N305/G305)+(L305/100)^2*P305/2)/(L305/100*SQRT(P305))</f>
        <v>-0.6198038275703962</v>
      </c>
      <c r="W305" s="17">
        <f ca="1">V305-L305/100*SQRT(P305)</f>
        <v>-1.1508623152945427</v>
      </c>
      <c r="X305" s="17">
        <f ca="1">(LN(N305/G305)+P305*(U305/100+(L305/100)^2/2))/((L305/100*SQRT(P305)))</f>
        <v>-0.53356767954755746</v>
      </c>
      <c r="Y305" s="17">
        <f ca="1">X305-N305/100*SQRT(R305)</f>
        <v>-1.0176131381565603</v>
      </c>
      <c r="Z305" s="20">
        <f ca="1">EXP(-P305)/(N305*L305/100*SQRT(P305))*_xlfn.NORM.S.DIST(X305,FALSE)</f>
        <v>1.5069730163894101E-2</v>
      </c>
      <c r="AA305" s="17">
        <f t="shared" ca="1" si="26"/>
        <v>1.392616510744449E-2</v>
      </c>
      <c r="AB305" s="17"/>
      <c r="AC305" s="17"/>
      <c r="AD305" s="17"/>
    </row>
    <row r="306" spans="1:30" x14ac:dyDescent="0.25">
      <c r="A306" t="s">
        <v>106</v>
      </c>
      <c r="B306" t="s">
        <v>107</v>
      </c>
      <c r="C306" t="s">
        <v>108</v>
      </c>
      <c r="D306">
        <v>46395</v>
      </c>
      <c r="E306" t="s">
        <v>107</v>
      </c>
      <c r="F306" t="s">
        <v>109</v>
      </c>
      <c r="G306">
        <v>5</v>
      </c>
      <c r="H306">
        <v>7.7489999999999997</v>
      </c>
      <c r="I306">
        <v>0.33700000000000002</v>
      </c>
      <c r="J306" t="s">
        <v>73</v>
      </c>
      <c r="K306">
        <v>4172</v>
      </c>
      <c r="L306">
        <v>48.182000000000002</v>
      </c>
      <c r="M306">
        <v>0.97448000000000001</v>
      </c>
      <c r="N306">
        <f>INDEX(jkm!$H:$H,MATCH(J306,jkm!$J:$J,0),1)</f>
        <v>12.664999999999999</v>
      </c>
      <c r="O306" s="3">
        <f t="shared" ca="1" si="22"/>
        <v>483</v>
      </c>
      <c r="P306" s="3">
        <f t="shared" ca="1" si="23"/>
        <v>1.3232876712328767</v>
      </c>
      <c r="Q306" t="str" cm="1">
        <f t="array" ref="Q306:S306">_xlfn.TEXTSPLIT(J306,"/")</f>
        <v>7</v>
      </c>
      <c r="R306" s="1" t="str">
        <v>15</v>
      </c>
      <c r="S306" t="str">
        <v>2027</v>
      </c>
      <c r="T306" s="1">
        <f t="shared" si="24"/>
        <v>46583</v>
      </c>
      <c r="U306" s="19">
        <f t="shared" si="25"/>
        <v>3.6899999999999977</v>
      </c>
      <c r="V306" s="17">
        <f ca="1">(LN(N306/G306)+(L306/100)^2*P306/2)/(L306/100*SQRT(P306))</f>
        <v>1.9539733501259648</v>
      </c>
      <c r="W306" s="17">
        <f ca="1">V306-L306/100*SQRT(P306)</f>
        <v>1.399715367838551</v>
      </c>
      <c r="X306" s="17">
        <f ca="1">(LN(N306/G306)+P306*(U306/100+(L306/100)^2/2))/((L306/100*SQRT(P306)))</f>
        <v>2.0420718829914279</v>
      </c>
      <c r="Y306" s="17">
        <f ca="1">X306-N306/100*SQRT(R306)</f>
        <v>1.5515585421942586</v>
      </c>
      <c r="Z306" s="20">
        <f ca="1">EXP(-P306)/(N306*L306/100*SQRT(P306))*_xlfn.NORM.S.DIST(X306,FALSE)</f>
        <v>1.8809614055628921E-3</v>
      </c>
      <c r="AA306" s="17">
        <f t="shared" ca="1" si="26"/>
        <v>1.9236646416861164E-3</v>
      </c>
      <c r="AB306" s="17"/>
      <c r="AC306" s="17"/>
      <c r="AD306" s="17"/>
    </row>
    <row r="307" spans="1:30" x14ac:dyDescent="0.25">
      <c r="A307" t="s">
        <v>106</v>
      </c>
      <c r="B307" t="s">
        <v>107</v>
      </c>
      <c r="C307" t="s">
        <v>108</v>
      </c>
      <c r="D307">
        <v>46395</v>
      </c>
      <c r="E307" t="s">
        <v>107</v>
      </c>
      <c r="F307" t="s">
        <v>109</v>
      </c>
      <c r="G307">
        <v>10</v>
      </c>
      <c r="H307">
        <v>4.0110000000000001</v>
      </c>
      <c r="I307">
        <v>0.85199999999999998</v>
      </c>
      <c r="J307" t="s">
        <v>73</v>
      </c>
      <c r="K307">
        <v>4172</v>
      </c>
      <c r="L307">
        <v>47.861899999999999</v>
      </c>
      <c r="M307">
        <v>0.75931000000000004</v>
      </c>
      <c r="N307">
        <f>INDEX(jkm!$H:$H,MATCH(J307,jkm!$J:$J,0),1)</f>
        <v>12.664999999999999</v>
      </c>
      <c r="O307" s="3">
        <f t="shared" ca="1" si="22"/>
        <v>483</v>
      </c>
      <c r="P307" s="3">
        <f t="shared" ca="1" si="23"/>
        <v>1.3232876712328767</v>
      </c>
      <c r="Q307" t="str" cm="1">
        <f t="array" ref="Q307:S307">_xlfn.TEXTSPLIT(J307,"/")</f>
        <v>7</v>
      </c>
      <c r="R307" s="1" t="str">
        <v>15</v>
      </c>
      <c r="S307" t="str">
        <v>2027</v>
      </c>
      <c r="T307" s="1">
        <f t="shared" si="24"/>
        <v>46583</v>
      </c>
      <c r="U307" s="19">
        <f t="shared" si="25"/>
        <v>3.6899999999999977</v>
      </c>
      <c r="V307" s="17">
        <f ca="1">(LN(N307/G307)+(L307/100)^2*P307/2)/(L307/100*SQRT(P307))</f>
        <v>0.70439720751165524</v>
      </c>
      <c r="W307" s="17">
        <f ca="1">V307-L307/100*SQRT(P307)</f>
        <v>0.15382147129393975</v>
      </c>
      <c r="X307" s="17">
        <f ca="1">(LN(N307/G307)+P307*(U307/100+(L307/100)^2/2))/((L307/100*SQRT(P307)))</f>
        <v>0.79308494265221074</v>
      </c>
      <c r="Y307" s="17">
        <f ca="1">X307-N307/100*SQRT(R307)</f>
        <v>0.30257160185504145</v>
      </c>
      <c r="Z307" s="20">
        <f ca="1">EXP(-P307)/(N307*L307/100*SQRT(P307))*_xlfn.NORM.S.DIST(X307,FALSE)</f>
        <v>1.1122673505684589E-2</v>
      </c>
      <c r="AA307" s="17">
        <f t="shared" ca="1" si="26"/>
        <v>1.1299618441557411E-2</v>
      </c>
      <c r="AB307" s="17"/>
      <c r="AC307" s="17"/>
      <c r="AD307" s="17"/>
    </row>
    <row r="308" spans="1:30" x14ac:dyDescent="0.25">
      <c r="A308" t="s">
        <v>106</v>
      </c>
      <c r="B308" t="s">
        <v>107</v>
      </c>
      <c r="C308" t="s">
        <v>108</v>
      </c>
      <c r="D308">
        <v>46395</v>
      </c>
      <c r="E308" t="s">
        <v>107</v>
      </c>
      <c r="F308" t="s">
        <v>109</v>
      </c>
      <c r="G308">
        <v>10.5</v>
      </c>
      <c r="H308">
        <v>3.738</v>
      </c>
      <c r="I308">
        <v>0.89100000000000001</v>
      </c>
      <c r="J308" t="s">
        <v>73</v>
      </c>
      <c r="K308">
        <v>4172</v>
      </c>
      <c r="L308">
        <v>47.831499999999998</v>
      </c>
      <c r="M308">
        <v>0.73094999999999999</v>
      </c>
      <c r="N308">
        <f>INDEX(jkm!$H:$H,MATCH(J308,jkm!$J:$J,0),1)</f>
        <v>12.664999999999999</v>
      </c>
      <c r="O308" s="3">
        <f t="shared" ca="1" si="22"/>
        <v>483</v>
      </c>
      <c r="P308" s="3">
        <f t="shared" ca="1" si="23"/>
        <v>1.3232876712328767</v>
      </c>
      <c r="Q308" t="str" cm="1">
        <f t="array" ref="Q308:S308">_xlfn.TEXTSPLIT(J308,"/")</f>
        <v>7</v>
      </c>
      <c r="R308" s="1" t="str">
        <v>15</v>
      </c>
      <c r="S308" t="str">
        <v>2027</v>
      </c>
      <c r="T308" s="1">
        <f t="shared" si="24"/>
        <v>46583</v>
      </c>
      <c r="U308" s="19">
        <f t="shared" si="25"/>
        <v>3.6899999999999977</v>
      </c>
      <c r="V308" s="17">
        <f ca="1">(LN(N308/G308)+(L308/100)^2*P308/2)/(L308/100*SQRT(P308))</f>
        <v>0.61582213439745792</v>
      </c>
      <c r="W308" s="17">
        <f ca="1">V308-L308/100*SQRT(P308)</f>
        <v>6.5596102273834278E-2</v>
      </c>
      <c r="X308" s="17">
        <f ca="1">(LN(N308/G308)+P308*(U308/100+(L308/100)^2/2))/((L308/100*SQRT(P308)))</f>
        <v>0.70456623630778381</v>
      </c>
      <c r="Y308" s="17">
        <f ca="1">X308-N308/100*SQRT(R308)</f>
        <v>0.21405289551061452</v>
      </c>
      <c r="Z308" s="20">
        <f ca="1">EXP(-P308)/(N308*L308/100*SQRT(P308))*_xlfn.NORM.S.DIST(X308,FALSE)</f>
        <v>1.1892478222192412E-2</v>
      </c>
      <c r="AA308" s="17">
        <f t="shared" ca="1" si="26"/>
        <v>1.207399578615642E-2</v>
      </c>
      <c r="AB308" s="17"/>
      <c r="AC308" s="17"/>
      <c r="AD308" s="17"/>
    </row>
    <row r="309" spans="1:30" x14ac:dyDescent="0.25">
      <c r="A309" t="s">
        <v>106</v>
      </c>
      <c r="B309" t="s">
        <v>107</v>
      </c>
      <c r="C309" t="s">
        <v>108</v>
      </c>
      <c r="D309">
        <v>46395</v>
      </c>
      <c r="E309" t="s">
        <v>107</v>
      </c>
      <c r="F309" t="s">
        <v>109</v>
      </c>
      <c r="G309">
        <v>11</v>
      </c>
      <c r="H309">
        <v>3.4820000000000002</v>
      </c>
      <c r="I309">
        <v>0.92300000000000004</v>
      </c>
      <c r="J309" t="s">
        <v>73</v>
      </c>
      <c r="K309">
        <v>4172</v>
      </c>
      <c r="L309">
        <v>47.802399999999999</v>
      </c>
      <c r="M309">
        <v>0.70240000000000002</v>
      </c>
      <c r="N309">
        <f>INDEX(jkm!$H:$H,MATCH(J309,jkm!$J:$J,0),1)</f>
        <v>12.664999999999999</v>
      </c>
      <c r="O309" s="3">
        <f t="shared" ca="1" si="22"/>
        <v>483</v>
      </c>
      <c r="P309" s="3">
        <f t="shared" ca="1" si="23"/>
        <v>1.3232876712328767</v>
      </c>
      <c r="Q309" t="str" cm="1">
        <f t="array" ref="Q309:S309">_xlfn.TEXTSPLIT(J309,"/")</f>
        <v>7</v>
      </c>
      <c r="R309" s="1" t="str">
        <v>15</v>
      </c>
      <c r="S309" t="str">
        <v>2027</v>
      </c>
      <c r="T309" s="1">
        <f t="shared" si="24"/>
        <v>46583</v>
      </c>
      <c r="U309" s="19">
        <f t="shared" si="25"/>
        <v>3.6899999999999977</v>
      </c>
      <c r="V309" s="17">
        <f ca="1">(LN(N309/G309)+(L309/100)^2*P309/2)/(L309/100*SQRT(P309))</f>
        <v>0.53126359925456723</v>
      </c>
      <c r="W309" s="17">
        <f ca="1">V309-L309/100*SQRT(P309)</f>
        <v>-1.8627683226356551E-2</v>
      </c>
      <c r="X309" s="17">
        <f ca="1">(LN(N309/G309)+P309*(U309/100+(L309/100)^2/2))/((L309/100*SQRT(P309)))</f>
        <v>0.62006172467345311</v>
      </c>
      <c r="Y309" s="17">
        <f ca="1">X309-N309/100*SQRT(R309)</f>
        <v>0.12954838387628381</v>
      </c>
      <c r="Z309" s="20">
        <f ca="1">EXP(-P309)/(N309*L309/100*SQRT(P309))*_xlfn.NORM.S.DIST(X309,FALSE)</f>
        <v>1.2584717845099794E-2</v>
      </c>
      <c r="AA309" s="17">
        <f t="shared" ca="1" si="26"/>
        <v>1.2769027994787853E-2</v>
      </c>
      <c r="AB309" s="17"/>
      <c r="AC309" s="17"/>
      <c r="AD309" s="17"/>
    </row>
    <row r="310" spans="1:30" x14ac:dyDescent="0.25">
      <c r="A310" t="s">
        <v>106</v>
      </c>
      <c r="B310" t="s">
        <v>107</v>
      </c>
      <c r="C310" t="s">
        <v>108</v>
      </c>
      <c r="D310">
        <v>46395</v>
      </c>
      <c r="E310" t="s">
        <v>107</v>
      </c>
      <c r="F310" t="s">
        <v>109</v>
      </c>
      <c r="G310">
        <v>15</v>
      </c>
      <c r="H310">
        <v>1.964</v>
      </c>
      <c r="I310">
        <v>0.94599999999999995</v>
      </c>
      <c r="J310" t="s">
        <v>73</v>
      </c>
      <c r="K310">
        <v>4172</v>
      </c>
      <c r="L310">
        <v>47.665500000000002</v>
      </c>
      <c r="M310">
        <v>0.48674000000000001</v>
      </c>
      <c r="N310">
        <f>INDEX(jkm!$H:$H,MATCH(J310,jkm!$J:$J,0),1)</f>
        <v>12.664999999999999</v>
      </c>
      <c r="O310" s="3">
        <f t="shared" ca="1" si="22"/>
        <v>483</v>
      </c>
      <c r="P310" s="3">
        <f t="shared" ca="1" si="23"/>
        <v>1.3232876712328767</v>
      </c>
      <c r="Q310" t="str" cm="1">
        <f t="array" ref="Q310:S310">_xlfn.TEXTSPLIT(J310,"/")</f>
        <v>7</v>
      </c>
      <c r="R310" s="1" t="str">
        <v>15</v>
      </c>
      <c r="S310" t="str">
        <v>2027</v>
      </c>
      <c r="T310" s="1">
        <f t="shared" si="24"/>
        <v>46583</v>
      </c>
      <c r="U310" s="19">
        <f t="shared" si="25"/>
        <v>3.6899999999999977</v>
      </c>
      <c r="V310" s="17">
        <f ca="1">(LN(N310/G310)+(L310/100)^2*P310/2)/(L310/100*SQRT(P310))</f>
        <v>-3.4437130211485305E-2</v>
      </c>
      <c r="W310" s="17">
        <f ca="1">V310-L310/100*SQRT(P310)</f>
        <v>-0.58275359392658066</v>
      </c>
      <c r="X310" s="17">
        <f ca="1">(LN(N310/G310)+P310*(U310/100+(L310/100)^2/2))/((L310/100*SQRT(P310)))</f>
        <v>5.4616032149630199E-2</v>
      </c>
      <c r="Y310" s="17">
        <f ca="1">X310-N310/100*SQRT(R310)</f>
        <v>-0.43589730864753912</v>
      </c>
      <c r="Z310" s="20">
        <f ca="1">EXP(-P310)/(N310*L310/100*SQRT(P310))*_xlfn.NORM.S.DIST(X310,FALSE)</f>
        <v>1.5273174757781725E-2</v>
      </c>
      <c r="AA310" s="17">
        <f t="shared" ca="1" si="26"/>
        <v>1.5452477810380448E-2</v>
      </c>
      <c r="AB310" s="17"/>
      <c r="AC310" s="17"/>
      <c r="AD310" s="17"/>
    </row>
    <row r="311" spans="1:30" x14ac:dyDescent="0.25">
      <c r="A311" t="s">
        <v>106</v>
      </c>
      <c r="B311" t="s">
        <v>107</v>
      </c>
      <c r="C311" t="s">
        <v>108</v>
      </c>
      <c r="D311">
        <v>46395</v>
      </c>
      <c r="E311" t="s">
        <v>107</v>
      </c>
      <c r="F311" t="s">
        <v>109</v>
      </c>
      <c r="G311">
        <v>20</v>
      </c>
      <c r="H311">
        <v>0.97099999999999997</v>
      </c>
      <c r="I311">
        <v>0.67600000000000005</v>
      </c>
      <c r="J311" t="s">
        <v>73</v>
      </c>
      <c r="K311">
        <v>4172</v>
      </c>
      <c r="L311">
        <v>47.638599999999997</v>
      </c>
      <c r="M311">
        <v>0.28860999999999998</v>
      </c>
      <c r="N311">
        <f>INDEX(jkm!$H:$H,MATCH(J311,jkm!$J:$J,0),1)</f>
        <v>12.664999999999999</v>
      </c>
      <c r="O311" s="3">
        <f t="shared" ca="1" si="22"/>
        <v>483</v>
      </c>
      <c r="P311" s="3">
        <f t="shared" ca="1" si="23"/>
        <v>1.3232876712328767</v>
      </c>
      <c r="Q311" t="str" cm="1">
        <f t="array" ref="Q311:S311">_xlfn.TEXTSPLIT(J311,"/")</f>
        <v>7</v>
      </c>
      <c r="R311" s="1" t="str">
        <v>15</v>
      </c>
      <c r="S311" t="str">
        <v>2027</v>
      </c>
      <c r="T311" s="1">
        <f t="shared" si="24"/>
        <v>46583</v>
      </c>
      <c r="U311" s="19">
        <f t="shared" si="25"/>
        <v>3.6899999999999977</v>
      </c>
      <c r="V311" s="17">
        <f ca="1">(LN(N311/G311)+(L311/100)^2*P311/2)/(L311/100*SQRT(P311))</f>
        <v>-0.55972666433583851</v>
      </c>
      <c r="W311" s="17">
        <f ca="1">V311-L311/100*SQRT(P311)</f>
        <v>-1.1077336859413589</v>
      </c>
      <c r="X311" s="17">
        <f ca="1">(LN(N311/G311)+P311*(U311/100+(L311/100)^2/2))/((L311/100*SQRT(P311)))</f>
        <v>-0.47062321649052485</v>
      </c>
      <c r="Y311" s="17">
        <f ca="1">X311-N311/100*SQRT(R311)</f>
        <v>-0.9611365572876942</v>
      </c>
      <c r="Z311" s="20">
        <f ca="1">EXP(-P311)/(N311*L311/100*SQRT(P311))*_xlfn.NORM.S.DIST(X311,FALSE)</f>
        <v>1.3700205930006632E-2</v>
      </c>
      <c r="AA311" s="17">
        <f t="shared" ca="1" si="26"/>
        <v>1.3853220270262381E-2</v>
      </c>
      <c r="AB311" s="17"/>
      <c r="AC311" s="17"/>
      <c r="AD311" s="17"/>
    </row>
    <row r="312" spans="1:30" x14ac:dyDescent="0.25">
      <c r="A312" t="s">
        <v>106</v>
      </c>
      <c r="B312" t="s">
        <v>107</v>
      </c>
      <c r="C312" t="s">
        <v>108</v>
      </c>
      <c r="D312">
        <v>46395</v>
      </c>
      <c r="E312" t="s">
        <v>107</v>
      </c>
      <c r="F312" t="s">
        <v>110</v>
      </c>
      <c r="G312">
        <v>5</v>
      </c>
      <c r="H312">
        <v>8.4000000000000005E-2</v>
      </c>
      <c r="I312">
        <v>7.4999999999999997E-2</v>
      </c>
      <c r="J312" t="s">
        <v>73</v>
      </c>
      <c r="K312">
        <v>4172</v>
      </c>
      <c r="L312">
        <v>48.182000000000002</v>
      </c>
      <c r="M312">
        <v>-2.5520000000000001E-2</v>
      </c>
      <c r="N312">
        <f>INDEX(jkm!$H:$H,MATCH(J312,jkm!$J:$J,0),1)</f>
        <v>12.664999999999999</v>
      </c>
      <c r="O312" s="3">
        <f t="shared" ca="1" si="22"/>
        <v>483</v>
      </c>
      <c r="P312" s="3">
        <f t="shared" ca="1" si="23"/>
        <v>1.3232876712328767</v>
      </c>
      <c r="Q312" t="str" cm="1">
        <f t="array" ref="Q312:S312">_xlfn.TEXTSPLIT(J312,"/")</f>
        <v>7</v>
      </c>
      <c r="R312" s="1" t="str">
        <v>15</v>
      </c>
      <c r="S312" t="str">
        <v>2027</v>
      </c>
      <c r="T312" s="1">
        <f t="shared" si="24"/>
        <v>46583</v>
      </c>
      <c r="U312" s="19">
        <f t="shared" si="25"/>
        <v>3.6899999999999977</v>
      </c>
      <c r="V312" s="17">
        <f ca="1">(LN(N312/G312)+(L312/100)^2*P312/2)/(L312/100*SQRT(P312))</f>
        <v>1.9539733501259648</v>
      </c>
      <c r="W312" s="17">
        <f ca="1">V312-L312/100*SQRT(P312)</f>
        <v>1.399715367838551</v>
      </c>
      <c r="X312" s="17">
        <f ca="1">(LN(N312/G312)+P312*(U312/100+(L312/100)^2/2))/((L312/100*SQRT(P312)))</f>
        <v>2.0420718829914279</v>
      </c>
      <c r="Y312" s="17">
        <f ca="1">X312-N312/100*SQRT(R312)</f>
        <v>1.5515585421942586</v>
      </c>
      <c r="Z312" s="20">
        <f ca="1">EXP(-P312)/(N312*L312/100*SQRT(P312))*_xlfn.NORM.S.DIST(X312,FALSE)</f>
        <v>1.8809614055628921E-3</v>
      </c>
      <c r="AA312" s="17">
        <f t="shared" ca="1" si="26"/>
        <v>1.9236646416861164E-3</v>
      </c>
      <c r="AB312" s="17"/>
      <c r="AC312" s="17"/>
      <c r="AD312" s="17"/>
    </row>
    <row r="313" spans="1:30" x14ac:dyDescent="0.25">
      <c r="A313" t="s">
        <v>106</v>
      </c>
      <c r="B313" t="s">
        <v>107</v>
      </c>
      <c r="C313" t="s">
        <v>108</v>
      </c>
      <c r="D313">
        <v>46395</v>
      </c>
      <c r="E313" t="s">
        <v>107</v>
      </c>
      <c r="F313" t="s">
        <v>110</v>
      </c>
      <c r="G313">
        <v>10</v>
      </c>
      <c r="H313">
        <v>1.3460000000000001</v>
      </c>
      <c r="I313">
        <v>0.59</v>
      </c>
      <c r="J313" t="s">
        <v>73</v>
      </c>
      <c r="K313">
        <v>4172</v>
      </c>
      <c r="L313">
        <v>47.861899999999999</v>
      </c>
      <c r="M313">
        <v>-0.24068999999999999</v>
      </c>
      <c r="N313">
        <f>INDEX(jkm!$H:$H,MATCH(J313,jkm!$J:$J,0),1)</f>
        <v>12.664999999999999</v>
      </c>
      <c r="O313" s="3">
        <f t="shared" ca="1" si="22"/>
        <v>483</v>
      </c>
      <c r="P313" s="3">
        <f t="shared" ca="1" si="23"/>
        <v>1.3232876712328767</v>
      </c>
      <c r="Q313" t="str" cm="1">
        <f t="array" ref="Q313:S313">_xlfn.TEXTSPLIT(J313,"/")</f>
        <v>7</v>
      </c>
      <c r="R313" s="1" t="str">
        <v>15</v>
      </c>
      <c r="S313" t="str">
        <v>2027</v>
      </c>
      <c r="T313" s="1">
        <f t="shared" si="24"/>
        <v>46583</v>
      </c>
      <c r="U313" s="19">
        <f t="shared" si="25"/>
        <v>3.6899999999999977</v>
      </c>
      <c r="V313" s="17">
        <f ca="1">(LN(N313/G313)+(L313/100)^2*P313/2)/(L313/100*SQRT(P313))</f>
        <v>0.70439720751165524</v>
      </c>
      <c r="W313" s="17">
        <f ca="1">V313-L313/100*SQRT(P313)</f>
        <v>0.15382147129393975</v>
      </c>
      <c r="X313" s="17">
        <f ca="1">(LN(N313/G313)+P313*(U313/100+(L313/100)^2/2))/((L313/100*SQRT(P313)))</f>
        <v>0.79308494265221074</v>
      </c>
      <c r="Y313" s="17">
        <f ca="1">X313-N313/100*SQRT(R313)</f>
        <v>0.30257160185504145</v>
      </c>
      <c r="Z313" s="20">
        <f ca="1">EXP(-P313)/(N313*L313/100*SQRT(P313))*_xlfn.NORM.S.DIST(X313,FALSE)</f>
        <v>1.1122673505684589E-2</v>
      </c>
      <c r="AA313" s="17">
        <f t="shared" ca="1" si="26"/>
        <v>1.1299618441557411E-2</v>
      </c>
      <c r="AB313" s="17"/>
      <c r="AC313" s="17"/>
      <c r="AD313" s="17"/>
    </row>
    <row r="314" spans="1:30" x14ac:dyDescent="0.25">
      <c r="A314" t="s">
        <v>106</v>
      </c>
      <c r="B314" t="s">
        <v>107</v>
      </c>
      <c r="C314" t="s">
        <v>108</v>
      </c>
      <c r="D314">
        <v>46395</v>
      </c>
      <c r="E314" t="s">
        <v>107</v>
      </c>
      <c r="F314" t="s">
        <v>110</v>
      </c>
      <c r="G314">
        <v>10.5</v>
      </c>
      <c r="H314">
        <v>1.573</v>
      </c>
      <c r="I314">
        <v>0.629</v>
      </c>
      <c r="J314" t="s">
        <v>73</v>
      </c>
      <c r="K314">
        <v>4172</v>
      </c>
      <c r="L314">
        <v>47.831499999999998</v>
      </c>
      <c r="M314">
        <v>-0.26905000000000001</v>
      </c>
      <c r="N314">
        <f>INDEX(jkm!$H:$H,MATCH(J314,jkm!$J:$J,0),1)</f>
        <v>12.664999999999999</v>
      </c>
      <c r="O314" s="3">
        <f t="shared" ca="1" si="22"/>
        <v>483</v>
      </c>
      <c r="P314" s="3">
        <f t="shared" ca="1" si="23"/>
        <v>1.3232876712328767</v>
      </c>
      <c r="Q314" t="str" cm="1">
        <f t="array" ref="Q314:S314">_xlfn.TEXTSPLIT(J314,"/")</f>
        <v>7</v>
      </c>
      <c r="R314" s="1" t="str">
        <v>15</v>
      </c>
      <c r="S314" t="str">
        <v>2027</v>
      </c>
      <c r="T314" s="1">
        <f t="shared" si="24"/>
        <v>46583</v>
      </c>
      <c r="U314" s="19">
        <f t="shared" si="25"/>
        <v>3.6899999999999977</v>
      </c>
      <c r="V314" s="17">
        <f ca="1">(LN(N314/G314)+(L314/100)^2*P314/2)/(L314/100*SQRT(P314))</f>
        <v>0.61582213439745792</v>
      </c>
      <c r="W314" s="17">
        <f ca="1">V314-L314/100*SQRT(P314)</f>
        <v>6.5596102273834278E-2</v>
      </c>
      <c r="X314" s="17">
        <f ca="1">(LN(N314/G314)+P314*(U314/100+(L314/100)^2/2))/((L314/100*SQRT(P314)))</f>
        <v>0.70456623630778381</v>
      </c>
      <c r="Y314" s="17">
        <f ca="1">X314-N314/100*SQRT(R314)</f>
        <v>0.21405289551061452</v>
      </c>
      <c r="Z314" s="20">
        <f ca="1">EXP(-P314)/(N314*L314/100*SQRT(P314))*_xlfn.NORM.S.DIST(X314,FALSE)</f>
        <v>1.1892478222192412E-2</v>
      </c>
      <c r="AA314" s="17">
        <f t="shared" ca="1" si="26"/>
        <v>1.207399578615642E-2</v>
      </c>
      <c r="AB314" s="17"/>
      <c r="AC314" s="17"/>
      <c r="AD314" s="17"/>
    </row>
    <row r="315" spans="1:30" x14ac:dyDescent="0.25">
      <c r="A315" t="s">
        <v>106</v>
      </c>
      <c r="B315" t="s">
        <v>107</v>
      </c>
      <c r="C315" t="s">
        <v>108</v>
      </c>
      <c r="D315">
        <v>46395</v>
      </c>
      <c r="E315" t="s">
        <v>107</v>
      </c>
      <c r="F315" t="s">
        <v>110</v>
      </c>
      <c r="G315">
        <v>11</v>
      </c>
      <c r="H315">
        <v>1.8169999999999999</v>
      </c>
      <c r="I315">
        <v>0.66100000000000003</v>
      </c>
      <c r="J315" t="s">
        <v>73</v>
      </c>
      <c r="K315">
        <v>4172</v>
      </c>
      <c r="L315">
        <v>47.802399999999999</v>
      </c>
      <c r="M315">
        <v>-0.29759999999999998</v>
      </c>
      <c r="N315">
        <f>INDEX(jkm!$H:$H,MATCH(J315,jkm!$J:$J,0),1)</f>
        <v>12.664999999999999</v>
      </c>
      <c r="O315" s="3">
        <f t="shared" ca="1" si="22"/>
        <v>483</v>
      </c>
      <c r="P315" s="3">
        <f t="shared" ca="1" si="23"/>
        <v>1.3232876712328767</v>
      </c>
      <c r="Q315" t="str" cm="1">
        <f t="array" ref="Q315:S315">_xlfn.TEXTSPLIT(J315,"/")</f>
        <v>7</v>
      </c>
      <c r="R315" s="1" t="str">
        <v>15</v>
      </c>
      <c r="S315" t="str">
        <v>2027</v>
      </c>
      <c r="T315" s="1">
        <f t="shared" si="24"/>
        <v>46583</v>
      </c>
      <c r="U315" s="19">
        <f t="shared" si="25"/>
        <v>3.6899999999999977</v>
      </c>
      <c r="V315" s="17">
        <f ca="1">(LN(N315/G315)+(L315/100)^2*P315/2)/(L315/100*SQRT(P315))</f>
        <v>0.53126359925456723</v>
      </c>
      <c r="W315" s="17">
        <f ca="1">V315-L315/100*SQRT(P315)</f>
        <v>-1.8627683226356551E-2</v>
      </c>
      <c r="X315" s="17">
        <f ca="1">(LN(N315/G315)+P315*(U315/100+(L315/100)^2/2))/((L315/100*SQRT(P315)))</f>
        <v>0.62006172467345311</v>
      </c>
      <c r="Y315" s="17">
        <f ca="1">X315-N315/100*SQRT(R315)</f>
        <v>0.12954838387628381</v>
      </c>
      <c r="Z315" s="20">
        <f ca="1">EXP(-P315)/(N315*L315/100*SQRT(P315))*_xlfn.NORM.S.DIST(X315,FALSE)</f>
        <v>1.2584717845099794E-2</v>
      </c>
      <c r="AA315" s="17">
        <f t="shared" ca="1" si="26"/>
        <v>1.2769027994787853E-2</v>
      </c>
      <c r="AB315" s="17"/>
      <c r="AC315" s="17"/>
      <c r="AD315" s="17"/>
    </row>
    <row r="316" spans="1:30" x14ac:dyDescent="0.25">
      <c r="A316" t="s">
        <v>106</v>
      </c>
      <c r="B316" t="s">
        <v>107</v>
      </c>
      <c r="C316" t="s">
        <v>108</v>
      </c>
      <c r="D316">
        <v>46395</v>
      </c>
      <c r="E316" t="s">
        <v>107</v>
      </c>
      <c r="F316" t="s">
        <v>110</v>
      </c>
      <c r="G316">
        <v>15</v>
      </c>
      <c r="H316">
        <v>4.2990000000000004</v>
      </c>
      <c r="I316">
        <v>0.68400000000000005</v>
      </c>
      <c r="J316" t="s">
        <v>73</v>
      </c>
      <c r="K316">
        <v>4172</v>
      </c>
      <c r="L316">
        <v>47.665500000000002</v>
      </c>
      <c r="M316">
        <v>-0.51326000000000005</v>
      </c>
      <c r="N316">
        <f>INDEX(jkm!$H:$H,MATCH(J316,jkm!$J:$J,0),1)</f>
        <v>12.664999999999999</v>
      </c>
      <c r="O316" s="3">
        <f t="shared" ca="1" si="22"/>
        <v>483</v>
      </c>
      <c r="P316" s="3">
        <f t="shared" ca="1" si="23"/>
        <v>1.3232876712328767</v>
      </c>
      <c r="Q316" t="str" cm="1">
        <f t="array" ref="Q316:S316">_xlfn.TEXTSPLIT(J316,"/")</f>
        <v>7</v>
      </c>
      <c r="R316" s="1" t="str">
        <v>15</v>
      </c>
      <c r="S316" t="str">
        <v>2027</v>
      </c>
      <c r="T316" s="1">
        <f t="shared" si="24"/>
        <v>46583</v>
      </c>
      <c r="U316" s="19">
        <f t="shared" si="25"/>
        <v>3.6899999999999977</v>
      </c>
      <c r="V316" s="17">
        <f ca="1">(LN(N316/G316)+(L316/100)^2*P316/2)/(L316/100*SQRT(P316))</f>
        <v>-3.4437130211485305E-2</v>
      </c>
      <c r="W316" s="17">
        <f ca="1">V316-L316/100*SQRT(P316)</f>
        <v>-0.58275359392658066</v>
      </c>
      <c r="X316" s="17">
        <f ca="1">(LN(N316/G316)+P316*(U316/100+(L316/100)^2/2))/((L316/100*SQRT(P316)))</f>
        <v>5.4616032149630199E-2</v>
      </c>
      <c r="Y316" s="17">
        <f ca="1">X316-N316/100*SQRT(R316)</f>
        <v>-0.43589730864753912</v>
      </c>
      <c r="Z316" s="20">
        <f ca="1">EXP(-P316)/(N316*L316/100*SQRT(P316))*_xlfn.NORM.S.DIST(X316,FALSE)</f>
        <v>1.5273174757781725E-2</v>
      </c>
      <c r="AA316" s="17">
        <f t="shared" ca="1" si="26"/>
        <v>1.5452477810380448E-2</v>
      </c>
      <c r="AB316" s="17"/>
      <c r="AC316" s="17"/>
      <c r="AD316" s="17"/>
    </row>
    <row r="317" spans="1:30" x14ac:dyDescent="0.25">
      <c r="A317" t="s">
        <v>106</v>
      </c>
      <c r="B317" t="s">
        <v>107</v>
      </c>
      <c r="C317" t="s">
        <v>108</v>
      </c>
      <c r="D317">
        <v>46395</v>
      </c>
      <c r="E317" t="s">
        <v>107</v>
      </c>
      <c r="F317" t="s">
        <v>110</v>
      </c>
      <c r="G317">
        <v>20</v>
      </c>
      <c r="H317">
        <v>8.3059999999999992</v>
      </c>
      <c r="I317">
        <v>0.41399999999999998</v>
      </c>
      <c r="J317" t="s">
        <v>73</v>
      </c>
      <c r="K317">
        <v>4172</v>
      </c>
      <c r="L317">
        <v>47.638599999999997</v>
      </c>
      <c r="M317">
        <v>-0.71138999999999997</v>
      </c>
      <c r="N317">
        <f>INDEX(jkm!$H:$H,MATCH(J317,jkm!$J:$J,0),1)</f>
        <v>12.664999999999999</v>
      </c>
      <c r="O317" s="3">
        <f t="shared" ca="1" si="22"/>
        <v>483</v>
      </c>
      <c r="P317" s="3">
        <f t="shared" ca="1" si="23"/>
        <v>1.3232876712328767</v>
      </c>
      <c r="Q317" t="str" cm="1">
        <f t="array" ref="Q317:S317">_xlfn.TEXTSPLIT(J317,"/")</f>
        <v>7</v>
      </c>
      <c r="R317" s="1" t="str">
        <v>15</v>
      </c>
      <c r="S317" t="str">
        <v>2027</v>
      </c>
      <c r="T317" s="1">
        <f t="shared" si="24"/>
        <v>46583</v>
      </c>
      <c r="U317" s="19">
        <f t="shared" si="25"/>
        <v>3.6899999999999977</v>
      </c>
      <c r="V317" s="17">
        <f ca="1">(LN(N317/G317)+(L317/100)^2*P317/2)/(L317/100*SQRT(P317))</f>
        <v>-0.55972666433583851</v>
      </c>
      <c r="W317" s="17">
        <f ca="1">V317-L317/100*SQRT(P317)</f>
        <v>-1.1077336859413589</v>
      </c>
      <c r="X317" s="17">
        <f ca="1">(LN(N317/G317)+P317*(U317/100+(L317/100)^2/2))/((L317/100*SQRT(P317)))</f>
        <v>-0.47062321649052485</v>
      </c>
      <c r="Y317" s="17">
        <f ca="1">X317-N317/100*SQRT(R317)</f>
        <v>-0.9611365572876942</v>
      </c>
      <c r="Z317" s="20">
        <f ca="1">EXP(-P317)/(N317*L317/100*SQRT(P317))*_xlfn.NORM.S.DIST(X317,FALSE)</f>
        <v>1.3700205930006632E-2</v>
      </c>
      <c r="AA317" s="17">
        <f t="shared" ca="1" si="26"/>
        <v>1.3853220270262381E-2</v>
      </c>
      <c r="AB317" s="17"/>
      <c r="AC317" s="17"/>
      <c r="AD317" s="17"/>
    </row>
    <row r="318" spans="1:30" x14ac:dyDescent="0.25">
      <c r="A318" t="s">
        <v>106</v>
      </c>
      <c r="B318" t="s">
        <v>107</v>
      </c>
      <c r="C318" t="s">
        <v>108</v>
      </c>
      <c r="D318">
        <v>46396</v>
      </c>
      <c r="E318" t="s">
        <v>107</v>
      </c>
      <c r="F318" t="s">
        <v>109</v>
      </c>
      <c r="G318">
        <v>5</v>
      </c>
      <c r="H318">
        <v>7.5289999999999999</v>
      </c>
      <c r="I318">
        <v>0.29399999999999998</v>
      </c>
      <c r="J318" t="s">
        <v>74</v>
      </c>
      <c r="K318">
        <v>4172</v>
      </c>
      <c r="L318">
        <v>48.284399999999998</v>
      </c>
      <c r="M318">
        <v>0.96960000000000002</v>
      </c>
      <c r="N318">
        <f>INDEX(jkm!$H:$H,MATCH(J318,jkm!$J:$J,0),1)</f>
        <v>12.423999999999999</v>
      </c>
      <c r="O318" s="3">
        <f t="shared" ca="1" si="22"/>
        <v>512</v>
      </c>
      <c r="P318" s="3">
        <f t="shared" ca="1" si="23"/>
        <v>1.4027397260273973</v>
      </c>
      <c r="Q318" t="str" cm="1">
        <f t="array" ref="Q318:S318">_xlfn.TEXTSPLIT(J318,"/")</f>
        <v>8</v>
      </c>
      <c r="R318" s="1" t="str">
        <v>13</v>
      </c>
      <c r="S318" t="str">
        <v>2027</v>
      </c>
      <c r="T318" s="1">
        <f t="shared" si="24"/>
        <v>46612</v>
      </c>
      <c r="U318" s="19">
        <f t="shared" si="25"/>
        <v>3.6899999999999977</v>
      </c>
      <c r="V318" s="17">
        <f ca="1">(LN(N318/G318)+(L318/100)^2*P318/2)/(L318/100*SQRT(P318))</f>
        <v>1.8775475804828747</v>
      </c>
      <c r="W318" s="17">
        <f ca="1">V318-L318/100*SQRT(P318)</f>
        <v>1.3056801178514306</v>
      </c>
      <c r="X318" s="17">
        <f ca="1">(LN(N318/G318)+P318*(U318/100+(L318/100)^2/2))/((L318/100*SQRT(P318)))</f>
        <v>1.9680599793737517</v>
      </c>
      <c r="Y318" s="17">
        <f ca="1">X318-N318/100*SQRT(R318)</f>
        <v>1.5201062889101058</v>
      </c>
      <c r="Z318" s="20">
        <f ca="1">EXP(-P318)/(N318*L318/100*SQRT(P318))*_xlfn.NORM.S.DIST(X318,FALSE)</f>
        <v>1.9910555312627216E-3</v>
      </c>
      <c r="AA318" s="17">
        <f t="shared" ca="1" si="26"/>
        <v>2.0815660397108695E-3</v>
      </c>
      <c r="AB318" s="17"/>
      <c r="AC318" s="17"/>
      <c r="AD318" s="17"/>
    </row>
    <row r="319" spans="1:30" x14ac:dyDescent="0.25">
      <c r="A319" t="s">
        <v>106</v>
      </c>
      <c r="B319" t="s">
        <v>107</v>
      </c>
      <c r="C319" t="s">
        <v>108</v>
      </c>
      <c r="D319">
        <v>46396</v>
      </c>
      <c r="E319" t="s">
        <v>107</v>
      </c>
      <c r="F319" t="s">
        <v>109</v>
      </c>
      <c r="G319">
        <v>10</v>
      </c>
      <c r="H319">
        <v>3.8980000000000001</v>
      </c>
      <c r="I319">
        <v>0.83299999999999996</v>
      </c>
      <c r="J319" t="s">
        <v>74</v>
      </c>
      <c r="K319">
        <v>4172</v>
      </c>
      <c r="L319">
        <v>47.952199999999998</v>
      </c>
      <c r="M319">
        <v>0.74728000000000006</v>
      </c>
      <c r="N319">
        <f>INDEX(jkm!$H:$H,MATCH(J319,jkm!$J:$J,0),1)</f>
        <v>12.423999999999999</v>
      </c>
      <c r="O319" s="3">
        <f t="shared" ca="1" si="22"/>
        <v>512</v>
      </c>
      <c r="P319" s="3">
        <f t="shared" ca="1" si="23"/>
        <v>1.4027397260273973</v>
      </c>
      <c r="Q319" t="str" cm="1">
        <f t="array" ref="Q319:S319">_xlfn.TEXTSPLIT(J319,"/")</f>
        <v>8</v>
      </c>
      <c r="R319" s="1" t="str">
        <v>13</v>
      </c>
      <c r="S319" t="str">
        <v>2027</v>
      </c>
      <c r="T319" s="1">
        <f t="shared" si="24"/>
        <v>46612</v>
      </c>
      <c r="U319" s="19">
        <f t="shared" si="25"/>
        <v>3.6899999999999977</v>
      </c>
      <c r="V319" s="17">
        <f ca="1">(LN(N319/G319)+(L319/100)^2*P319/2)/(L319/100*SQRT(P319))</f>
        <v>0.66613305010399515</v>
      </c>
      <c r="W319" s="17">
        <f ca="1">V319-L319/100*SQRT(P319)</f>
        <v>9.8200075031393386E-2</v>
      </c>
      <c r="X319" s="17">
        <f ca="1">(LN(N319/G319)+P319*(U319/100+(L319/100)^2/2))/((L319/100*SQRT(P319)))</f>
        <v>0.757272494655166</v>
      </c>
      <c r="Y319" s="17">
        <f ca="1">X319-N319/100*SQRT(R319)</f>
        <v>0.30931880419152002</v>
      </c>
      <c r="Z319" s="20">
        <f ca="1">EXP(-P319)/(N319*L319/100*SQRT(P319))*_xlfn.NORM.S.DIST(X319,FALSE)</f>
        <v>1.043815650811007E-2</v>
      </c>
      <c r="AA319" s="17">
        <f t="shared" ca="1" si="26"/>
        <v>1.0837580172323868E-2</v>
      </c>
      <c r="AB319" s="17"/>
      <c r="AC319" s="17"/>
      <c r="AD319" s="17"/>
    </row>
    <row r="320" spans="1:30" x14ac:dyDescent="0.25">
      <c r="A320" t="s">
        <v>106</v>
      </c>
      <c r="B320" t="s">
        <v>107</v>
      </c>
      <c r="C320" t="s">
        <v>108</v>
      </c>
      <c r="D320">
        <v>46396</v>
      </c>
      <c r="E320" t="s">
        <v>107</v>
      </c>
      <c r="F320" t="s">
        <v>109</v>
      </c>
      <c r="G320">
        <v>10.5</v>
      </c>
      <c r="H320">
        <v>3.6360000000000001</v>
      </c>
      <c r="I320">
        <v>0.872</v>
      </c>
      <c r="J320" t="s">
        <v>74</v>
      </c>
      <c r="K320">
        <v>4172</v>
      </c>
      <c r="L320">
        <v>47.921999999999997</v>
      </c>
      <c r="M320">
        <v>0.71911000000000003</v>
      </c>
      <c r="N320">
        <f>INDEX(jkm!$H:$H,MATCH(J320,jkm!$J:$J,0),1)</f>
        <v>12.423999999999999</v>
      </c>
      <c r="O320" s="3">
        <f t="shared" ca="1" si="22"/>
        <v>512</v>
      </c>
      <c r="P320" s="3">
        <f t="shared" ca="1" si="23"/>
        <v>1.4027397260273973</v>
      </c>
      <c r="Q320" t="str" cm="1">
        <f t="array" ref="Q320:S320">_xlfn.TEXTSPLIT(J320,"/")</f>
        <v>8</v>
      </c>
      <c r="R320" s="1" t="str">
        <v>13</v>
      </c>
      <c r="S320" t="str">
        <v>2027</v>
      </c>
      <c r="T320" s="1">
        <f t="shared" si="24"/>
        <v>46612</v>
      </c>
      <c r="U320" s="19">
        <f t="shared" si="25"/>
        <v>3.6899999999999977</v>
      </c>
      <c r="V320" s="17">
        <f ca="1">(LN(N320/G320)+(L320/100)^2*P320/2)/(L320/100*SQRT(P320))</f>
        <v>0.58023259528562732</v>
      </c>
      <c r="W320" s="17">
        <f ca="1">V320-L320/100*SQRT(P320)</f>
        <v>1.2657300900193125E-2</v>
      </c>
      <c r="X320" s="17">
        <f ca="1">(LN(N320/G320)+P320*(U320/100+(L320/100)^2/2))/((L320/100*SQRT(P320)))</f>
        <v>0.67142947506958162</v>
      </c>
      <c r="Y320" s="17">
        <f ca="1">X320-N320/100*SQRT(R320)</f>
        <v>0.22347578460593565</v>
      </c>
      <c r="Z320" s="20">
        <f ca="1">EXP(-P320)/(N320*L320/100*SQRT(P320))*_xlfn.NORM.S.DIST(X320,FALSE)</f>
        <v>1.1105272827187438E-2</v>
      </c>
      <c r="AA320" s="17">
        <f t="shared" ca="1" si="26"/>
        <v>1.152296251930124E-2</v>
      </c>
      <c r="AB320" s="17"/>
      <c r="AC320" s="17"/>
      <c r="AD320" s="17"/>
    </row>
    <row r="321" spans="1:30" x14ac:dyDescent="0.25">
      <c r="A321" t="s">
        <v>106</v>
      </c>
      <c r="B321" t="s">
        <v>107</v>
      </c>
      <c r="C321" t="s">
        <v>108</v>
      </c>
      <c r="D321">
        <v>46396</v>
      </c>
      <c r="E321" t="s">
        <v>107</v>
      </c>
      <c r="F321" t="s">
        <v>109</v>
      </c>
      <c r="G321">
        <v>11</v>
      </c>
      <c r="H321">
        <v>3.39</v>
      </c>
      <c r="I321">
        <v>0.90300000000000002</v>
      </c>
      <c r="J321" t="s">
        <v>74</v>
      </c>
      <c r="K321">
        <v>4172</v>
      </c>
      <c r="L321">
        <v>47.8932</v>
      </c>
      <c r="M321">
        <v>0.69089</v>
      </c>
      <c r="N321">
        <f>INDEX(jkm!$H:$H,MATCH(J321,jkm!$J:$J,0),1)</f>
        <v>12.423999999999999</v>
      </c>
      <c r="O321" s="3">
        <f t="shared" ca="1" si="22"/>
        <v>512</v>
      </c>
      <c r="P321" s="3">
        <f t="shared" ca="1" si="23"/>
        <v>1.4027397260273973</v>
      </c>
      <c r="Q321" t="str" cm="1">
        <f t="array" ref="Q321:S321">_xlfn.TEXTSPLIT(J321,"/")</f>
        <v>8</v>
      </c>
      <c r="R321" s="1" t="str">
        <v>13</v>
      </c>
      <c r="S321" t="str">
        <v>2027</v>
      </c>
      <c r="T321" s="1">
        <f t="shared" si="24"/>
        <v>46612</v>
      </c>
      <c r="U321" s="19">
        <f t="shared" si="25"/>
        <v>3.6899999999999977</v>
      </c>
      <c r="V321" s="17">
        <f ca="1">(LN(N321/G321)+(L321/100)^2*P321/2)/(L321/100*SQRT(P321))</f>
        <v>0.4982283006250956</v>
      </c>
      <c r="W321" s="17">
        <f ca="1">V321-L321/100*SQRT(P321)</f>
        <v>-6.9005894297079595E-2</v>
      </c>
      <c r="X321" s="17">
        <f ca="1">(LN(N321/G321)+P321*(U321/100+(L321/100)^2/2))/((L321/100*SQRT(P321)))</f>
        <v>0.58948002055624771</v>
      </c>
      <c r="Y321" s="17">
        <f ca="1">X321-N321/100*SQRT(R321)</f>
        <v>0.14152633009260174</v>
      </c>
      <c r="Z321" s="20">
        <f ca="1">EXP(-P321)/(N321*L321/100*SQRT(P321))*_xlfn.NORM.S.DIST(X321,FALSE)</f>
        <v>1.1701143884470806E-2</v>
      </c>
      <c r="AA321" s="17">
        <f t="shared" ca="1" si="26"/>
        <v>1.2133948776418222E-2</v>
      </c>
      <c r="AB321" s="17"/>
      <c r="AC321" s="17"/>
      <c r="AD321" s="17"/>
    </row>
    <row r="322" spans="1:30" x14ac:dyDescent="0.25">
      <c r="A322" t="s">
        <v>106</v>
      </c>
      <c r="B322" t="s">
        <v>107</v>
      </c>
      <c r="C322" t="s">
        <v>108</v>
      </c>
      <c r="D322">
        <v>46396</v>
      </c>
      <c r="E322" t="s">
        <v>107</v>
      </c>
      <c r="F322" t="s">
        <v>109</v>
      </c>
      <c r="G322">
        <v>15</v>
      </c>
      <c r="H322">
        <v>1.9339999999999999</v>
      </c>
      <c r="I322">
        <v>0.92800000000000005</v>
      </c>
      <c r="J322" t="s">
        <v>74</v>
      </c>
      <c r="K322">
        <v>4172</v>
      </c>
      <c r="L322">
        <v>47.7637</v>
      </c>
      <c r="M322">
        <v>0.48044999999999999</v>
      </c>
      <c r="N322">
        <f>INDEX(jkm!$H:$H,MATCH(J322,jkm!$J:$J,0),1)</f>
        <v>12.423999999999999</v>
      </c>
      <c r="O322" s="3">
        <f t="shared" ref="O322:O385" ca="1" si="27">T322-TODAY()</f>
        <v>512</v>
      </c>
      <c r="P322" s="3">
        <f t="shared" ca="1" si="23"/>
        <v>1.4027397260273973</v>
      </c>
      <c r="Q322" t="str" cm="1">
        <f t="array" ref="Q322:S322">_xlfn.TEXTSPLIT(J322,"/")</f>
        <v>8</v>
      </c>
      <c r="R322" s="1" t="str">
        <v>13</v>
      </c>
      <c r="S322" t="str">
        <v>2027</v>
      </c>
      <c r="T322" s="1">
        <f t="shared" si="24"/>
        <v>46612</v>
      </c>
      <c r="U322" s="19">
        <f t="shared" si="25"/>
        <v>3.6899999999999977</v>
      </c>
      <c r="V322" s="17">
        <f ca="1">(LN(N322/G322)+(L322/100)^2*P322/2)/(L322/100*SQRT(P322))</f>
        <v>-5.0223801228334905E-2</v>
      </c>
      <c r="W322" s="17">
        <f ca="1">V322-L322/100*SQRT(P322)</f>
        <v>-0.61592423293898069</v>
      </c>
      <c r="X322" s="17">
        <f ca="1">(LN(N322/G322)+P322*(U322/100+(L322/100)^2/2))/((L322/100*SQRT(P322)))</f>
        <v>4.1275326205399504E-2</v>
      </c>
      <c r="Y322" s="17">
        <f ca="1">X322-N322/100*SQRT(R322)</f>
        <v>-0.40667836425824644</v>
      </c>
      <c r="Z322" s="20">
        <f ca="1">EXP(-P322)/(N322*L322/100*SQRT(P322))*_xlfn.NORM.S.DIST(X322,FALSE)</f>
        <v>1.3947296931159134E-2</v>
      </c>
      <c r="AA322" s="17">
        <f t="shared" ca="1" si="26"/>
        <v>1.4424075627526168E-2</v>
      </c>
      <c r="AB322" s="17"/>
      <c r="AC322" s="17"/>
      <c r="AD322" s="17"/>
    </row>
    <row r="323" spans="1:30" x14ac:dyDescent="0.25">
      <c r="A323" t="s">
        <v>106</v>
      </c>
      <c r="B323" t="s">
        <v>107</v>
      </c>
      <c r="C323" t="s">
        <v>108</v>
      </c>
      <c r="D323">
        <v>46396</v>
      </c>
      <c r="E323" t="s">
        <v>107</v>
      </c>
      <c r="F323" t="s">
        <v>109</v>
      </c>
      <c r="G323">
        <v>20</v>
      </c>
      <c r="H323">
        <v>0.97499999999999998</v>
      </c>
      <c r="I323">
        <v>0.67300000000000004</v>
      </c>
      <c r="J323" t="s">
        <v>74</v>
      </c>
      <c r="K323">
        <v>4172</v>
      </c>
      <c r="L323">
        <v>47.739100000000001</v>
      </c>
      <c r="M323">
        <v>0.28871000000000002</v>
      </c>
      <c r="N323">
        <f>INDEX(jkm!$H:$H,MATCH(J323,jkm!$J:$J,0),1)</f>
        <v>12.423999999999999</v>
      </c>
      <c r="O323" s="3">
        <f t="shared" ca="1" si="27"/>
        <v>512</v>
      </c>
      <c r="P323" s="3">
        <f t="shared" ref="P323:P386" ca="1" si="28">O323/365</f>
        <v>1.4027397260273973</v>
      </c>
      <c r="Q323" t="str" cm="1">
        <f t="array" ref="Q323:S323">_xlfn.TEXTSPLIT(J323,"/")</f>
        <v>8</v>
      </c>
      <c r="R323" s="1" t="str">
        <v>13</v>
      </c>
      <c r="S323" t="str">
        <v>2027</v>
      </c>
      <c r="T323" s="1">
        <f t="shared" ref="T323:T386" si="29">DATE(S323,Q323,R323)</f>
        <v>46612</v>
      </c>
      <c r="U323" s="19">
        <f t="shared" si="25"/>
        <v>3.6899999999999977</v>
      </c>
      <c r="V323" s="17">
        <f ca="1">(LN(N323/G323)+(L323/100)^2*P323/2)/(L323/100*SQRT(P323))</f>
        <v>-0.55934453409268814</v>
      </c>
      <c r="W323" s="17">
        <f ca="1">V323-L323/100*SQRT(P323)</f>
        <v>-1.1247536100118003</v>
      </c>
      <c r="X323" s="17">
        <f ca="1">(LN(N323/G323)+P323*(U323/100+(L323/100)^2/2))/((L323/100*SQRT(P323)))</f>
        <v>-0.46779825707852868</v>
      </c>
      <c r="Y323" s="17">
        <f ca="1">X323-N323/100*SQRT(R323)</f>
        <v>-0.9157519475421747</v>
      </c>
      <c r="Z323" s="20">
        <f ca="1">EXP(-P323)/(N323*L323/100*SQRT(P323))*_xlfn.NORM.S.DIST(X323,FALSE)</f>
        <v>1.2518845023319894E-2</v>
      </c>
      <c r="AA323" s="17">
        <f t="shared" ca="1" si="26"/>
        <v>1.2940125021724267E-2</v>
      </c>
      <c r="AB323" s="17"/>
      <c r="AC323" s="17"/>
      <c r="AD323" s="17"/>
    </row>
    <row r="324" spans="1:30" x14ac:dyDescent="0.25">
      <c r="A324" t="s">
        <v>106</v>
      </c>
      <c r="B324" t="s">
        <v>107</v>
      </c>
      <c r="C324" t="s">
        <v>108</v>
      </c>
      <c r="D324">
        <v>46396</v>
      </c>
      <c r="E324" t="s">
        <v>107</v>
      </c>
      <c r="F324" t="s">
        <v>110</v>
      </c>
      <c r="G324">
        <v>5</v>
      </c>
      <c r="H324">
        <v>0.105</v>
      </c>
      <c r="I324">
        <v>9.1999999999999998E-2</v>
      </c>
      <c r="J324" t="s">
        <v>74</v>
      </c>
      <c r="K324">
        <v>4172</v>
      </c>
      <c r="L324">
        <v>48.284399999999998</v>
      </c>
      <c r="M324">
        <v>-3.04E-2</v>
      </c>
      <c r="N324">
        <f>INDEX(jkm!$H:$H,MATCH(J324,jkm!$J:$J,0),1)</f>
        <v>12.423999999999999</v>
      </c>
      <c r="O324" s="3">
        <f t="shared" ca="1" si="27"/>
        <v>512</v>
      </c>
      <c r="P324" s="3">
        <f t="shared" ca="1" si="28"/>
        <v>1.4027397260273973</v>
      </c>
      <c r="Q324" t="str" cm="1">
        <f t="array" ref="Q324:S324">_xlfn.TEXTSPLIT(J324,"/")</f>
        <v>8</v>
      </c>
      <c r="R324" s="1" t="str">
        <v>13</v>
      </c>
      <c r="S324" t="str">
        <v>2027</v>
      </c>
      <c r="T324" s="1">
        <f t="shared" si="29"/>
        <v>46612</v>
      </c>
      <c r="U324" s="19">
        <f t="shared" ref="U324:U387" si="30">U323</f>
        <v>3.6899999999999977</v>
      </c>
      <c r="V324" s="17">
        <f ca="1">(LN(N324/G324)+(L324/100)^2*P324/2)/(L324/100*SQRT(P324))</f>
        <v>1.8775475804828747</v>
      </c>
      <c r="W324" s="17">
        <f ca="1">V324-L324/100*SQRT(P324)</f>
        <v>1.3056801178514306</v>
      </c>
      <c r="X324" s="17">
        <f ca="1">(LN(N324/G324)+P324*(U324/100+(L324/100)^2/2))/((L324/100*SQRT(P324)))</f>
        <v>1.9680599793737517</v>
      </c>
      <c r="Y324" s="17">
        <f ca="1">X324-N324/100*SQRT(R324)</f>
        <v>1.5201062889101058</v>
      </c>
      <c r="Z324" s="20">
        <f ca="1">EXP(-P324)/(N324*L324/100*SQRT(P324))*_xlfn.NORM.S.DIST(X324,FALSE)</f>
        <v>1.9910555312627216E-3</v>
      </c>
      <c r="AA324" s="17">
        <f t="shared" ca="1" si="26"/>
        <v>2.0815660397108695E-3</v>
      </c>
      <c r="AB324" s="17"/>
      <c r="AC324" s="17"/>
      <c r="AD324" s="17"/>
    </row>
    <row r="325" spans="1:30" x14ac:dyDescent="0.25">
      <c r="A325" t="s">
        <v>106</v>
      </c>
      <c r="B325" t="s">
        <v>107</v>
      </c>
      <c r="C325" t="s">
        <v>108</v>
      </c>
      <c r="D325">
        <v>46396</v>
      </c>
      <c r="E325" t="s">
        <v>107</v>
      </c>
      <c r="F325" t="s">
        <v>110</v>
      </c>
      <c r="G325">
        <v>10</v>
      </c>
      <c r="H325">
        <v>1.474</v>
      </c>
      <c r="I325">
        <v>0.63100000000000001</v>
      </c>
      <c r="J325" t="s">
        <v>74</v>
      </c>
      <c r="K325">
        <v>4172</v>
      </c>
      <c r="L325">
        <v>47.952199999999998</v>
      </c>
      <c r="M325">
        <v>-0.25272</v>
      </c>
      <c r="N325">
        <f>INDEX(jkm!$H:$H,MATCH(J325,jkm!$J:$J,0),1)</f>
        <v>12.423999999999999</v>
      </c>
      <c r="O325" s="3">
        <f t="shared" ca="1" si="27"/>
        <v>512</v>
      </c>
      <c r="P325" s="3">
        <f t="shared" ca="1" si="28"/>
        <v>1.4027397260273973</v>
      </c>
      <c r="Q325" t="str" cm="1">
        <f t="array" ref="Q325:S325">_xlfn.TEXTSPLIT(J325,"/")</f>
        <v>8</v>
      </c>
      <c r="R325" s="1" t="str">
        <v>13</v>
      </c>
      <c r="S325" t="str">
        <v>2027</v>
      </c>
      <c r="T325" s="1">
        <f t="shared" si="29"/>
        <v>46612</v>
      </c>
      <c r="U325" s="19">
        <f t="shared" si="30"/>
        <v>3.6899999999999977</v>
      </c>
      <c r="V325" s="17">
        <f ca="1">(LN(N325/G325)+(L325/100)^2*P325/2)/(L325/100*SQRT(P325))</f>
        <v>0.66613305010399515</v>
      </c>
      <c r="W325" s="17">
        <f ca="1">V325-L325/100*SQRT(P325)</f>
        <v>9.8200075031393386E-2</v>
      </c>
      <c r="X325" s="17">
        <f ca="1">(LN(N325/G325)+P325*(U325/100+(L325/100)^2/2))/((L325/100*SQRT(P325)))</f>
        <v>0.757272494655166</v>
      </c>
      <c r="Y325" s="17">
        <f ca="1">X325-N325/100*SQRT(R325)</f>
        <v>0.30931880419152002</v>
      </c>
      <c r="Z325" s="20">
        <f ca="1">EXP(-P325)/(N325*L325/100*SQRT(P325))*_xlfn.NORM.S.DIST(X325,FALSE)</f>
        <v>1.043815650811007E-2</v>
      </c>
      <c r="AA325" s="17">
        <f t="shared" ca="1" si="26"/>
        <v>1.0837580172323868E-2</v>
      </c>
      <c r="AB325" s="17"/>
      <c r="AC325" s="17"/>
      <c r="AD325" s="17"/>
    </row>
    <row r="326" spans="1:30" x14ac:dyDescent="0.25">
      <c r="A326" t="s">
        <v>106</v>
      </c>
      <c r="B326" t="s">
        <v>107</v>
      </c>
      <c r="C326" t="s">
        <v>108</v>
      </c>
      <c r="D326">
        <v>46396</v>
      </c>
      <c r="E326" t="s">
        <v>107</v>
      </c>
      <c r="F326" t="s">
        <v>110</v>
      </c>
      <c r="G326">
        <v>10.5</v>
      </c>
      <c r="H326">
        <v>1.712</v>
      </c>
      <c r="I326">
        <v>0.67</v>
      </c>
      <c r="J326" t="s">
        <v>74</v>
      </c>
      <c r="K326">
        <v>4172</v>
      </c>
      <c r="L326">
        <v>47.921999999999997</v>
      </c>
      <c r="M326">
        <v>-0.28088999999999997</v>
      </c>
      <c r="N326">
        <f>INDEX(jkm!$H:$H,MATCH(J326,jkm!$J:$J,0),1)</f>
        <v>12.423999999999999</v>
      </c>
      <c r="O326" s="3">
        <f t="shared" ca="1" si="27"/>
        <v>512</v>
      </c>
      <c r="P326" s="3">
        <f t="shared" ca="1" si="28"/>
        <v>1.4027397260273973</v>
      </c>
      <c r="Q326" t="str" cm="1">
        <f t="array" ref="Q326:S326">_xlfn.TEXTSPLIT(J326,"/")</f>
        <v>8</v>
      </c>
      <c r="R326" s="1" t="str">
        <v>13</v>
      </c>
      <c r="S326" t="str">
        <v>2027</v>
      </c>
      <c r="T326" s="1">
        <f t="shared" si="29"/>
        <v>46612</v>
      </c>
      <c r="U326" s="19">
        <f t="shared" si="30"/>
        <v>3.6899999999999977</v>
      </c>
      <c r="V326" s="17">
        <f ca="1">(LN(N326/G326)+(L326/100)^2*P326/2)/(L326/100*SQRT(P326))</f>
        <v>0.58023259528562732</v>
      </c>
      <c r="W326" s="17">
        <f ca="1">V326-L326/100*SQRT(P326)</f>
        <v>1.2657300900193125E-2</v>
      </c>
      <c r="X326" s="17">
        <f ca="1">(LN(N326/G326)+P326*(U326/100+(L326/100)^2/2))/((L326/100*SQRT(P326)))</f>
        <v>0.67142947506958162</v>
      </c>
      <c r="Y326" s="17">
        <f ca="1">X326-N326/100*SQRT(R326)</f>
        <v>0.22347578460593565</v>
      </c>
      <c r="Z326" s="20">
        <f ca="1">EXP(-P326)/(N326*L326/100*SQRT(P326))*_xlfn.NORM.S.DIST(X326,FALSE)</f>
        <v>1.1105272827187438E-2</v>
      </c>
      <c r="AA326" s="17">
        <f t="shared" ca="1" si="26"/>
        <v>1.152296251930124E-2</v>
      </c>
      <c r="AB326" s="17"/>
      <c r="AC326" s="17"/>
      <c r="AD326" s="17"/>
    </row>
    <row r="327" spans="1:30" x14ac:dyDescent="0.25">
      <c r="A327" t="s">
        <v>106</v>
      </c>
      <c r="B327" t="s">
        <v>107</v>
      </c>
      <c r="C327" t="s">
        <v>108</v>
      </c>
      <c r="D327">
        <v>46396</v>
      </c>
      <c r="E327" t="s">
        <v>107</v>
      </c>
      <c r="F327" t="s">
        <v>110</v>
      </c>
      <c r="G327">
        <v>11</v>
      </c>
      <c r="H327">
        <v>1.966</v>
      </c>
      <c r="I327">
        <v>0.70099999999999996</v>
      </c>
      <c r="J327" t="s">
        <v>74</v>
      </c>
      <c r="K327">
        <v>4172</v>
      </c>
      <c r="L327">
        <v>47.8932</v>
      </c>
      <c r="M327">
        <v>-0.30911</v>
      </c>
      <c r="N327">
        <f>INDEX(jkm!$H:$H,MATCH(J327,jkm!$J:$J,0),1)</f>
        <v>12.423999999999999</v>
      </c>
      <c r="O327" s="3">
        <f t="shared" ca="1" si="27"/>
        <v>512</v>
      </c>
      <c r="P327" s="3">
        <f t="shared" ca="1" si="28"/>
        <v>1.4027397260273973</v>
      </c>
      <c r="Q327" t="str" cm="1">
        <f t="array" ref="Q327:S327">_xlfn.TEXTSPLIT(J327,"/")</f>
        <v>8</v>
      </c>
      <c r="R327" s="1" t="str">
        <v>13</v>
      </c>
      <c r="S327" t="str">
        <v>2027</v>
      </c>
      <c r="T327" s="1">
        <f t="shared" si="29"/>
        <v>46612</v>
      </c>
      <c r="U327" s="19">
        <f t="shared" si="30"/>
        <v>3.6899999999999977</v>
      </c>
      <c r="V327" s="17">
        <f ca="1">(LN(N327/G327)+(L327/100)^2*P327/2)/(L327/100*SQRT(P327))</f>
        <v>0.4982283006250956</v>
      </c>
      <c r="W327" s="17">
        <f ca="1">V327-L327/100*SQRT(P327)</f>
        <v>-6.9005894297079595E-2</v>
      </c>
      <c r="X327" s="17">
        <f ca="1">(LN(N327/G327)+P327*(U327/100+(L327/100)^2/2))/((L327/100*SQRT(P327)))</f>
        <v>0.58948002055624771</v>
      </c>
      <c r="Y327" s="17">
        <f ca="1">X327-N327/100*SQRT(R327)</f>
        <v>0.14152633009260174</v>
      </c>
      <c r="Z327" s="20">
        <f ca="1">EXP(-P327)/(N327*L327/100*SQRT(P327))*_xlfn.NORM.S.DIST(X327,FALSE)</f>
        <v>1.1701143884470806E-2</v>
      </c>
      <c r="AA327" s="17">
        <f t="shared" ca="1" si="26"/>
        <v>1.2133948776418222E-2</v>
      </c>
      <c r="AB327" s="17"/>
      <c r="AC327" s="17"/>
      <c r="AD327" s="17"/>
    </row>
    <row r="328" spans="1:30" x14ac:dyDescent="0.25">
      <c r="A328" t="s">
        <v>106</v>
      </c>
      <c r="B328" t="s">
        <v>107</v>
      </c>
      <c r="C328" t="s">
        <v>108</v>
      </c>
      <c r="D328">
        <v>46396</v>
      </c>
      <c r="E328" t="s">
        <v>107</v>
      </c>
      <c r="F328" t="s">
        <v>110</v>
      </c>
      <c r="G328">
        <v>15</v>
      </c>
      <c r="H328">
        <v>4.51</v>
      </c>
      <c r="I328">
        <v>0.72599999999999998</v>
      </c>
      <c r="J328" t="s">
        <v>74</v>
      </c>
      <c r="K328">
        <v>4172</v>
      </c>
      <c r="L328">
        <v>47.7637</v>
      </c>
      <c r="M328">
        <v>-0.51954999999999996</v>
      </c>
      <c r="N328">
        <f>INDEX(jkm!$H:$H,MATCH(J328,jkm!$J:$J,0),1)</f>
        <v>12.423999999999999</v>
      </c>
      <c r="O328" s="3">
        <f t="shared" ca="1" si="27"/>
        <v>512</v>
      </c>
      <c r="P328" s="3">
        <f t="shared" ca="1" si="28"/>
        <v>1.4027397260273973</v>
      </c>
      <c r="Q328" t="str" cm="1">
        <f t="array" ref="Q328:S328">_xlfn.TEXTSPLIT(J328,"/")</f>
        <v>8</v>
      </c>
      <c r="R328" s="1" t="str">
        <v>13</v>
      </c>
      <c r="S328" t="str">
        <v>2027</v>
      </c>
      <c r="T328" s="1">
        <f t="shared" si="29"/>
        <v>46612</v>
      </c>
      <c r="U328" s="19">
        <f t="shared" si="30"/>
        <v>3.6899999999999977</v>
      </c>
      <c r="V328" s="17">
        <f ca="1">(LN(N328/G328)+(L328/100)^2*P328/2)/(L328/100*SQRT(P328))</f>
        <v>-5.0223801228334905E-2</v>
      </c>
      <c r="W328" s="17">
        <f ca="1">V328-L328/100*SQRT(P328)</f>
        <v>-0.61592423293898069</v>
      </c>
      <c r="X328" s="17">
        <f ca="1">(LN(N328/G328)+P328*(U328/100+(L328/100)^2/2))/((L328/100*SQRT(P328)))</f>
        <v>4.1275326205399504E-2</v>
      </c>
      <c r="Y328" s="17">
        <f ca="1">X328-N328/100*SQRT(R328)</f>
        <v>-0.40667836425824644</v>
      </c>
      <c r="Z328" s="20">
        <f ca="1">EXP(-P328)/(N328*L328/100*SQRT(P328))*_xlfn.NORM.S.DIST(X328,FALSE)</f>
        <v>1.3947296931159134E-2</v>
      </c>
      <c r="AA328" s="17">
        <f t="shared" ca="1" si="26"/>
        <v>1.4424075627526168E-2</v>
      </c>
      <c r="AB328" s="17"/>
      <c r="AC328" s="17"/>
      <c r="AD328" s="17"/>
    </row>
    <row r="329" spans="1:30" x14ac:dyDescent="0.25">
      <c r="A329" t="s">
        <v>106</v>
      </c>
      <c r="B329" t="s">
        <v>107</v>
      </c>
      <c r="C329" t="s">
        <v>108</v>
      </c>
      <c r="D329">
        <v>46396</v>
      </c>
      <c r="E329" t="s">
        <v>107</v>
      </c>
      <c r="F329" t="s">
        <v>110</v>
      </c>
      <c r="G329">
        <v>20</v>
      </c>
      <c r="H329">
        <v>8.5510000000000002</v>
      </c>
      <c r="I329">
        <v>0.47099999999999997</v>
      </c>
      <c r="J329" t="s">
        <v>74</v>
      </c>
      <c r="K329">
        <v>4172</v>
      </c>
      <c r="L329">
        <v>47.739100000000001</v>
      </c>
      <c r="M329">
        <v>-0.71128999999999998</v>
      </c>
      <c r="N329">
        <f>INDEX(jkm!$H:$H,MATCH(J329,jkm!$J:$J,0),1)</f>
        <v>12.423999999999999</v>
      </c>
      <c r="O329" s="3">
        <f t="shared" ca="1" si="27"/>
        <v>512</v>
      </c>
      <c r="P329" s="3">
        <f t="shared" ca="1" si="28"/>
        <v>1.4027397260273973</v>
      </c>
      <c r="Q329" t="str" cm="1">
        <f t="array" ref="Q329:S329">_xlfn.TEXTSPLIT(J329,"/")</f>
        <v>8</v>
      </c>
      <c r="R329" s="1" t="str">
        <v>13</v>
      </c>
      <c r="S329" t="str">
        <v>2027</v>
      </c>
      <c r="T329" s="1">
        <f t="shared" si="29"/>
        <v>46612</v>
      </c>
      <c r="U329" s="19">
        <f t="shared" si="30"/>
        <v>3.6899999999999977</v>
      </c>
      <c r="V329" s="17">
        <f ca="1">(LN(N329/G329)+(L329/100)^2*P329/2)/(L329/100*SQRT(P329))</f>
        <v>-0.55934453409268814</v>
      </c>
      <c r="W329" s="17">
        <f ca="1">V329-L329/100*SQRT(P329)</f>
        <v>-1.1247536100118003</v>
      </c>
      <c r="X329" s="17">
        <f ca="1">(LN(N329/G329)+P329*(U329/100+(L329/100)^2/2))/((L329/100*SQRT(P329)))</f>
        <v>-0.46779825707852868</v>
      </c>
      <c r="Y329" s="17">
        <f ca="1">X329-N329/100*SQRT(R329)</f>
        <v>-0.9157519475421747</v>
      </c>
      <c r="Z329" s="20">
        <f ca="1">EXP(-P329)/(N329*L329/100*SQRT(P329))*_xlfn.NORM.S.DIST(X329,FALSE)</f>
        <v>1.2518845023319894E-2</v>
      </c>
      <c r="AA329" s="17">
        <f t="shared" ca="1" si="26"/>
        <v>1.2940125021724267E-2</v>
      </c>
      <c r="AB329" s="17"/>
      <c r="AC329" s="17"/>
      <c r="AD329" s="17"/>
    </row>
    <row r="330" spans="1:30" x14ac:dyDescent="0.25">
      <c r="A330" t="s">
        <v>106</v>
      </c>
      <c r="B330" t="s">
        <v>107</v>
      </c>
      <c r="C330" t="s">
        <v>108</v>
      </c>
      <c r="D330">
        <v>46397</v>
      </c>
      <c r="E330" t="s">
        <v>107</v>
      </c>
      <c r="F330" t="s">
        <v>109</v>
      </c>
      <c r="G330">
        <v>5</v>
      </c>
      <c r="H330">
        <v>7.3289999999999997</v>
      </c>
      <c r="I330">
        <v>0.214</v>
      </c>
      <c r="J330" t="s">
        <v>75</v>
      </c>
      <c r="K330">
        <v>4172</v>
      </c>
      <c r="L330">
        <v>35.540500000000002</v>
      </c>
      <c r="M330">
        <v>0.98890999999999996</v>
      </c>
      <c r="N330">
        <f>INDEX(jkm!$H:$H,MATCH(J330,jkm!$J:$J,0),1)</f>
        <v>12.305</v>
      </c>
      <c r="O330" s="3">
        <f t="shared" ca="1" si="27"/>
        <v>545</v>
      </c>
      <c r="P330" s="3">
        <f t="shared" ca="1" si="28"/>
        <v>1.4931506849315068</v>
      </c>
      <c r="Q330" t="str" cm="1">
        <f t="array" ref="Q330:S330">_xlfn.TEXTSPLIT(J330,"/")</f>
        <v>9</v>
      </c>
      <c r="R330" s="1" t="str">
        <v>15</v>
      </c>
      <c r="S330" t="str">
        <v>2027</v>
      </c>
      <c r="T330" s="1">
        <f t="shared" si="29"/>
        <v>46645</v>
      </c>
      <c r="U330" s="19">
        <f t="shared" si="30"/>
        <v>3.6899999999999977</v>
      </c>
      <c r="V330" s="17">
        <f ca="1">(LN(N330/G330)+(L330/100)^2*P330/2)/(L330/100*SQRT(P330))</f>
        <v>2.2908194644261628</v>
      </c>
      <c r="W330" s="17">
        <f ca="1">V330-L330/100*SQRT(P330)</f>
        <v>1.856533941455403</v>
      </c>
      <c r="X330" s="17">
        <f ca="1">(LN(N330/G330)+P330*(U330/100+(L330/100)^2/2))/((L330/100*SQRT(P330)))</f>
        <v>2.4176882117357117</v>
      </c>
      <c r="Y330" s="17">
        <f ca="1">X330-N330/100*SQRT(R330)</f>
        <v>1.9411176109848891</v>
      </c>
      <c r="Z330" s="20">
        <f ca="1">EXP(-P330)/(N330*L330/100*SQRT(P330))*_xlfn.NORM.S.DIST(X330,FALSE)</f>
        <v>9.0222197839471055E-4</v>
      </c>
      <c r="AA330" s="17">
        <f t="shared" ca="1" si="26"/>
        <v>7.2494291486721954E-4</v>
      </c>
      <c r="AB330" s="17"/>
      <c r="AC330" s="17"/>
      <c r="AD330" s="17"/>
    </row>
    <row r="331" spans="1:30" x14ac:dyDescent="0.25">
      <c r="A331" t="s">
        <v>106</v>
      </c>
      <c r="B331" t="s">
        <v>107</v>
      </c>
      <c r="C331" t="s">
        <v>108</v>
      </c>
      <c r="D331">
        <v>46397</v>
      </c>
      <c r="E331" t="s">
        <v>107</v>
      </c>
      <c r="F331" t="s">
        <v>109</v>
      </c>
      <c r="G331">
        <v>10</v>
      </c>
      <c r="H331">
        <v>3.2669999999999999</v>
      </c>
      <c r="I331">
        <v>0.161</v>
      </c>
      <c r="J331" t="s">
        <v>75</v>
      </c>
      <c r="K331">
        <v>4172</v>
      </c>
      <c r="L331">
        <v>35.203299999999999</v>
      </c>
      <c r="M331">
        <v>0.75702999999999998</v>
      </c>
      <c r="N331">
        <f>INDEX(jkm!$H:$H,MATCH(J331,jkm!$J:$J,0),1)</f>
        <v>12.305</v>
      </c>
      <c r="O331" s="3">
        <f t="shared" ca="1" si="27"/>
        <v>545</v>
      </c>
      <c r="P331" s="3">
        <f t="shared" ca="1" si="28"/>
        <v>1.4931506849315068</v>
      </c>
      <c r="Q331" t="str" cm="1">
        <f t="array" ref="Q331:S331">_xlfn.TEXTSPLIT(J331,"/")</f>
        <v>9</v>
      </c>
      <c r="R331" s="1" t="str">
        <v>15</v>
      </c>
      <c r="S331" t="str">
        <v>2027</v>
      </c>
      <c r="T331" s="1">
        <f t="shared" si="29"/>
        <v>46645</v>
      </c>
      <c r="U331" s="19">
        <f t="shared" si="30"/>
        <v>3.6899999999999977</v>
      </c>
      <c r="V331" s="17">
        <f ca="1">(LN(N331/G331)+(L331/100)^2*P331/2)/(L331/100*SQRT(P331))</f>
        <v>0.69727086497366408</v>
      </c>
      <c r="W331" s="17">
        <f ca="1">V331-L331/100*SQRT(P331)</f>
        <v>0.26710574206327886</v>
      </c>
      <c r="X331" s="17">
        <f ca="1">(LN(N331/G331)+P331*(U331/100+(L331/100)^2/2))/((L331/100*SQRT(P331)))</f>
        <v>0.82535484328691933</v>
      </c>
      <c r="Y331" s="17">
        <f ca="1">X331-N331/100*SQRT(R331)</f>
        <v>0.34878424253609669</v>
      </c>
      <c r="Z331" s="20">
        <f ca="1">EXP(-P331)/(N331*L331/100*SQRT(P331))*_xlfn.NORM.S.DIST(X331,FALSE)</f>
        <v>1.2044898455121019E-2</v>
      </c>
      <c r="AA331" s="17">
        <f t="shared" ca="1" si="26"/>
        <v>9.5863524821208721E-3</v>
      </c>
      <c r="AB331" s="17"/>
      <c r="AC331" s="17"/>
      <c r="AD331" s="17"/>
    </row>
    <row r="332" spans="1:30" x14ac:dyDescent="0.25">
      <c r="A332" t="s">
        <v>106</v>
      </c>
      <c r="B332" t="s">
        <v>107</v>
      </c>
      <c r="C332" t="s">
        <v>108</v>
      </c>
      <c r="D332">
        <v>46397</v>
      </c>
      <c r="E332" t="s">
        <v>107</v>
      </c>
      <c r="F332" t="s">
        <v>109</v>
      </c>
      <c r="G332">
        <v>15</v>
      </c>
      <c r="H332">
        <v>1.2090000000000001</v>
      </c>
      <c r="I332">
        <v>8.4000000000000005E-2</v>
      </c>
      <c r="J332" t="s">
        <v>75</v>
      </c>
      <c r="K332">
        <v>4172</v>
      </c>
      <c r="L332">
        <v>35.0381</v>
      </c>
      <c r="M332">
        <v>0.40236</v>
      </c>
      <c r="N332">
        <f>INDEX(jkm!$H:$H,MATCH(J332,jkm!$J:$J,0),1)</f>
        <v>12.305</v>
      </c>
      <c r="O332" s="3">
        <f t="shared" ca="1" si="27"/>
        <v>545</v>
      </c>
      <c r="P332" s="3">
        <f t="shared" ca="1" si="28"/>
        <v>1.4931506849315068</v>
      </c>
      <c r="Q332" t="str" cm="1">
        <f t="array" ref="Q332:S332">_xlfn.TEXTSPLIT(J332,"/")</f>
        <v>9</v>
      </c>
      <c r="R332" s="1" t="str">
        <v>15</v>
      </c>
      <c r="S332" t="str">
        <v>2027</v>
      </c>
      <c r="T332" s="1">
        <f t="shared" si="29"/>
        <v>46645</v>
      </c>
      <c r="U332" s="19">
        <f t="shared" si="30"/>
        <v>3.6899999999999977</v>
      </c>
      <c r="V332" s="17">
        <f ca="1">(LN(N332/G332)+(L332/100)^2*P332/2)/(L332/100*SQRT(P332))</f>
        <v>-0.24848930327937307</v>
      </c>
      <c r="W332" s="17">
        <f ca="1">V332-L332/100*SQRT(P332)</f>
        <v>-0.67663577230490102</v>
      </c>
      <c r="X332" s="17">
        <f ca="1">(LN(N332/G332)+P332*(U332/100+(L332/100)^2/2))/((L332/100*SQRT(P332)))</f>
        <v>-0.11980142597566602</v>
      </c>
      <c r="Y332" s="17">
        <f ca="1">X332-N332/100*SQRT(R332)</f>
        <v>-0.5963720267264887</v>
      </c>
      <c r="Z332" s="20">
        <f ca="1">EXP(-P332)/(N332*L332/100*SQRT(P332))*_xlfn.NORM.S.DIST(X332,FALSE)</f>
        <v>1.6890884720429915E-2</v>
      </c>
      <c r="AA332" s="17">
        <f t="shared" ca="1" si="26"/>
        <v>1.3380114181503953E-2</v>
      </c>
      <c r="AB332" s="17"/>
      <c r="AC332" s="17"/>
      <c r="AD332" s="17"/>
    </row>
    <row r="333" spans="1:30" x14ac:dyDescent="0.25">
      <c r="A333" t="s">
        <v>106</v>
      </c>
      <c r="B333" t="s">
        <v>107</v>
      </c>
      <c r="C333" t="s">
        <v>108</v>
      </c>
      <c r="D333">
        <v>46397</v>
      </c>
      <c r="E333" t="s">
        <v>107</v>
      </c>
      <c r="F333" t="s">
        <v>109</v>
      </c>
      <c r="G333">
        <v>20</v>
      </c>
      <c r="H333">
        <v>0.42499999999999999</v>
      </c>
      <c r="I333">
        <v>3.6999999999999998E-2</v>
      </c>
      <c r="J333" t="s">
        <v>75</v>
      </c>
      <c r="K333">
        <v>4172</v>
      </c>
      <c r="L333">
        <v>34.996299999999998</v>
      </c>
      <c r="M333">
        <v>0.1789</v>
      </c>
      <c r="N333">
        <f>INDEX(jkm!$H:$H,MATCH(J333,jkm!$J:$J,0),1)</f>
        <v>12.305</v>
      </c>
      <c r="O333" s="3">
        <f t="shared" ca="1" si="27"/>
        <v>545</v>
      </c>
      <c r="P333" s="3">
        <f t="shared" ca="1" si="28"/>
        <v>1.4931506849315068</v>
      </c>
      <c r="Q333" t="str" cm="1">
        <f t="array" ref="Q333:S333">_xlfn.TEXTSPLIT(J333,"/")</f>
        <v>9</v>
      </c>
      <c r="R333" s="1" t="str">
        <v>15</v>
      </c>
      <c r="S333" t="str">
        <v>2027</v>
      </c>
      <c r="T333" s="1">
        <f t="shared" si="29"/>
        <v>46645</v>
      </c>
      <c r="U333" s="19">
        <f t="shared" si="30"/>
        <v>3.6899999999999977</v>
      </c>
      <c r="V333" s="17">
        <f ca="1">(LN(N333/G333)+(L333/100)^2*P333/2)/(L333/100*SQRT(P333))</f>
        <v>-0.92202416539539978</v>
      </c>
      <c r="W333" s="17">
        <f ca="1">V333-L333/100*SQRT(P333)</f>
        <v>-1.3496598612224591</v>
      </c>
      <c r="X333" s="17">
        <f ca="1">(LN(N333/G333)+P333*(U333/100+(L333/100)^2/2))/((L333/100*SQRT(P333)))</f>
        <v>-0.79318258174927103</v>
      </c>
      <c r="Y333" s="17">
        <f ca="1">X333-N333/100*SQRT(R333)</f>
        <v>-1.2697531825000936</v>
      </c>
      <c r="Z333" s="20">
        <f ca="1">EXP(-P333)/(N333*L333/100*SQRT(P333))*_xlfn.NORM.S.DIST(X333,FALSE)</f>
        <v>1.2435741391633965E-2</v>
      </c>
      <c r="AA333" s="17">
        <f t="shared" ca="1" si="26"/>
        <v>9.839220350438195E-3</v>
      </c>
      <c r="AB333" s="17"/>
      <c r="AC333" s="17"/>
      <c r="AD333" s="17"/>
    </row>
    <row r="334" spans="1:30" x14ac:dyDescent="0.25">
      <c r="A334" t="s">
        <v>106</v>
      </c>
      <c r="B334" t="s">
        <v>107</v>
      </c>
      <c r="C334" t="s">
        <v>108</v>
      </c>
      <c r="D334">
        <v>46397</v>
      </c>
      <c r="E334" t="s">
        <v>107</v>
      </c>
      <c r="F334" t="s">
        <v>110</v>
      </c>
      <c r="G334">
        <v>5</v>
      </c>
      <c r="H334">
        <v>2.4E-2</v>
      </c>
      <c r="I334">
        <v>-2E-3</v>
      </c>
      <c r="J334" t="s">
        <v>75</v>
      </c>
      <c r="K334">
        <v>4172</v>
      </c>
      <c r="L334">
        <v>35.540500000000002</v>
      </c>
      <c r="M334">
        <v>-1.1089999999999999E-2</v>
      </c>
      <c r="N334">
        <f>INDEX(jkm!$H:$H,MATCH(J334,jkm!$J:$J,0),1)</f>
        <v>12.305</v>
      </c>
      <c r="O334" s="3">
        <f t="shared" ca="1" si="27"/>
        <v>545</v>
      </c>
      <c r="P334" s="3">
        <f t="shared" ca="1" si="28"/>
        <v>1.4931506849315068</v>
      </c>
      <c r="Q334" t="str" cm="1">
        <f t="array" ref="Q334:S334">_xlfn.TEXTSPLIT(J334,"/")</f>
        <v>9</v>
      </c>
      <c r="R334" s="1" t="str">
        <v>15</v>
      </c>
      <c r="S334" t="str">
        <v>2027</v>
      </c>
      <c r="T334" s="1">
        <f t="shared" si="29"/>
        <v>46645</v>
      </c>
      <c r="U334" s="19">
        <f t="shared" si="30"/>
        <v>3.6899999999999977</v>
      </c>
      <c r="V334" s="17">
        <f ca="1">(LN(N334/G334)+(L334/100)^2*P334/2)/(L334/100*SQRT(P334))</f>
        <v>2.2908194644261628</v>
      </c>
      <c r="W334" s="17">
        <f ca="1">V334-L334/100*SQRT(P334)</f>
        <v>1.856533941455403</v>
      </c>
      <c r="X334" s="17">
        <f ca="1">(LN(N334/G334)+P334*(U334/100+(L334/100)^2/2))/((L334/100*SQRT(P334)))</f>
        <v>2.4176882117357117</v>
      </c>
      <c r="Y334" s="17">
        <f ca="1">X334-N334/100*SQRT(R334)</f>
        <v>1.9411176109848891</v>
      </c>
      <c r="Z334" s="20">
        <f ca="1">EXP(-P334)/(N334*L334/100*SQRT(P334))*_xlfn.NORM.S.DIST(X334,FALSE)</f>
        <v>9.0222197839471055E-4</v>
      </c>
      <c r="AA334" s="17">
        <f t="shared" ca="1" si="26"/>
        <v>7.2494291486721954E-4</v>
      </c>
      <c r="AB334" s="17"/>
      <c r="AC334" s="17"/>
      <c r="AD334" s="17"/>
    </row>
    <row r="335" spans="1:30" x14ac:dyDescent="0.25">
      <c r="A335" t="s">
        <v>106</v>
      </c>
      <c r="B335" t="s">
        <v>107</v>
      </c>
      <c r="C335" t="s">
        <v>108</v>
      </c>
      <c r="D335">
        <v>46397</v>
      </c>
      <c r="E335" t="s">
        <v>107</v>
      </c>
      <c r="F335" t="s">
        <v>110</v>
      </c>
      <c r="G335">
        <v>10</v>
      </c>
      <c r="H335">
        <v>0.96199999999999997</v>
      </c>
      <c r="I335">
        <v>-5.5E-2</v>
      </c>
      <c r="J335" t="s">
        <v>75</v>
      </c>
      <c r="K335">
        <v>4172</v>
      </c>
      <c r="L335">
        <v>35.203299999999999</v>
      </c>
      <c r="M335">
        <v>-0.24296999999999999</v>
      </c>
      <c r="N335">
        <f>INDEX(jkm!$H:$H,MATCH(J335,jkm!$J:$J,0),1)</f>
        <v>12.305</v>
      </c>
      <c r="O335" s="3">
        <f t="shared" ca="1" si="27"/>
        <v>545</v>
      </c>
      <c r="P335" s="3">
        <f t="shared" ca="1" si="28"/>
        <v>1.4931506849315068</v>
      </c>
      <c r="Q335" t="str" cm="1">
        <f t="array" ref="Q335:S335">_xlfn.TEXTSPLIT(J335,"/")</f>
        <v>9</v>
      </c>
      <c r="R335" s="1" t="str">
        <v>15</v>
      </c>
      <c r="S335" t="str">
        <v>2027</v>
      </c>
      <c r="T335" s="1">
        <f t="shared" si="29"/>
        <v>46645</v>
      </c>
      <c r="U335" s="19">
        <f t="shared" si="30"/>
        <v>3.6899999999999977</v>
      </c>
      <c r="V335" s="17">
        <f ca="1">(LN(N335/G335)+(L335/100)^2*P335/2)/(L335/100*SQRT(P335))</f>
        <v>0.69727086497366408</v>
      </c>
      <c r="W335" s="17">
        <f ca="1">V335-L335/100*SQRT(P335)</f>
        <v>0.26710574206327886</v>
      </c>
      <c r="X335" s="17">
        <f ca="1">(LN(N335/G335)+P335*(U335/100+(L335/100)^2/2))/((L335/100*SQRT(P335)))</f>
        <v>0.82535484328691933</v>
      </c>
      <c r="Y335" s="17">
        <f ca="1">X335-N335/100*SQRT(R335)</f>
        <v>0.34878424253609669</v>
      </c>
      <c r="Z335" s="20">
        <f ca="1">EXP(-P335)/(N335*L335/100*SQRT(P335))*_xlfn.NORM.S.DIST(X335,FALSE)</f>
        <v>1.2044898455121019E-2</v>
      </c>
      <c r="AA335" s="17">
        <f t="shared" ca="1" si="26"/>
        <v>9.5863524821208721E-3</v>
      </c>
      <c r="AB335" s="17"/>
      <c r="AC335" s="17"/>
      <c r="AD335" s="17"/>
    </row>
    <row r="336" spans="1:30" x14ac:dyDescent="0.25">
      <c r="A336" t="s">
        <v>106</v>
      </c>
      <c r="B336" t="s">
        <v>107</v>
      </c>
      <c r="C336" t="s">
        <v>108</v>
      </c>
      <c r="D336">
        <v>46397</v>
      </c>
      <c r="E336" t="s">
        <v>107</v>
      </c>
      <c r="F336" t="s">
        <v>110</v>
      </c>
      <c r="G336">
        <v>15</v>
      </c>
      <c r="H336">
        <v>3.9039999999999999</v>
      </c>
      <c r="I336">
        <v>-0.13200000000000001</v>
      </c>
      <c r="J336" t="s">
        <v>75</v>
      </c>
      <c r="K336">
        <v>4172</v>
      </c>
      <c r="L336">
        <v>35.0381</v>
      </c>
      <c r="M336">
        <v>-0.59763999999999995</v>
      </c>
      <c r="N336">
        <f>INDEX(jkm!$H:$H,MATCH(J336,jkm!$J:$J,0),1)</f>
        <v>12.305</v>
      </c>
      <c r="O336" s="3">
        <f t="shared" ca="1" si="27"/>
        <v>545</v>
      </c>
      <c r="P336" s="3">
        <f t="shared" ca="1" si="28"/>
        <v>1.4931506849315068</v>
      </c>
      <c r="Q336" t="str" cm="1">
        <f t="array" ref="Q336:S336">_xlfn.TEXTSPLIT(J336,"/")</f>
        <v>9</v>
      </c>
      <c r="R336" s="1" t="str">
        <v>15</v>
      </c>
      <c r="S336" t="str">
        <v>2027</v>
      </c>
      <c r="T336" s="1">
        <f t="shared" si="29"/>
        <v>46645</v>
      </c>
      <c r="U336" s="19">
        <f t="shared" si="30"/>
        <v>3.6899999999999977</v>
      </c>
      <c r="V336" s="17">
        <f ca="1">(LN(N336/G336)+(L336/100)^2*P336/2)/(L336/100*SQRT(P336))</f>
        <v>-0.24848930327937307</v>
      </c>
      <c r="W336" s="17">
        <f ca="1">V336-L336/100*SQRT(P336)</f>
        <v>-0.67663577230490102</v>
      </c>
      <c r="X336" s="17">
        <f ca="1">(LN(N336/G336)+P336*(U336/100+(L336/100)^2/2))/((L336/100*SQRT(P336)))</f>
        <v>-0.11980142597566602</v>
      </c>
      <c r="Y336" s="17">
        <f ca="1">X336-N336/100*SQRT(R336)</f>
        <v>-0.5963720267264887</v>
      </c>
      <c r="Z336" s="20">
        <f ca="1">EXP(-P336)/(N336*L336/100*SQRT(P336))*_xlfn.NORM.S.DIST(X336,FALSE)</f>
        <v>1.6890884720429915E-2</v>
      </c>
      <c r="AA336" s="17">
        <f t="shared" ca="1" si="26"/>
        <v>1.3380114181503953E-2</v>
      </c>
      <c r="AB336" s="17"/>
      <c r="AC336" s="17"/>
      <c r="AD336" s="17"/>
    </row>
    <row r="337" spans="1:30" x14ac:dyDescent="0.25">
      <c r="A337" t="s">
        <v>106</v>
      </c>
      <c r="B337" t="s">
        <v>107</v>
      </c>
      <c r="C337" t="s">
        <v>108</v>
      </c>
      <c r="D337">
        <v>46397</v>
      </c>
      <c r="E337" t="s">
        <v>107</v>
      </c>
      <c r="F337" t="s">
        <v>110</v>
      </c>
      <c r="G337">
        <v>20</v>
      </c>
      <c r="H337">
        <v>8.1199999999999992</v>
      </c>
      <c r="I337">
        <v>-0.17899999999999999</v>
      </c>
      <c r="J337" t="s">
        <v>75</v>
      </c>
      <c r="K337">
        <v>4172</v>
      </c>
      <c r="L337">
        <v>34.996299999999998</v>
      </c>
      <c r="M337">
        <v>-0.82110000000000005</v>
      </c>
      <c r="N337">
        <f>INDEX(jkm!$H:$H,MATCH(J337,jkm!$J:$J,0),1)</f>
        <v>12.305</v>
      </c>
      <c r="O337" s="3">
        <f t="shared" ca="1" si="27"/>
        <v>545</v>
      </c>
      <c r="P337" s="3">
        <f t="shared" ca="1" si="28"/>
        <v>1.4931506849315068</v>
      </c>
      <c r="Q337" t="str" cm="1">
        <f t="array" ref="Q337:S337">_xlfn.TEXTSPLIT(J337,"/")</f>
        <v>9</v>
      </c>
      <c r="R337" s="1" t="str">
        <v>15</v>
      </c>
      <c r="S337" t="str">
        <v>2027</v>
      </c>
      <c r="T337" s="1">
        <f t="shared" si="29"/>
        <v>46645</v>
      </c>
      <c r="U337" s="19">
        <f t="shared" si="30"/>
        <v>3.6899999999999977</v>
      </c>
      <c r="V337" s="17">
        <f ca="1">(LN(N337/G337)+(L337/100)^2*P337/2)/(L337/100*SQRT(P337))</f>
        <v>-0.92202416539539978</v>
      </c>
      <c r="W337" s="17">
        <f ca="1">V337-L337/100*SQRT(P337)</f>
        <v>-1.3496598612224591</v>
      </c>
      <c r="X337" s="17">
        <f ca="1">(LN(N337/G337)+P337*(U337/100+(L337/100)^2/2))/((L337/100*SQRT(P337)))</f>
        <v>-0.79318258174927103</v>
      </c>
      <c r="Y337" s="17">
        <f ca="1">X337-N337/100*SQRT(R337)</f>
        <v>-1.2697531825000936</v>
      </c>
      <c r="Z337" s="20">
        <f ca="1">EXP(-P337)/(N337*L337/100*SQRT(P337))*_xlfn.NORM.S.DIST(X337,FALSE)</f>
        <v>1.2435741391633965E-2</v>
      </c>
      <c r="AA337" s="17">
        <f t="shared" ca="1" si="26"/>
        <v>9.839220350438195E-3</v>
      </c>
      <c r="AB337" s="17"/>
      <c r="AC337" s="17"/>
      <c r="AD337" s="17"/>
    </row>
    <row r="338" spans="1:30" x14ac:dyDescent="0.25">
      <c r="A338" t="s">
        <v>106</v>
      </c>
      <c r="B338" t="s">
        <v>107</v>
      </c>
      <c r="C338" t="s">
        <v>108</v>
      </c>
      <c r="D338">
        <v>46398</v>
      </c>
      <c r="E338" t="s">
        <v>107</v>
      </c>
      <c r="F338" t="s">
        <v>109</v>
      </c>
      <c r="G338">
        <v>5</v>
      </c>
      <c r="H338">
        <v>7.44</v>
      </c>
      <c r="I338">
        <v>0.24199999999999999</v>
      </c>
      <c r="J338" t="s">
        <v>76</v>
      </c>
      <c r="K338">
        <v>4172</v>
      </c>
      <c r="L338">
        <v>35.432200000000002</v>
      </c>
      <c r="M338">
        <v>0.98821999999999999</v>
      </c>
      <c r="N338">
        <f>INDEX(jkm!$H:$H,MATCH(J338,jkm!$J:$J,0),1)</f>
        <v>12.414</v>
      </c>
      <c r="O338" s="3">
        <f t="shared" ca="1" si="27"/>
        <v>575</v>
      </c>
      <c r="P338" s="3">
        <f t="shared" ca="1" si="28"/>
        <v>1.5753424657534247</v>
      </c>
      <c r="Q338" t="str" cm="1">
        <f t="array" ref="Q338:S338">_xlfn.TEXTSPLIT(J338,"/")</f>
        <v>10</v>
      </c>
      <c r="R338" s="1" t="str">
        <v>15</v>
      </c>
      <c r="S338" t="str">
        <v>2027</v>
      </c>
      <c r="T338" s="1">
        <f t="shared" si="29"/>
        <v>46675</v>
      </c>
      <c r="U338" s="19">
        <f t="shared" si="30"/>
        <v>3.6899999999999977</v>
      </c>
      <c r="V338" s="17">
        <f ca="1">(LN(N338/G338)+(L338/100)^2*P338/2)/(L338/100*SQRT(P338))</f>
        <v>2.2672172568280584</v>
      </c>
      <c r="W338" s="17">
        <f ca="1">V338-L338/100*SQRT(P338)</f>
        <v>1.8224983343049246</v>
      </c>
      <c r="X338" s="17">
        <f ca="1">(LN(N338/G338)+P338*(U338/100+(L338/100)^2/2))/((L338/100*SQRT(P338)))</f>
        <v>2.397929340443699</v>
      </c>
      <c r="Y338" s="17">
        <f ca="1">X338-N338/100*SQRT(R338)</f>
        <v>1.9171371878455101</v>
      </c>
      <c r="Z338" s="20">
        <f ca="1">EXP(-P338)/(N338*L338/100*SQRT(P338))*_xlfn.NORM.S.DIST(X338,FALSE)</f>
        <v>8.4360549412349373E-4</v>
      </c>
      <c r="AA338" s="17">
        <f t="shared" ca="1" si="26"/>
        <v>7.2566467193522219E-4</v>
      </c>
      <c r="AB338" s="17"/>
      <c r="AC338" s="17"/>
      <c r="AD338" s="17"/>
    </row>
    <row r="339" spans="1:30" x14ac:dyDescent="0.25">
      <c r="A339" t="s">
        <v>106</v>
      </c>
      <c r="B339" t="s">
        <v>107</v>
      </c>
      <c r="C339" t="s">
        <v>108</v>
      </c>
      <c r="D339">
        <v>46398</v>
      </c>
      <c r="E339" t="s">
        <v>107</v>
      </c>
      <c r="F339" t="s">
        <v>109</v>
      </c>
      <c r="G339">
        <v>10</v>
      </c>
      <c r="H339">
        <v>3.39</v>
      </c>
      <c r="I339">
        <v>0.184</v>
      </c>
      <c r="J339" t="s">
        <v>76</v>
      </c>
      <c r="K339">
        <v>4172</v>
      </c>
      <c r="L339">
        <v>35.103200000000001</v>
      </c>
      <c r="M339">
        <v>0.76134000000000002</v>
      </c>
      <c r="N339">
        <f>INDEX(jkm!$H:$H,MATCH(J339,jkm!$J:$J,0),1)</f>
        <v>12.414</v>
      </c>
      <c r="O339" s="3">
        <f t="shared" ca="1" si="27"/>
        <v>575</v>
      </c>
      <c r="P339" s="3">
        <f t="shared" ca="1" si="28"/>
        <v>1.5753424657534247</v>
      </c>
      <c r="Q339" t="str" cm="1">
        <f t="array" ref="Q339:S339">_xlfn.TEXTSPLIT(J339,"/")</f>
        <v>10</v>
      </c>
      <c r="R339" s="1" t="str">
        <v>15</v>
      </c>
      <c r="S339" t="str">
        <v>2027</v>
      </c>
      <c r="T339" s="1">
        <f t="shared" si="29"/>
        <v>46675</v>
      </c>
      <c r="U339" s="19">
        <f t="shared" si="30"/>
        <v>3.6899999999999977</v>
      </c>
      <c r="V339" s="17">
        <f ca="1">(LN(N339/G339)+(L339/100)^2*P339/2)/(L339/100*SQRT(P339))</f>
        <v>0.71109119370717844</v>
      </c>
      <c r="W339" s="17">
        <f ca="1">V339-L339/100*SQRT(P339)</f>
        <v>0.270501637283528</v>
      </c>
      <c r="X339" s="17">
        <f ca="1">(LN(N339/G339)+P339*(U339/100+(L339/100)^2/2))/((L339/100*SQRT(P339)))</f>
        <v>0.84302835866895087</v>
      </c>
      <c r="Y339" s="17">
        <f ca="1">X339-N339/100*SQRT(R339)</f>
        <v>0.36223620607076212</v>
      </c>
      <c r="Z339" s="20">
        <f ca="1">EXP(-P339)/(N339*L339/100*SQRT(P339))*_xlfn.NORM.S.DIST(X339,FALSE)</f>
        <v>1.057975800447692E-2</v>
      </c>
      <c r="AA339" s="17">
        <f t="shared" ca="1" si="26"/>
        <v>9.0161453583619162E-3</v>
      </c>
      <c r="AB339" s="17"/>
      <c r="AC339" s="17"/>
      <c r="AD339" s="17"/>
    </row>
    <row r="340" spans="1:30" x14ac:dyDescent="0.25">
      <c r="A340" t="s">
        <v>106</v>
      </c>
      <c r="B340" t="s">
        <v>107</v>
      </c>
      <c r="C340" t="s">
        <v>108</v>
      </c>
      <c r="D340">
        <v>46398</v>
      </c>
      <c r="E340" t="s">
        <v>107</v>
      </c>
      <c r="F340" t="s">
        <v>109</v>
      </c>
      <c r="G340">
        <v>15</v>
      </c>
      <c r="H340">
        <v>1.3029999999999999</v>
      </c>
      <c r="I340">
        <v>9.8000000000000004E-2</v>
      </c>
      <c r="J340" t="s">
        <v>76</v>
      </c>
      <c r="K340">
        <v>4172</v>
      </c>
      <c r="L340">
        <v>34.930999999999997</v>
      </c>
      <c r="M340">
        <v>0.41633999999999999</v>
      </c>
      <c r="N340">
        <f>INDEX(jkm!$H:$H,MATCH(J340,jkm!$J:$J,0),1)</f>
        <v>12.414</v>
      </c>
      <c r="O340" s="3">
        <f t="shared" ca="1" si="27"/>
        <v>575</v>
      </c>
      <c r="P340" s="3">
        <f t="shared" ca="1" si="28"/>
        <v>1.5753424657534247</v>
      </c>
      <c r="Q340" t="str" cm="1">
        <f t="array" ref="Q340:S340">_xlfn.TEXTSPLIT(J340,"/")</f>
        <v>10</v>
      </c>
      <c r="R340" s="1" t="str">
        <v>15</v>
      </c>
      <c r="S340" t="str">
        <v>2027</v>
      </c>
      <c r="T340" s="1">
        <f t="shared" si="29"/>
        <v>46675</v>
      </c>
      <c r="U340" s="19">
        <f t="shared" si="30"/>
        <v>3.6899999999999977</v>
      </c>
      <c r="V340" s="17">
        <f ca="1">(LN(N340/G340)+(L340/100)^2*P340/2)/(L340/100*SQRT(P340))</f>
        <v>-0.2123852233885031</v>
      </c>
      <c r="W340" s="17">
        <f ca="1">V340-L340/100*SQRT(P340)</f>
        <v>-0.65081345202391327</v>
      </c>
      <c r="X340" s="17">
        <f ca="1">(LN(N340/G340)+P340*(U340/100+(L340/100)^2/2))/((L340/100*SQRT(P340)))</f>
        <v>-7.9797645332160827E-2</v>
      </c>
      <c r="Y340" s="17">
        <f ca="1">X340-N340/100*SQRT(R340)</f>
        <v>-0.56058979793034958</v>
      </c>
      <c r="Z340" s="20">
        <f ca="1">EXP(-P340)/(N340*L340/100*SQRT(P340))*_xlfn.NORM.S.DIST(X340,FALSE)</f>
        <v>1.5120096231042497E-2</v>
      </c>
      <c r="AA340" s="17">
        <f t="shared" ca="1" si="26"/>
        <v>1.2822243978946064E-2</v>
      </c>
      <c r="AB340" s="17"/>
      <c r="AC340" s="17"/>
      <c r="AD340" s="17"/>
    </row>
    <row r="341" spans="1:30" x14ac:dyDescent="0.25">
      <c r="A341" t="s">
        <v>106</v>
      </c>
      <c r="B341" t="s">
        <v>107</v>
      </c>
      <c r="C341" t="s">
        <v>108</v>
      </c>
      <c r="D341">
        <v>46398</v>
      </c>
      <c r="E341" t="s">
        <v>107</v>
      </c>
      <c r="F341" t="s">
        <v>109</v>
      </c>
      <c r="G341">
        <v>20</v>
      </c>
      <c r="H341">
        <v>0.47899999999999998</v>
      </c>
      <c r="I341">
        <v>4.4999999999999998E-2</v>
      </c>
      <c r="J341" t="s">
        <v>76</v>
      </c>
      <c r="K341">
        <v>4172</v>
      </c>
      <c r="L341">
        <v>34.887</v>
      </c>
      <c r="M341">
        <v>0.19272</v>
      </c>
      <c r="N341">
        <f>INDEX(jkm!$H:$H,MATCH(J341,jkm!$J:$J,0),1)</f>
        <v>12.414</v>
      </c>
      <c r="O341" s="3">
        <f t="shared" ca="1" si="27"/>
        <v>575</v>
      </c>
      <c r="P341" s="3">
        <f t="shared" ca="1" si="28"/>
        <v>1.5753424657534247</v>
      </c>
      <c r="Q341" t="str" cm="1">
        <f t="array" ref="Q341:S341">_xlfn.TEXTSPLIT(J341,"/")</f>
        <v>10</v>
      </c>
      <c r="R341" s="1" t="str">
        <v>15</v>
      </c>
      <c r="S341" t="str">
        <v>2027</v>
      </c>
      <c r="T341" s="1">
        <f t="shared" si="29"/>
        <v>46675</v>
      </c>
      <c r="U341" s="19">
        <f t="shared" si="30"/>
        <v>3.6899999999999977</v>
      </c>
      <c r="V341" s="17">
        <f ca="1">(LN(N341/G341)+(L341/100)^2*P341/2)/(L341/100*SQRT(P341))</f>
        <v>-0.87020011420993526</v>
      </c>
      <c r="W341" s="17">
        <f ca="1">V341-L341/100*SQRT(P341)</f>
        <v>-1.3080760871967825</v>
      </c>
      <c r="X341" s="17">
        <f ca="1">(LN(N341/G341)+P341*(U341/100+(L341/100)^2/2))/((L341/100*SQRT(P341)))</f>
        <v>-0.73744531474061747</v>
      </c>
      <c r="Y341" s="17">
        <f ca="1">X341-N341/100*SQRT(R341)</f>
        <v>-1.2182374673388061</v>
      </c>
      <c r="Z341" s="20">
        <f ca="1">EXP(-P341)/(N341*L341/100*SQRT(P341))*_xlfn.NORM.S.DIST(X341,FALSE)</f>
        <v>1.1571627436244965E-2</v>
      </c>
      <c r="AA341" s="17">
        <f t="shared" ca="1" si="26"/>
        <v>9.8006872377459035E-3</v>
      </c>
      <c r="AB341" s="17"/>
      <c r="AC341" s="17"/>
      <c r="AD341" s="17"/>
    </row>
    <row r="342" spans="1:30" x14ac:dyDescent="0.25">
      <c r="A342" t="s">
        <v>106</v>
      </c>
      <c r="B342" t="s">
        <v>107</v>
      </c>
      <c r="C342" t="s">
        <v>108</v>
      </c>
      <c r="D342">
        <v>46398</v>
      </c>
      <c r="E342" t="s">
        <v>107</v>
      </c>
      <c r="F342" t="s">
        <v>110</v>
      </c>
      <c r="G342">
        <v>5</v>
      </c>
      <c r="H342">
        <v>2.5999999999999999E-2</v>
      </c>
      <c r="I342">
        <v>-3.0000000000000001E-3</v>
      </c>
      <c r="J342" t="s">
        <v>76</v>
      </c>
      <c r="K342">
        <v>4172</v>
      </c>
      <c r="L342">
        <v>35.432200000000002</v>
      </c>
      <c r="M342">
        <v>-1.179E-2</v>
      </c>
      <c r="N342">
        <f>INDEX(jkm!$H:$H,MATCH(J342,jkm!$J:$J,0),1)</f>
        <v>12.414</v>
      </c>
      <c r="O342" s="3">
        <f t="shared" ca="1" si="27"/>
        <v>575</v>
      </c>
      <c r="P342" s="3">
        <f t="shared" ca="1" si="28"/>
        <v>1.5753424657534247</v>
      </c>
      <c r="Q342" t="str" cm="1">
        <f t="array" ref="Q342:S342">_xlfn.TEXTSPLIT(J342,"/")</f>
        <v>10</v>
      </c>
      <c r="R342" s="1" t="str">
        <v>15</v>
      </c>
      <c r="S342" t="str">
        <v>2027</v>
      </c>
      <c r="T342" s="1">
        <f t="shared" si="29"/>
        <v>46675</v>
      </c>
      <c r="U342" s="19">
        <f t="shared" si="30"/>
        <v>3.6899999999999977</v>
      </c>
      <c r="V342" s="17">
        <f ca="1">(LN(N342/G342)+(L342/100)^2*P342/2)/(L342/100*SQRT(P342))</f>
        <v>2.2672172568280584</v>
      </c>
      <c r="W342" s="17">
        <f ca="1">V342-L342/100*SQRT(P342)</f>
        <v>1.8224983343049246</v>
      </c>
      <c r="X342" s="17">
        <f ca="1">(LN(N342/G342)+P342*(U342/100+(L342/100)^2/2))/((L342/100*SQRT(P342)))</f>
        <v>2.397929340443699</v>
      </c>
      <c r="Y342" s="17">
        <f ca="1">X342-N342/100*SQRT(R342)</f>
        <v>1.9171371878455101</v>
      </c>
      <c r="Z342" s="20">
        <f ca="1">EXP(-P342)/(N342*L342/100*SQRT(P342))*_xlfn.NORM.S.DIST(X342,FALSE)</f>
        <v>8.4360549412349373E-4</v>
      </c>
      <c r="AA342" s="17">
        <f t="shared" ca="1" si="26"/>
        <v>7.2566467193522219E-4</v>
      </c>
      <c r="AB342" s="17"/>
      <c r="AC342" s="17"/>
      <c r="AD342" s="17"/>
    </row>
    <row r="343" spans="1:30" x14ac:dyDescent="0.25">
      <c r="A343" t="s">
        <v>106</v>
      </c>
      <c r="B343" t="s">
        <v>107</v>
      </c>
      <c r="C343" t="s">
        <v>108</v>
      </c>
      <c r="D343">
        <v>46398</v>
      </c>
      <c r="E343" t="s">
        <v>107</v>
      </c>
      <c r="F343" t="s">
        <v>110</v>
      </c>
      <c r="G343">
        <v>10</v>
      </c>
      <c r="H343">
        <v>0.97599999999999998</v>
      </c>
      <c r="I343">
        <v>-6.0999999999999999E-2</v>
      </c>
      <c r="J343" t="s">
        <v>76</v>
      </c>
      <c r="K343">
        <v>4172</v>
      </c>
      <c r="L343">
        <v>35.103200000000001</v>
      </c>
      <c r="M343">
        <v>-0.23866000000000001</v>
      </c>
      <c r="N343">
        <f>INDEX(jkm!$H:$H,MATCH(J343,jkm!$J:$J,0),1)</f>
        <v>12.414</v>
      </c>
      <c r="O343" s="3">
        <f t="shared" ca="1" si="27"/>
        <v>575</v>
      </c>
      <c r="P343" s="3">
        <f t="shared" ca="1" si="28"/>
        <v>1.5753424657534247</v>
      </c>
      <c r="Q343" t="str" cm="1">
        <f t="array" ref="Q343:S343">_xlfn.TEXTSPLIT(J343,"/")</f>
        <v>10</v>
      </c>
      <c r="R343" s="1" t="str">
        <v>15</v>
      </c>
      <c r="S343" t="str">
        <v>2027</v>
      </c>
      <c r="T343" s="1">
        <f t="shared" si="29"/>
        <v>46675</v>
      </c>
      <c r="U343" s="19">
        <f t="shared" si="30"/>
        <v>3.6899999999999977</v>
      </c>
      <c r="V343" s="17">
        <f ca="1">(LN(N343/G343)+(L343/100)^2*P343/2)/(L343/100*SQRT(P343))</f>
        <v>0.71109119370717844</v>
      </c>
      <c r="W343" s="17">
        <f ca="1">V343-L343/100*SQRT(P343)</f>
        <v>0.270501637283528</v>
      </c>
      <c r="X343" s="17">
        <f ca="1">(LN(N343/G343)+P343*(U343/100+(L343/100)^2/2))/((L343/100*SQRT(P343)))</f>
        <v>0.84302835866895087</v>
      </c>
      <c r="Y343" s="17">
        <f ca="1">X343-N343/100*SQRT(R343)</f>
        <v>0.36223620607076212</v>
      </c>
      <c r="Z343" s="20">
        <f ca="1">EXP(-P343)/(N343*L343/100*SQRT(P343))*_xlfn.NORM.S.DIST(X343,FALSE)</f>
        <v>1.057975800447692E-2</v>
      </c>
      <c r="AA343" s="17">
        <f t="shared" ca="1" si="26"/>
        <v>9.0161453583619162E-3</v>
      </c>
      <c r="AB343" s="17"/>
      <c r="AC343" s="17"/>
      <c r="AD343" s="17"/>
    </row>
    <row r="344" spans="1:30" x14ac:dyDescent="0.25">
      <c r="A344" t="s">
        <v>106</v>
      </c>
      <c r="B344" t="s">
        <v>107</v>
      </c>
      <c r="C344" t="s">
        <v>108</v>
      </c>
      <c r="D344">
        <v>46398</v>
      </c>
      <c r="E344" t="s">
        <v>107</v>
      </c>
      <c r="F344" t="s">
        <v>110</v>
      </c>
      <c r="G344">
        <v>15</v>
      </c>
      <c r="H344">
        <v>3.8889999999999998</v>
      </c>
      <c r="I344">
        <v>-0.14699999999999999</v>
      </c>
      <c r="J344" t="s">
        <v>76</v>
      </c>
      <c r="K344">
        <v>4172</v>
      </c>
      <c r="L344">
        <v>34.930999999999997</v>
      </c>
      <c r="M344">
        <v>-0.58365999999999996</v>
      </c>
      <c r="N344">
        <f>INDEX(jkm!$H:$H,MATCH(J344,jkm!$J:$J,0),1)</f>
        <v>12.414</v>
      </c>
      <c r="O344" s="3">
        <f t="shared" ca="1" si="27"/>
        <v>575</v>
      </c>
      <c r="P344" s="3">
        <f t="shared" ca="1" si="28"/>
        <v>1.5753424657534247</v>
      </c>
      <c r="Q344" t="str" cm="1">
        <f t="array" ref="Q344:S344">_xlfn.TEXTSPLIT(J344,"/")</f>
        <v>10</v>
      </c>
      <c r="R344" s="1" t="str">
        <v>15</v>
      </c>
      <c r="S344" t="str">
        <v>2027</v>
      </c>
      <c r="T344" s="1">
        <f t="shared" si="29"/>
        <v>46675</v>
      </c>
      <c r="U344" s="19">
        <f t="shared" si="30"/>
        <v>3.6899999999999977</v>
      </c>
      <c r="V344" s="17">
        <f ca="1">(LN(N344/G344)+(L344/100)^2*P344/2)/(L344/100*SQRT(P344))</f>
        <v>-0.2123852233885031</v>
      </c>
      <c r="W344" s="17">
        <f ca="1">V344-L344/100*SQRT(P344)</f>
        <v>-0.65081345202391327</v>
      </c>
      <c r="X344" s="17">
        <f ca="1">(LN(N344/G344)+P344*(U344/100+(L344/100)^2/2))/((L344/100*SQRT(P344)))</f>
        <v>-7.9797645332160827E-2</v>
      </c>
      <c r="Y344" s="17">
        <f ca="1">X344-N344/100*SQRT(R344)</f>
        <v>-0.56058979793034958</v>
      </c>
      <c r="Z344" s="20">
        <f ca="1">EXP(-P344)/(N344*L344/100*SQRT(P344))*_xlfn.NORM.S.DIST(X344,FALSE)</f>
        <v>1.5120096231042497E-2</v>
      </c>
      <c r="AA344" s="17">
        <f t="shared" ca="1" si="26"/>
        <v>1.2822243978946064E-2</v>
      </c>
      <c r="AB344" s="17"/>
      <c r="AC344" s="17"/>
      <c r="AD344" s="17"/>
    </row>
    <row r="345" spans="1:30" x14ac:dyDescent="0.25">
      <c r="A345" t="s">
        <v>106</v>
      </c>
      <c r="B345" t="s">
        <v>107</v>
      </c>
      <c r="C345" t="s">
        <v>108</v>
      </c>
      <c r="D345">
        <v>46398</v>
      </c>
      <c r="E345" t="s">
        <v>107</v>
      </c>
      <c r="F345" t="s">
        <v>110</v>
      </c>
      <c r="G345">
        <v>20</v>
      </c>
      <c r="H345">
        <v>8.0649999999999995</v>
      </c>
      <c r="I345">
        <v>-0.2</v>
      </c>
      <c r="J345" t="s">
        <v>76</v>
      </c>
      <c r="K345">
        <v>4172</v>
      </c>
      <c r="L345">
        <v>34.887</v>
      </c>
      <c r="M345">
        <v>-0.80728</v>
      </c>
      <c r="N345">
        <f>INDEX(jkm!$H:$H,MATCH(J345,jkm!$J:$J,0),1)</f>
        <v>12.414</v>
      </c>
      <c r="O345" s="3">
        <f t="shared" ca="1" si="27"/>
        <v>575</v>
      </c>
      <c r="P345" s="3">
        <f t="shared" ca="1" si="28"/>
        <v>1.5753424657534247</v>
      </c>
      <c r="Q345" t="str" cm="1">
        <f t="array" ref="Q345:S345">_xlfn.TEXTSPLIT(J345,"/")</f>
        <v>10</v>
      </c>
      <c r="R345" s="1" t="str">
        <v>15</v>
      </c>
      <c r="S345" t="str">
        <v>2027</v>
      </c>
      <c r="T345" s="1">
        <f t="shared" si="29"/>
        <v>46675</v>
      </c>
      <c r="U345" s="19">
        <f t="shared" si="30"/>
        <v>3.6899999999999977</v>
      </c>
      <c r="V345" s="17">
        <f ca="1">(LN(N345/G345)+(L345/100)^2*P345/2)/(L345/100*SQRT(P345))</f>
        <v>-0.87020011420993526</v>
      </c>
      <c r="W345" s="17">
        <f ca="1">V345-L345/100*SQRT(P345)</f>
        <v>-1.3080760871967825</v>
      </c>
      <c r="X345" s="17">
        <f ca="1">(LN(N345/G345)+P345*(U345/100+(L345/100)^2/2))/((L345/100*SQRT(P345)))</f>
        <v>-0.73744531474061747</v>
      </c>
      <c r="Y345" s="17">
        <f ca="1">X345-N345/100*SQRT(R345)</f>
        <v>-1.2182374673388061</v>
      </c>
      <c r="Z345" s="20">
        <f ca="1">EXP(-P345)/(N345*L345/100*SQRT(P345))*_xlfn.NORM.S.DIST(X345,FALSE)</f>
        <v>1.1571627436244965E-2</v>
      </c>
      <c r="AA345" s="17">
        <f t="shared" ca="1" si="26"/>
        <v>9.8006872377459035E-3</v>
      </c>
      <c r="AB345" s="17"/>
      <c r="AC345" s="17"/>
      <c r="AD345" s="17"/>
    </row>
    <row r="346" spans="1:30" x14ac:dyDescent="0.25">
      <c r="A346" t="s">
        <v>106</v>
      </c>
      <c r="B346" t="s">
        <v>107</v>
      </c>
      <c r="C346" t="s">
        <v>108</v>
      </c>
      <c r="D346">
        <v>46399</v>
      </c>
      <c r="E346" t="s">
        <v>107</v>
      </c>
      <c r="F346" t="s">
        <v>109</v>
      </c>
      <c r="G346">
        <v>5</v>
      </c>
      <c r="H346">
        <v>7.7779999999999996</v>
      </c>
      <c r="I346">
        <v>0.26200000000000001</v>
      </c>
      <c r="J346" t="s">
        <v>77</v>
      </c>
      <c r="K346">
        <v>4172</v>
      </c>
      <c r="L346">
        <v>35.299199999999999</v>
      </c>
      <c r="M346">
        <v>0.98877999999999999</v>
      </c>
      <c r="N346">
        <f>INDEX(jkm!$H:$H,MATCH(J346,jkm!$J:$J,0),1)</f>
        <v>12.752000000000001</v>
      </c>
      <c r="O346" s="3">
        <f t="shared" ca="1" si="27"/>
        <v>606</v>
      </c>
      <c r="P346" s="3">
        <f t="shared" ca="1" si="28"/>
        <v>1.6602739726027398</v>
      </c>
      <c r="Q346" t="str" cm="1">
        <f t="array" ref="Q346:S346">_xlfn.TEXTSPLIT(J346,"/")</f>
        <v>11</v>
      </c>
      <c r="R346" s="1" t="str">
        <v>15</v>
      </c>
      <c r="S346" t="str">
        <v>2027</v>
      </c>
      <c r="T346" s="1">
        <f t="shared" si="29"/>
        <v>46706</v>
      </c>
      <c r="U346" s="19">
        <f t="shared" si="30"/>
        <v>3.6899999999999977</v>
      </c>
      <c r="V346" s="17">
        <f ca="1">(LN(N346/G346)+(L346/100)^2*P346/2)/(L346/100*SQRT(P346))</f>
        <v>2.2858530839183921</v>
      </c>
      <c r="W346" s="17">
        <f ca="1">V346-L346/100*SQRT(P346)</f>
        <v>1.8310171768805736</v>
      </c>
      <c r="X346" s="17">
        <f ca="1">(LN(N346/G346)+P346*(U346/100+(L346/100)^2/2))/((L346/100*SQRT(P346)))</f>
        <v>2.420548055535809</v>
      </c>
      <c r="Y346" s="17">
        <f ca="1">X346-N346/100*SQRT(R346)</f>
        <v>1.9266652192274392</v>
      </c>
      <c r="Z346" s="20">
        <f ca="1">EXP(-P346)/(N346*L346/100*SQRT(P346))*_xlfn.NORM.S.DIST(X346,FALSE)</f>
        <v>6.98476863118774E-4</v>
      </c>
      <c r="AA346" s="17">
        <f t="shared" ca="1" si="26"/>
        <v>6.656612182959924E-4</v>
      </c>
      <c r="AB346" s="17"/>
      <c r="AC346" s="17"/>
      <c r="AD346" s="17"/>
    </row>
    <row r="347" spans="1:30" x14ac:dyDescent="0.25">
      <c r="A347" t="s">
        <v>106</v>
      </c>
      <c r="B347" t="s">
        <v>107</v>
      </c>
      <c r="C347" t="s">
        <v>108</v>
      </c>
      <c r="D347">
        <v>46399</v>
      </c>
      <c r="E347" t="s">
        <v>107</v>
      </c>
      <c r="F347" t="s">
        <v>109</v>
      </c>
      <c r="G347">
        <v>10</v>
      </c>
      <c r="H347">
        <v>3.6890000000000001</v>
      </c>
      <c r="I347">
        <v>0.20300000000000001</v>
      </c>
      <c r="J347" t="s">
        <v>77</v>
      </c>
      <c r="K347">
        <v>4172</v>
      </c>
      <c r="L347">
        <v>34.988799999999998</v>
      </c>
      <c r="M347">
        <v>0.77761000000000002</v>
      </c>
      <c r="N347">
        <f>INDEX(jkm!$H:$H,MATCH(J347,jkm!$J:$J,0),1)</f>
        <v>12.752000000000001</v>
      </c>
      <c r="O347" s="3">
        <f t="shared" ca="1" si="27"/>
        <v>606</v>
      </c>
      <c r="P347" s="3">
        <f t="shared" ca="1" si="28"/>
        <v>1.6602739726027398</v>
      </c>
      <c r="Q347" t="str" cm="1">
        <f t="array" ref="Q347:S347">_xlfn.TEXTSPLIT(J347,"/")</f>
        <v>11</v>
      </c>
      <c r="R347" s="1" t="str">
        <v>15</v>
      </c>
      <c r="S347" t="str">
        <v>2027</v>
      </c>
      <c r="T347" s="1">
        <f t="shared" si="29"/>
        <v>46706</v>
      </c>
      <c r="U347" s="19">
        <f t="shared" si="30"/>
        <v>3.6899999999999977</v>
      </c>
      <c r="V347" s="17">
        <f ca="1">(LN(N347/G347)+(L347/100)^2*P347/2)/(L347/100*SQRT(P347))</f>
        <v>0.76464494360554991</v>
      </c>
      <c r="W347" s="17">
        <f ca="1">V347-L347/100*SQRT(P347)</f>
        <v>0.31380859082234736</v>
      </c>
      <c r="X347" s="17">
        <f ca="1">(LN(N347/G347)+P347*(U347/100+(L347/100)^2/2))/((L347/100*SQRT(P347)))</f>
        <v>0.90053484957881924</v>
      </c>
      <c r="Y347" s="17">
        <f ca="1">X347-N347/100*SQRT(R347)</f>
        <v>0.40665201327044942</v>
      </c>
      <c r="Z347" s="20">
        <f ca="1">EXP(-P347)/(N347*L347/100*SQRT(P347))*_xlfn.NORM.S.DIST(X347,FALSE)</f>
        <v>8.7935984063738284E-3</v>
      </c>
      <c r="AA347" s="17">
        <f t="shared" ca="1" si="26"/>
        <v>8.3067672823889556E-3</v>
      </c>
      <c r="AB347" s="17"/>
      <c r="AC347" s="17"/>
      <c r="AD347" s="17"/>
    </row>
    <row r="348" spans="1:30" x14ac:dyDescent="0.25">
      <c r="A348" t="s">
        <v>106</v>
      </c>
      <c r="B348" t="s">
        <v>107</v>
      </c>
      <c r="C348" t="s">
        <v>108</v>
      </c>
      <c r="D348">
        <v>46399</v>
      </c>
      <c r="E348" t="s">
        <v>107</v>
      </c>
      <c r="F348" t="s">
        <v>109</v>
      </c>
      <c r="G348">
        <v>15</v>
      </c>
      <c r="H348">
        <v>1.498</v>
      </c>
      <c r="I348">
        <v>0.114</v>
      </c>
      <c r="J348" t="s">
        <v>77</v>
      </c>
      <c r="K348">
        <v>4172</v>
      </c>
      <c r="L348">
        <v>34.807699999999997</v>
      </c>
      <c r="M348">
        <v>0.4456</v>
      </c>
      <c r="N348">
        <f>INDEX(jkm!$H:$H,MATCH(J348,jkm!$J:$J,0),1)</f>
        <v>12.752000000000001</v>
      </c>
      <c r="O348" s="3">
        <f t="shared" ca="1" si="27"/>
        <v>606</v>
      </c>
      <c r="P348" s="3">
        <f t="shared" ca="1" si="28"/>
        <v>1.6602739726027398</v>
      </c>
      <c r="Q348" t="str" cm="1">
        <f t="array" ref="Q348:S348">_xlfn.TEXTSPLIT(J348,"/")</f>
        <v>11</v>
      </c>
      <c r="R348" s="1" t="str">
        <v>15</v>
      </c>
      <c r="S348" t="str">
        <v>2027</v>
      </c>
      <c r="T348" s="1">
        <f t="shared" si="29"/>
        <v>46706</v>
      </c>
      <c r="U348" s="19">
        <f t="shared" si="30"/>
        <v>3.6899999999999977</v>
      </c>
      <c r="V348" s="17">
        <f ca="1">(LN(N348/G348)+(L348/100)^2*P348/2)/(L348/100*SQRT(P348))</f>
        <v>-0.13775759919297714</v>
      </c>
      <c r="W348" s="17">
        <f ca="1">V348-L348/100*SQRT(P348)</f>
        <v>-0.58626044915559028</v>
      </c>
      <c r="X348" s="17">
        <f ca="1">(LN(N348/G348)+P348*(U348/100+(L348/100)^2/2))/((L348/100*SQRT(P348)))</f>
        <v>-1.1606754629540793E-3</v>
      </c>
      <c r="Y348" s="17">
        <f ca="1">X348-N348/100*SQRT(R348)</f>
        <v>-0.49504351177132389</v>
      </c>
      <c r="Z348" s="20">
        <f ca="1">EXP(-P348)/(N348*L348/100*SQRT(P348))*_xlfn.NORM.S.DIST(X348,FALSE)</f>
        <v>1.3259234069587927E-2</v>
      </c>
      <c r="AA348" s="17">
        <f t="shared" ca="1" si="26"/>
        <v>1.2460346872972197E-2</v>
      </c>
      <c r="AB348" s="17"/>
      <c r="AC348" s="17"/>
      <c r="AD348" s="17"/>
    </row>
    <row r="349" spans="1:30" x14ac:dyDescent="0.25">
      <c r="A349" t="s">
        <v>106</v>
      </c>
      <c r="B349" t="s">
        <v>107</v>
      </c>
      <c r="C349" t="s">
        <v>108</v>
      </c>
      <c r="D349">
        <v>46399</v>
      </c>
      <c r="E349" t="s">
        <v>107</v>
      </c>
      <c r="F349" t="s">
        <v>109</v>
      </c>
      <c r="G349">
        <v>20</v>
      </c>
      <c r="H349">
        <v>0.58399999999999996</v>
      </c>
      <c r="I349">
        <v>5.5E-2</v>
      </c>
      <c r="J349" t="s">
        <v>77</v>
      </c>
      <c r="K349">
        <v>4172</v>
      </c>
      <c r="L349">
        <v>34.755400000000002</v>
      </c>
      <c r="M349">
        <v>0.21798999999999999</v>
      </c>
      <c r="N349">
        <f>INDEX(jkm!$H:$H,MATCH(J349,jkm!$J:$J,0),1)</f>
        <v>12.752000000000001</v>
      </c>
      <c r="O349" s="3">
        <f t="shared" ca="1" si="27"/>
        <v>606</v>
      </c>
      <c r="P349" s="3">
        <f t="shared" ca="1" si="28"/>
        <v>1.6602739726027398</v>
      </c>
      <c r="Q349" t="str" cm="1">
        <f t="array" ref="Q349:S349">_xlfn.TEXTSPLIT(J349,"/")</f>
        <v>11</v>
      </c>
      <c r="R349" s="1" t="str">
        <v>15</v>
      </c>
      <c r="S349" t="str">
        <v>2027</v>
      </c>
      <c r="T349" s="1">
        <f t="shared" si="29"/>
        <v>46706</v>
      </c>
      <c r="U349" s="19">
        <f t="shared" si="30"/>
        <v>3.6899999999999977</v>
      </c>
      <c r="V349" s="17">
        <f ca="1">(LN(N349/G349)+(L349/100)^2*P349/2)/(L349/100*SQRT(P349))</f>
        <v>-0.78103204339499965</v>
      </c>
      <c r="W349" s="17">
        <f ca="1">V349-L349/100*SQRT(P349)</f>
        <v>-1.2288609993900987</v>
      </c>
      <c r="X349" s="17">
        <f ca="1">(LN(N349/G349)+P349*(U349/100+(L349/100)^2/2))/((L349/100*SQRT(P349)))</f>
        <v>-0.64422956832299583</v>
      </c>
      <c r="Y349" s="17">
        <f ca="1">X349-N349/100*SQRT(R349)</f>
        <v>-1.1381124046313658</v>
      </c>
      <c r="Z349" s="20">
        <f ca="1">EXP(-P349)/(N349*L349/100*SQRT(P349))*_xlfn.NORM.S.DIST(X349,FALSE)</f>
        <v>1.0790678902575119E-2</v>
      </c>
      <c r="AA349" s="17">
        <f t="shared" ca="1" si="26"/>
        <v>1.0125289013486454E-2</v>
      </c>
      <c r="AB349" s="17"/>
      <c r="AC349" s="17"/>
      <c r="AD349" s="17"/>
    </row>
    <row r="350" spans="1:30" x14ac:dyDescent="0.25">
      <c r="A350" t="s">
        <v>106</v>
      </c>
      <c r="B350" t="s">
        <v>107</v>
      </c>
      <c r="C350" t="s">
        <v>108</v>
      </c>
      <c r="D350">
        <v>46399</v>
      </c>
      <c r="E350" t="s">
        <v>107</v>
      </c>
      <c r="F350" t="s">
        <v>110</v>
      </c>
      <c r="G350">
        <v>5</v>
      </c>
      <c r="H350">
        <v>2.5999999999999999E-2</v>
      </c>
      <c r="I350">
        <v>-3.0000000000000001E-3</v>
      </c>
      <c r="J350" t="s">
        <v>77</v>
      </c>
      <c r="K350">
        <v>4172</v>
      </c>
      <c r="L350">
        <v>35.299199999999999</v>
      </c>
      <c r="M350">
        <v>-1.1220000000000001E-2</v>
      </c>
      <c r="N350">
        <f>INDEX(jkm!$H:$H,MATCH(J350,jkm!$J:$J,0),1)</f>
        <v>12.752000000000001</v>
      </c>
      <c r="O350" s="3">
        <f t="shared" ca="1" si="27"/>
        <v>606</v>
      </c>
      <c r="P350" s="3">
        <f t="shared" ca="1" si="28"/>
        <v>1.6602739726027398</v>
      </c>
      <c r="Q350" t="str" cm="1">
        <f t="array" ref="Q350:S350">_xlfn.TEXTSPLIT(J350,"/")</f>
        <v>11</v>
      </c>
      <c r="R350" s="1" t="str">
        <v>15</v>
      </c>
      <c r="S350" t="str">
        <v>2027</v>
      </c>
      <c r="T350" s="1">
        <f t="shared" si="29"/>
        <v>46706</v>
      </c>
      <c r="U350" s="19">
        <f t="shared" si="30"/>
        <v>3.6899999999999977</v>
      </c>
      <c r="V350" s="17">
        <f ca="1">(LN(N350/G350)+(L350/100)^2*P350/2)/(L350/100*SQRT(P350))</f>
        <v>2.2858530839183921</v>
      </c>
      <c r="W350" s="17">
        <f ca="1">V350-L350/100*SQRT(P350)</f>
        <v>1.8310171768805736</v>
      </c>
      <c r="X350" s="17">
        <f ca="1">(LN(N350/G350)+P350*(U350/100+(L350/100)^2/2))/((L350/100*SQRT(P350)))</f>
        <v>2.420548055535809</v>
      </c>
      <c r="Y350" s="17">
        <f ca="1">X350-N350/100*SQRT(R350)</f>
        <v>1.9266652192274392</v>
      </c>
      <c r="Z350" s="20">
        <f ca="1">EXP(-P350)/(N350*L350/100*SQRT(P350))*_xlfn.NORM.S.DIST(X350,FALSE)</f>
        <v>6.98476863118774E-4</v>
      </c>
      <c r="AA350" s="17">
        <f t="shared" ca="1" si="26"/>
        <v>6.656612182959924E-4</v>
      </c>
      <c r="AB350" s="17"/>
      <c r="AC350" s="17"/>
      <c r="AD350" s="17"/>
    </row>
    <row r="351" spans="1:30" x14ac:dyDescent="0.25">
      <c r="A351" t="s">
        <v>106</v>
      </c>
      <c r="B351" t="s">
        <v>107</v>
      </c>
      <c r="C351" t="s">
        <v>108</v>
      </c>
      <c r="D351">
        <v>46399</v>
      </c>
      <c r="E351" t="s">
        <v>107</v>
      </c>
      <c r="F351" t="s">
        <v>110</v>
      </c>
      <c r="G351">
        <v>10</v>
      </c>
      <c r="H351">
        <v>0.93700000000000006</v>
      </c>
      <c r="I351">
        <v>-6.2E-2</v>
      </c>
      <c r="J351" t="s">
        <v>77</v>
      </c>
      <c r="K351">
        <v>4172</v>
      </c>
      <c r="L351">
        <v>34.988799999999998</v>
      </c>
      <c r="M351">
        <v>-0.22239999999999999</v>
      </c>
      <c r="N351">
        <f>INDEX(jkm!$H:$H,MATCH(J351,jkm!$J:$J,0),1)</f>
        <v>12.752000000000001</v>
      </c>
      <c r="O351" s="3">
        <f t="shared" ca="1" si="27"/>
        <v>606</v>
      </c>
      <c r="P351" s="3">
        <f t="shared" ca="1" si="28"/>
        <v>1.6602739726027398</v>
      </c>
      <c r="Q351" t="str" cm="1">
        <f t="array" ref="Q351:S351">_xlfn.TEXTSPLIT(J351,"/")</f>
        <v>11</v>
      </c>
      <c r="R351" s="1" t="str">
        <v>15</v>
      </c>
      <c r="S351" t="str">
        <v>2027</v>
      </c>
      <c r="T351" s="1">
        <f t="shared" si="29"/>
        <v>46706</v>
      </c>
      <c r="U351" s="19">
        <f t="shared" si="30"/>
        <v>3.6899999999999977</v>
      </c>
      <c r="V351" s="17">
        <f ca="1">(LN(N351/G351)+(L351/100)^2*P351/2)/(L351/100*SQRT(P351))</f>
        <v>0.76464494360554991</v>
      </c>
      <c r="W351" s="17">
        <f ca="1">V351-L351/100*SQRT(P351)</f>
        <v>0.31380859082234736</v>
      </c>
      <c r="X351" s="17">
        <f ca="1">(LN(N351/G351)+P351*(U351/100+(L351/100)^2/2))/((L351/100*SQRT(P351)))</f>
        <v>0.90053484957881924</v>
      </c>
      <c r="Y351" s="17">
        <f ca="1">X351-N351/100*SQRT(R351)</f>
        <v>0.40665201327044942</v>
      </c>
      <c r="Z351" s="20">
        <f ca="1">EXP(-P351)/(N351*L351/100*SQRT(P351))*_xlfn.NORM.S.DIST(X351,FALSE)</f>
        <v>8.7935984063738284E-3</v>
      </c>
      <c r="AA351" s="17">
        <f t="shared" ca="1" si="26"/>
        <v>8.3067672823889556E-3</v>
      </c>
      <c r="AB351" s="17"/>
      <c r="AC351" s="17"/>
      <c r="AD351" s="17"/>
    </row>
    <row r="352" spans="1:30" x14ac:dyDescent="0.25">
      <c r="A352" t="s">
        <v>106</v>
      </c>
      <c r="B352" t="s">
        <v>107</v>
      </c>
      <c r="C352" t="s">
        <v>108</v>
      </c>
      <c r="D352">
        <v>46399</v>
      </c>
      <c r="E352" t="s">
        <v>107</v>
      </c>
      <c r="F352" t="s">
        <v>110</v>
      </c>
      <c r="G352">
        <v>15</v>
      </c>
      <c r="H352">
        <v>3.746</v>
      </c>
      <c r="I352">
        <v>-0.151</v>
      </c>
      <c r="J352" t="s">
        <v>77</v>
      </c>
      <c r="K352">
        <v>4172</v>
      </c>
      <c r="L352">
        <v>34.807699999999997</v>
      </c>
      <c r="M352">
        <v>-0.5544</v>
      </c>
      <c r="N352">
        <f>INDEX(jkm!$H:$H,MATCH(J352,jkm!$J:$J,0),1)</f>
        <v>12.752000000000001</v>
      </c>
      <c r="O352" s="3">
        <f t="shared" ca="1" si="27"/>
        <v>606</v>
      </c>
      <c r="P352" s="3">
        <f t="shared" ca="1" si="28"/>
        <v>1.6602739726027398</v>
      </c>
      <c r="Q352" t="str" cm="1">
        <f t="array" ref="Q352:S352">_xlfn.TEXTSPLIT(J352,"/")</f>
        <v>11</v>
      </c>
      <c r="R352" s="1" t="str">
        <v>15</v>
      </c>
      <c r="S352" t="str">
        <v>2027</v>
      </c>
      <c r="T352" s="1">
        <f t="shared" si="29"/>
        <v>46706</v>
      </c>
      <c r="U352" s="19">
        <f t="shared" si="30"/>
        <v>3.6899999999999977</v>
      </c>
      <c r="V352" s="17">
        <f ca="1">(LN(N352/G352)+(L352/100)^2*P352/2)/(L352/100*SQRT(P352))</f>
        <v>-0.13775759919297714</v>
      </c>
      <c r="W352" s="17">
        <f ca="1">V352-L352/100*SQRT(P352)</f>
        <v>-0.58626044915559028</v>
      </c>
      <c r="X352" s="17">
        <f ca="1">(LN(N352/G352)+P352*(U352/100+(L352/100)^2/2))/((L352/100*SQRT(P352)))</f>
        <v>-1.1606754629540793E-3</v>
      </c>
      <c r="Y352" s="17">
        <f ca="1">X352-N352/100*SQRT(R352)</f>
        <v>-0.49504351177132389</v>
      </c>
      <c r="Z352" s="20">
        <f ca="1">EXP(-P352)/(N352*L352/100*SQRT(P352))*_xlfn.NORM.S.DIST(X352,FALSE)</f>
        <v>1.3259234069587927E-2</v>
      </c>
      <c r="AA352" s="17">
        <f t="shared" ca="1" si="26"/>
        <v>1.2460346872972197E-2</v>
      </c>
      <c r="AB352" s="17"/>
      <c r="AC352" s="17"/>
      <c r="AD352" s="17"/>
    </row>
    <row r="353" spans="1:30" x14ac:dyDescent="0.25">
      <c r="A353" t="s">
        <v>106</v>
      </c>
      <c r="B353" t="s">
        <v>107</v>
      </c>
      <c r="C353" t="s">
        <v>108</v>
      </c>
      <c r="D353">
        <v>46399</v>
      </c>
      <c r="E353" t="s">
        <v>107</v>
      </c>
      <c r="F353" t="s">
        <v>110</v>
      </c>
      <c r="G353">
        <v>20</v>
      </c>
      <c r="H353">
        <v>7.8319999999999999</v>
      </c>
      <c r="I353">
        <v>-0.21</v>
      </c>
      <c r="J353" t="s">
        <v>77</v>
      </c>
      <c r="K353">
        <v>4172</v>
      </c>
      <c r="L353">
        <v>34.755400000000002</v>
      </c>
      <c r="M353">
        <v>-0.78200999999999998</v>
      </c>
      <c r="N353">
        <f>INDEX(jkm!$H:$H,MATCH(J353,jkm!$J:$J,0),1)</f>
        <v>12.752000000000001</v>
      </c>
      <c r="O353" s="3">
        <f t="shared" ca="1" si="27"/>
        <v>606</v>
      </c>
      <c r="P353" s="3">
        <f t="shared" ca="1" si="28"/>
        <v>1.6602739726027398</v>
      </c>
      <c r="Q353" t="str" cm="1">
        <f t="array" ref="Q353:S353">_xlfn.TEXTSPLIT(J353,"/")</f>
        <v>11</v>
      </c>
      <c r="R353" s="1" t="str">
        <v>15</v>
      </c>
      <c r="S353" t="str">
        <v>2027</v>
      </c>
      <c r="T353" s="1">
        <f t="shared" si="29"/>
        <v>46706</v>
      </c>
      <c r="U353" s="19">
        <f t="shared" si="30"/>
        <v>3.6899999999999977</v>
      </c>
      <c r="V353" s="17">
        <f ca="1">(LN(N353/G353)+(L353/100)^2*P353/2)/(L353/100*SQRT(P353))</f>
        <v>-0.78103204339499965</v>
      </c>
      <c r="W353" s="17">
        <f ca="1">V353-L353/100*SQRT(P353)</f>
        <v>-1.2288609993900987</v>
      </c>
      <c r="X353" s="17">
        <f ca="1">(LN(N353/G353)+P353*(U353/100+(L353/100)^2/2))/((L353/100*SQRT(P353)))</f>
        <v>-0.64422956832299583</v>
      </c>
      <c r="Y353" s="17">
        <f ca="1">X353-N353/100*SQRT(R353)</f>
        <v>-1.1381124046313658</v>
      </c>
      <c r="Z353" s="20">
        <f ca="1">EXP(-P353)/(N353*L353/100*SQRT(P353))*_xlfn.NORM.S.DIST(X353,FALSE)</f>
        <v>1.0790678902575119E-2</v>
      </c>
      <c r="AA353" s="17">
        <f t="shared" ca="1" si="26"/>
        <v>1.0125289013486454E-2</v>
      </c>
      <c r="AB353" s="17"/>
      <c r="AC353" s="17"/>
      <c r="AD353" s="17"/>
    </row>
    <row r="354" spans="1:30" x14ac:dyDescent="0.25">
      <c r="A354" t="s">
        <v>106</v>
      </c>
      <c r="B354" t="s">
        <v>107</v>
      </c>
      <c r="C354" t="s">
        <v>108</v>
      </c>
      <c r="D354">
        <v>46753</v>
      </c>
      <c r="E354" t="s">
        <v>107</v>
      </c>
      <c r="F354" t="s">
        <v>109</v>
      </c>
      <c r="G354">
        <v>5</v>
      </c>
      <c r="H354">
        <v>7.468</v>
      </c>
      <c r="I354">
        <v>0.22500000000000001</v>
      </c>
      <c r="J354" t="s">
        <v>78</v>
      </c>
      <c r="K354">
        <v>4172</v>
      </c>
      <c r="L354">
        <v>35.271599999999999</v>
      </c>
      <c r="M354">
        <v>0.98560999999999999</v>
      </c>
      <c r="N354">
        <f>INDEX(jkm!$H:$H,MATCH(J354,jkm!$J:$J,0),1)</f>
        <v>12.433</v>
      </c>
      <c r="O354" s="3">
        <f t="shared" ca="1" si="27"/>
        <v>636</v>
      </c>
      <c r="P354" s="3">
        <f t="shared" ca="1" si="28"/>
        <v>1.7424657534246575</v>
      </c>
      <c r="Q354" t="str" cm="1">
        <f t="array" ref="Q354:S354">_xlfn.TEXTSPLIT(J354,"/")</f>
        <v>12</v>
      </c>
      <c r="R354" s="1" t="str">
        <v>15</v>
      </c>
      <c r="S354" t="str">
        <v>2027</v>
      </c>
      <c r="T354" s="1">
        <f t="shared" si="29"/>
        <v>46736</v>
      </c>
      <c r="U354" s="19">
        <f t="shared" si="30"/>
        <v>3.6899999999999977</v>
      </c>
      <c r="V354" s="17">
        <f ca="1">(LN(N354/G354)+(L354/100)^2*P354/2)/(L354/100*SQRT(P354))</f>
        <v>2.1892579498893094</v>
      </c>
      <c r="W354" s="17">
        <f ca="1">V354-L354/100*SQRT(P354)</f>
        <v>1.7236640450157745</v>
      </c>
      <c r="X354" s="17">
        <f ca="1">(LN(N354/G354)+P354*(U354/100+(L354/100)^2/2))/((L354/100*SQRT(P354)))</f>
        <v>2.3273546595505628</v>
      </c>
      <c r="Y354" s="17">
        <f ca="1">X354-N354/100*SQRT(R354)</f>
        <v>1.8458266401165946</v>
      </c>
      <c r="Z354" s="20">
        <f ca="1">EXP(-P354)/(N354*L354/100*SQRT(P354))*_xlfn.NORM.S.DIST(X354,FALSE)</f>
        <v>8.0424476848102921E-4</v>
      </c>
      <c r="AA354" s="17">
        <f t="shared" ca="1" si="26"/>
        <v>7.6406362349919937E-4</v>
      </c>
      <c r="AB354" s="17"/>
      <c r="AC354" s="17"/>
      <c r="AD354" s="17"/>
    </row>
    <row r="355" spans="1:30" x14ac:dyDescent="0.25">
      <c r="A355" t="s">
        <v>106</v>
      </c>
      <c r="B355" t="s">
        <v>107</v>
      </c>
      <c r="C355" t="s">
        <v>108</v>
      </c>
      <c r="D355">
        <v>46753</v>
      </c>
      <c r="E355" t="s">
        <v>107</v>
      </c>
      <c r="F355" t="s">
        <v>109</v>
      </c>
      <c r="G355">
        <v>8</v>
      </c>
      <c r="H355">
        <v>4.8490000000000002</v>
      </c>
      <c r="I355">
        <v>0.2</v>
      </c>
      <c r="J355" t="s">
        <v>78</v>
      </c>
      <c r="K355">
        <v>4172</v>
      </c>
      <c r="L355">
        <v>35.070399999999999</v>
      </c>
      <c r="M355">
        <v>0.88154999999999994</v>
      </c>
      <c r="N355">
        <f>INDEX(jkm!$H:$H,MATCH(J355,jkm!$J:$J,0),1)</f>
        <v>12.433</v>
      </c>
      <c r="O355" s="3">
        <f t="shared" ca="1" si="27"/>
        <v>636</v>
      </c>
      <c r="P355" s="3">
        <f t="shared" ca="1" si="28"/>
        <v>1.7424657534246575</v>
      </c>
      <c r="Q355" t="str" cm="1">
        <f t="array" ref="Q355:S355">_xlfn.TEXTSPLIT(J355,"/")</f>
        <v>12</v>
      </c>
      <c r="R355" s="1" t="str">
        <v>15</v>
      </c>
      <c r="S355" t="str">
        <v>2027</v>
      </c>
      <c r="T355" s="1">
        <f t="shared" si="29"/>
        <v>46736</v>
      </c>
      <c r="U355" s="19">
        <f t="shared" si="30"/>
        <v>3.6899999999999977</v>
      </c>
      <c r="V355" s="17">
        <f ca="1">(LN(N355/G355)+(L355/100)^2*P355/2)/(L355/100*SQRT(P355))</f>
        <v>1.1838917340341419</v>
      </c>
      <c r="W355" s="17">
        <f ca="1">V355-L355/100*SQRT(P355)</f>
        <v>0.72095371927221397</v>
      </c>
      <c r="X355" s="17">
        <f ca="1">(LN(N355/G355)+P355*(U355/100+(L355/100)^2/2))/((L355/100*SQRT(P355)))</f>
        <v>1.322780708910045</v>
      </c>
      <c r="Y355" s="17">
        <f ca="1">X355-N355/100*SQRT(R355)</f>
        <v>0.84125268947607679</v>
      </c>
      <c r="Z355" s="20">
        <f ca="1">EXP(-P355)/(N355*L355/100*SQRT(P355))*_xlfn.NORM.S.DIST(X355,FALSE)</f>
        <v>5.0595850485033811E-3</v>
      </c>
      <c r="AA355" s="17">
        <f t="shared" ca="1" si="26"/>
        <v>4.7793819418832876E-3</v>
      </c>
      <c r="AB355" s="17"/>
      <c r="AC355" s="17"/>
      <c r="AD355" s="17"/>
    </row>
    <row r="356" spans="1:30" x14ac:dyDescent="0.25">
      <c r="A356" t="s">
        <v>106</v>
      </c>
      <c r="B356" t="s">
        <v>107</v>
      </c>
      <c r="C356" t="s">
        <v>108</v>
      </c>
      <c r="D356">
        <v>46753</v>
      </c>
      <c r="E356" t="s">
        <v>107</v>
      </c>
      <c r="F356" t="s">
        <v>109</v>
      </c>
      <c r="G356">
        <v>10</v>
      </c>
      <c r="H356">
        <v>3.484</v>
      </c>
      <c r="I356">
        <v>0.17</v>
      </c>
      <c r="J356" t="s">
        <v>78</v>
      </c>
      <c r="K356">
        <v>4172</v>
      </c>
      <c r="L356">
        <v>34.948300000000003</v>
      </c>
      <c r="M356">
        <v>0.75876999999999994</v>
      </c>
      <c r="N356">
        <f>INDEX(jkm!$H:$H,MATCH(J356,jkm!$J:$J,0),1)</f>
        <v>12.433</v>
      </c>
      <c r="O356" s="3">
        <f t="shared" ca="1" si="27"/>
        <v>636</v>
      </c>
      <c r="P356" s="3">
        <f t="shared" ca="1" si="28"/>
        <v>1.7424657534246575</v>
      </c>
      <c r="Q356" t="str" cm="1">
        <f t="array" ref="Q356:S356">_xlfn.TEXTSPLIT(J356,"/")</f>
        <v>12</v>
      </c>
      <c r="R356" s="1" t="str">
        <v>15</v>
      </c>
      <c r="S356" t="str">
        <v>2027</v>
      </c>
      <c r="T356" s="1">
        <f t="shared" si="29"/>
        <v>46736</v>
      </c>
      <c r="U356" s="19">
        <f t="shared" si="30"/>
        <v>3.6899999999999977</v>
      </c>
      <c r="V356" s="17">
        <f ca="1">(LN(N356/G356)+(L356/100)^2*P356/2)/(L356/100*SQRT(P356))</f>
        <v>0.70271328800838673</v>
      </c>
      <c r="W356" s="17">
        <f ca="1">V356-L356/100*SQRT(P356)</f>
        <v>0.24138702365713066</v>
      </c>
      <c r="X356" s="17">
        <f ca="1">(LN(N356/G356)+P356*(U356/100+(L356/100)^2/2))/((L356/100*SQRT(P356)))</f>
        <v>0.84208750376388464</v>
      </c>
      <c r="Y356" s="17">
        <f ca="1">X356-N356/100*SQRT(R356)</f>
        <v>0.36055948432991647</v>
      </c>
      <c r="Z356" s="20">
        <f ca="1">EXP(-P356)/(N356*L356/100*SQRT(P356))*_xlfn.NORM.S.DIST(X356,FALSE)</f>
        <v>8.5428172051885774E-3</v>
      </c>
      <c r="AA356" s="17">
        <f t="shared" ca="1" si="26"/>
        <v>8.0416151893868866E-3</v>
      </c>
      <c r="AB356" s="17"/>
      <c r="AC356" s="17"/>
      <c r="AD356" s="17"/>
    </row>
    <row r="357" spans="1:30" x14ac:dyDescent="0.25">
      <c r="A357" t="s">
        <v>106</v>
      </c>
      <c r="B357" t="s">
        <v>107</v>
      </c>
      <c r="C357" t="s">
        <v>108</v>
      </c>
      <c r="D357">
        <v>46753</v>
      </c>
      <c r="E357" t="s">
        <v>107</v>
      </c>
      <c r="F357" t="s">
        <v>109</v>
      </c>
      <c r="G357">
        <v>13</v>
      </c>
      <c r="H357">
        <v>2.0430000000000001</v>
      </c>
      <c r="I357">
        <v>0.123</v>
      </c>
      <c r="J357" t="s">
        <v>78</v>
      </c>
      <c r="K357">
        <v>4172</v>
      </c>
      <c r="L357">
        <v>34.827599999999997</v>
      </c>
      <c r="M357">
        <v>0.55305000000000004</v>
      </c>
      <c r="N357">
        <f>INDEX(jkm!$H:$H,MATCH(J357,jkm!$J:$J,0),1)</f>
        <v>12.433</v>
      </c>
      <c r="O357" s="3">
        <f t="shared" ca="1" si="27"/>
        <v>636</v>
      </c>
      <c r="P357" s="3">
        <f t="shared" ca="1" si="28"/>
        <v>1.7424657534246575</v>
      </c>
      <c r="Q357" t="str" cm="1">
        <f t="array" ref="Q357:S357">_xlfn.TEXTSPLIT(J357,"/")</f>
        <v>12</v>
      </c>
      <c r="R357" s="1" t="str">
        <v>15</v>
      </c>
      <c r="S357" t="str">
        <v>2027</v>
      </c>
      <c r="T357" s="1">
        <f t="shared" si="29"/>
        <v>46736</v>
      </c>
      <c r="U357" s="19">
        <f t="shared" si="30"/>
        <v>3.6899999999999977</v>
      </c>
      <c r="V357" s="17">
        <f ca="1">(LN(N357/G357)+(L357/100)^2*P357/2)/(L357/100*SQRT(P357))</f>
        <v>0.13286425879174582</v>
      </c>
      <c r="W357" s="17">
        <f ca="1">V357-L357/100*SQRT(P357)</f>
        <v>-0.32686873549752726</v>
      </c>
      <c r="X357" s="17">
        <f ca="1">(LN(N357/G357)+P357*(U357/100+(L357/100)^2/2))/((L357/100*SQRT(P357)))</f>
        <v>0.27272149570981857</v>
      </c>
      <c r="Y357" s="17">
        <f ca="1">X357-N357/100*SQRT(R357)</f>
        <v>-0.2088065237241496</v>
      </c>
      <c r="Z357" s="20">
        <f ca="1">EXP(-P357)/(N357*L357/100*SQRT(P357))*_xlfn.NORM.S.DIST(X357,FALSE)</f>
        <v>1.1774282012880249E-2</v>
      </c>
      <c r="AA357" s="17">
        <f t="shared" ca="1" si="26"/>
        <v>1.1045213117884129E-2</v>
      </c>
      <c r="AB357" s="17"/>
      <c r="AC357" s="17"/>
      <c r="AD357" s="17"/>
    </row>
    <row r="358" spans="1:30" x14ac:dyDescent="0.25">
      <c r="A358" t="s">
        <v>106</v>
      </c>
      <c r="B358" t="s">
        <v>107</v>
      </c>
      <c r="C358" t="s">
        <v>108</v>
      </c>
      <c r="D358">
        <v>46753</v>
      </c>
      <c r="E358" t="s">
        <v>107</v>
      </c>
      <c r="F358" t="s">
        <v>109</v>
      </c>
      <c r="G358">
        <v>15</v>
      </c>
      <c r="H358">
        <v>1.411</v>
      </c>
      <c r="I358">
        <v>9.5000000000000001E-2</v>
      </c>
      <c r="J358" t="s">
        <v>78</v>
      </c>
      <c r="K358">
        <v>4172</v>
      </c>
      <c r="L358">
        <v>34.769799999999996</v>
      </c>
      <c r="M358">
        <v>0.42918000000000001</v>
      </c>
      <c r="N358">
        <f>INDEX(jkm!$H:$H,MATCH(J358,jkm!$J:$J,0),1)</f>
        <v>12.433</v>
      </c>
      <c r="O358" s="3">
        <f t="shared" ca="1" si="27"/>
        <v>636</v>
      </c>
      <c r="P358" s="3">
        <f t="shared" ca="1" si="28"/>
        <v>1.7424657534246575</v>
      </c>
      <c r="Q358" t="str" cm="1">
        <f t="array" ref="Q358:S358">_xlfn.TEXTSPLIT(J358,"/")</f>
        <v>12</v>
      </c>
      <c r="R358" s="1" t="str">
        <v>15</v>
      </c>
      <c r="S358" t="str">
        <v>2027</v>
      </c>
      <c r="T358" s="1">
        <f t="shared" si="29"/>
        <v>46736</v>
      </c>
      <c r="U358" s="19">
        <f t="shared" si="30"/>
        <v>3.6899999999999977</v>
      </c>
      <c r="V358" s="17">
        <f ca="1">(LN(N358/G358)+(L358/100)^2*P358/2)/(L358/100*SQRT(P358))</f>
        <v>-0.17946538985285029</v>
      </c>
      <c r="W358" s="17">
        <f ca="1">V358-L358/100*SQRT(P358)</f>
        <v>-0.63843540974624424</v>
      </c>
      <c r="X358" s="17">
        <f ca="1">(LN(N358/G358)+P358*(U358/100+(L358/100)^2/2))/((L358/100*SQRT(P358)))</f>
        <v>-3.937565955564213E-2</v>
      </c>
      <c r="Y358" s="17">
        <f ca="1">X358-N358/100*SQRT(R358)</f>
        <v>-0.52090367898961032</v>
      </c>
      <c r="Z358" s="20">
        <f ca="1">EXP(-P358)/(N358*L358/100*SQRT(P358))*_xlfn.NORM.S.DIST(X358,FALSE)</f>
        <v>1.223122282376094E-2</v>
      </c>
      <c r="AA358" s="17">
        <f t="shared" ca="1" si="26"/>
        <v>1.1454817890157159E-2</v>
      </c>
      <c r="AB358" s="17"/>
      <c r="AC358" s="17"/>
      <c r="AD358" s="17"/>
    </row>
    <row r="359" spans="1:30" x14ac:dyDescent="0.25">
      <c r="A359" t="s">
        <v>106</v>
      </c>
      <c r="B359" t="s">
        <v>107</v>
      </c>
      <c r="C359" t="s">
        <v>108</v>
      </c>
      <c r="D359">
        <v>46753</v>
      </c>
      <c r="E359" t="s">
        <v>107</v>
      </c>
      <c r="F359" t="s">
        <v>110</v>
      </c>
      <c r="G359">
        <v>5</v>
      </c>
      <c r="H359">
        <v>3.5000000000000003E-2</v>
      </c>
      <c r="I359">
        <v>-3.0000000000000001E-3</v>
      </c>
      <c r="J359" t="s">
        <v>78</v>
      </c>
      <c r="K359">
        <v>4172</v>
      </c>
      <c r="L359">
        <v>35.271599999999999</v>
      </c>
      <c r="M359">
        <v>-1.439E-2</v>
      </c>
      <c r="N359">
        <f>INDEX(jkm!$H:$H,MATCH(J359,jkm!$J:$J,0),1)</f>
        <v>12.433</v>
      </c>
      <c r="O359" s="3">
        <f t="shared" ca="1" si="27"/>
        <v>636</v>
      </c>
      <c r="P359" s="3">
        <f t="shared" ca="1" si="28"/>
        <v>1.7424657534246575</v>
      </c>
      <c r="Q359" t="str" cm="1">
        <f t="array" ref="Q359:S359">_xlfn.TEXTSPLIT(J359,"/")</f>
        <v>12</v>
      </c>
      <c r="R359" s="1" t="str">
        <v>15</v>
      </c>
      <c r="S359" t="str">
        <v>2027</v>
      </c>
      <c r="T359" s="1">
        <f t="shared" si="29"/>
        <v>46736</v>
      </c>
      <c r="U359" s="19">
        <f t="shared" si="30"/>
        <v>3.6899999999999977</v>
      </c>
      <c r="V359" s="17">
        <f ca="1">(LN(N359/G359)+(L359/100)^2*P359/2)/(L359/100*SQRT(P359))</f>
        <v>2.1892579498893094</v>
      </c>
      <c r="W359" s="17">
        <f ca="1">V359-L359/100*SQRT(P359)</f>
        <v>1.7236640450157745</v>
      </c>
      <c r="X359" s="17">
        <f ca="1">(LN(N359/G359)+P359*(U359/100+(L359/100)^2/2))/((L359/100*SQRT(P359)))</f>
        <v>2.3273546595505628</v>
      </c>
      <c r="Y359" s="17">
        <f ca="1">X359-N359/100*SQRT(R359)</f>
        <v>1.8458266401165946</v>
      </c>
      <c r="Z359" s="20">
        <f ca="1">EXP(-P359)/(N359*L359/100*SQRT(P359))*_xlfn.NORM.S.DIST(X359,FALSE)</f>
        <v>8.0424476848102921E-4</v>
      </c>
      <c r="AA359" s="17">
        <f t="shared" ca="1" si="26"/>
        <v>7.6406362349919937E-4</v>
      </c>
      <c r="AB359" s="17"/>
      <c r="AC359" s="17"/>
      <c r="AD359" s="17"/>
    </row>
    <row r="360" spans="1:30" x14ac:dyDescent="0.25">
      <c r="A360" t="s">
        <v>106</v>
      </c>
      <c r="B360" t="s">
        <v>107</v>
      </c>
      <c r="C360" t="s">
        <v>108</v>
      </c>
      <c r="D360">
        <v>46753</v>
      </c>
      <c r="E360" t="s">
        <v>107</v>
      </c>
      <c r="F360" t="s">
        <v>110</v>
      </c>
      <c r="G360">
        <v>8</v>
      </c>
      <c r="H360">
        <v>0.41599999999999998</v>
      </c>
      <c r="I360">
        <v>-2.8000000000000001E-2</v>
      </c>
      <c r="J360" t="s">
        <v>78</v>
      </c>
      <c r="K360">
        <v>4172</v>
      </c>
      <c r="L360">
        <v>35.070399999999999</v>
      </c>
      <c r="M360">
        <v>-0.11845</v>
      </c>
      <c r="N360">
        <f>INDEX(jkm!$H:$H,MATCH(J360,jkm!$J:$J,0),1)</f>
        <v>12.433</v>
      </c>
      <c r="O360" s="3">
        <f t="shared" ca="1" si="27"/>
        <v>636</v>
      </c>
      <c r="P360" s="3">
        <f t="shared" ca="1" si="28"/>
        <v>1.7424657534246575</v>
      </c>
      <c r="Q360" t="str" cm="1">
        <f t="array" ref="Q360:S360">_xlfn.TEXTSPLIT(J360,"/")</f>
        <v>12</v>
      </c>
      <c r="R360" s="1" t="str">
        <v>15</v>
      </c>
      <c r="S360" t="str">
        <v>2027</v>
      </c>
      <c r="T360" s="1">
        <f t="shared" si="29"/>
        <v>46736</v>
      </c>
      <c r="U360" s="19">
        <f t="shared" si="30"/>
        <v>3.6899999999999977</v>
      </c>
      <c r="V360" s="17">
        <f ca="1">(LN(N360/G360)+(L360/100)^2*P360/2)/(L360/100*SQRT(P360))</f>
        <v>1.1838917340341419</v>
      </c>
      <c r="W360" s="17">
        <f ca="1">V360-L360/100*SQRT(P360)</f>
        <v>0.72095371927221397</v>
      </c>
      <c r="X360" s="17">
        <f ca="1">(LN(N360/G360)+P360*(U360/100+(L360/100)^2/2))/((L360/100*SQRT(P360)))</f>
        <v>1.322780708910045</v>
      </c>
      <c r="Y360" s="17">
        <f ca="1">X360-N360/100*SQRT(R360)</f>
        <v>0.84125268947607679</v>
      </c>
      <c r="Z360" s="20">
        <f ca="1">EXP(-P360)/(N360*L360/100*SQRT(P360))*_xlfn.NORM.S.DIST(X360,FALSE)</f>
        <v>5.0595850485033811E-3</v>
      </c>
      <c r="AA360" s="17">
        <f t="shared" ca="1" si="26"/>
        <v>4.7793819418832876E-3</v>
      </c>
      <c r="AB360" s="17"/>
      <c r="AC360" s="17"/>
      <c r="AD360" s="17"/>
    </row>
    <row r="361" spans="1:30" x14ac:dyDescent="0.25">
      <c r="A361" t="s">
        <v>106</v>
      </c>
      <c r="B361" t="s">
        <v>107</v>
      </c>
      <c r="C361" t="s">
        <v>108</v>
      </c>
      <c r="D361">
        <v>46753</v>
      </c>
      <c r="E361" t="s">
        <v>107</v>
      </c>
      <c r="F361" t="s">
        <v>110</v>
      </c>
      <c r="G361">
        <v>10</v>
      </c>
      <c r="H361">
        <v>1.0509999999999999</v>
      </c>
      <c r="I361">
        <v>-5.8000000000000003E-2</v>
      </c>
      <c r="J361" t="s">
        <v>78</v>
      </c>
      <c r="K361">
        <v>4172</v>
      </c>
      <c r="L361">
        <v>34.948300000000003</v>
      </c>
      <c r="M361">
        <v>-0.24124000000000001</v>
      </c>
      <c r="N361">
        <f>INDEX(jkm!$H:$H,MATCH(J361,jkm!$J:$J,0),1)</f>
        <v>12.433</v>
      </c>
      <c r="O361" s="3">
        <f t="shared" ca="1" si="27"/>
        <v>636</v>
      </c>
      <c r="P361" s="3">
        <f t="shared" ca="1" si="28"/>
        <v>1.7424657534246575</v>
      </c>
      <c r="Q361" t="str" cm="1">
        <f t="array" ref="Q361:S361">_xlfn.TEXTSPLIT(J361,"/")</f>
        <v>12</v>
      </c>
      <c r="R361" s="1" t="str">
        <v>15</v>
      </c>
      <c r="S361" t="str">
        <v>2027</v>
      </c>
      <c r="T361" s="1">
        <f t="shared" si="29"/>
        <v>46736</v>
      </c>
      <c r="U361" s="19">
        <f t="shared" si="30"/>
        <v>3.6899999999999977</v>
      </c>
      <c r="V361" s="17">
        <f ca="1">(LN(N361/G361)+(L361/100)^2*P361/2)/(L361/100*SQRT(P361))</f>
        <v>0.70271328800838673</v>
      </c>
      <c r="W361" s="17">
        <f ca="1">V361-L361/100*SQRT(P361)</f>
        <v>0.24138702365713066</v>
      </c>
      <c r="X361" s="17">
        <f ca="1">(LN(N361/G361)+P361*(U361/100+(L361/100)^2/2))/((L361/100*SQRT(P361)))</f>
        <v>0.84208750376388464</v>
      </c>
      <c r="Y361" s="17">
        <f ca="1">X361-N361/100*SQRT(R361)</f>
        <v>0.36055948432991647</v>
      </c>
      <c r="Z361" s="20">
        <f ca="1">EXP(-P361)/(N361*L361/100*SQRT(P361))*_xlfn.NORM.S.DIST(X361,FALSE)</f>
        <v>8.5428172051885774E-3</v>
      </c>
      <c r="AA361" s="17">
        <f t="shared" ca="1" si="26"/>
        <v>8.0416151893868866E-3</v>
      </c>
      <c r="AB361" s="17"/>
      <c r="AC361" s="17"/>
      <c r="AD361" s="17"/>
    </row>
    <row r="362" spans="1:30" x14ac:dyDescent="0.25">
      <c r="A362" t="s">
        <v>106</v>
      </c>
      <c r="B362" t="s">
        <v>107</v>
      </c>
      <c r="C362" t="s">
        <v>108</v>
      </c>
      <c r="D362">
        <v>46753</v>
      </c>
      <c r="E362" t="s">
        <v>107</v>
      </c>
      <c r="F362" t="s">
        <v>110</v>
      </c>
      <c r="G362">
        <v>13</v>
      </c>
      <c r="H362">
        <v>2.61</v>
      </c>
      <c r="I362">
        <v>-0.105</v>
      </c>
      <c r="J362" t="s">
        <v>78</v>
      </c>
      <c r="K362">
        <v>4172</v>
      </c>
      <c r="L362">
        <v>34.827599999999997</v>
      </c>
      <c r="M362">
        <v>-0.44695000000000001</v>
      </c>
      <c r="N362">
        <f>INDEX(jkm!$H:$H,MATCH(J362,jkm!$J:$J,0),1)</f>
        <v>12.433</v>
      </c>
      <c r="O362" s="3">
        <f t="shared" ca="1" si="27"/>
        <v>636</v>
      </c>
      <c r="P362" s="3">
        <f t="shared" ca="1" si="28"/>
        <v>1.7424657534246575</v>
      </c>
      <c r="Q362" t="str" cm="1">
        <f t="array" ref="Q362:S362">_xlfn.TEXTSPLIT(J362,"/")</f>
        <v>12</v>
      </c>
      <c r="R362" s="1" t="str">
        <v>15</v>
      </c>
      <c r="S362" t="str">
        <v>2027</v>
      </c>
      <c r="T362" s="1">
        <f t="shared" si="29"/>
        <v>46736</v>
      </c>
      <c r="U362" s="19">
        <f t="shared" si="30"/>
        <v>3.6899999999999977</v>
      </c>
      <c r="V362" s="17">
        <f ca="1">(LN(N362/G362)+(L362/100)^2*P362/2)/(L362/100*SQRT(P362))</f>
        <v>0.13286425879174582</v>
      </c>
      <c r="W362" s="17">
        <f ca="1">V362-L362/100*SQRT(P362)</f>
        <v>-0.32686873549752726</v>
      </c>
      <c r="X362" s="17">
        <f ca="1">(LN(N362/G362)+P362*(U362/100+(L362/100)^2/2))/((L362/100*SQRT(P362)))</f>
        <v>0.27272149570981857</v>
      </c>
      <c r="Y362" s="17">
        <f ca="1">X362-N362/100*SQRT(R362)</f>
        <v>-0.2088065237241496</v>
      </c>
      <c r="Z362" s="20">
        <f ca="1">EXP(-P362)/(N362*L362/100*SQRT(P362))*_xlfn.NORM.S.DIST(X362,FALSE)</f>
        <v>1.1774282012880249E-2</v>
      </c>
      <c r="AA362" s="17">
        <f t="shared" ca="1" si="26"/>
        <v>1.1045213117884129E-2</v>
      </c>
      <c r="AB362" s="17"/>
      <c r="AC362" s="17"/>
      <c r="AD362" s="17"/>
    </row>
    <row r="363" spans="1:30" x14ac:dyDescent="0.25">
      <c r="A363" t="s">
        <v>106</v>
      </c>
      <c r="B363" t="s">
        <v>107</v>
      </c>
      <c r="C363" t="s">
        <v>108</v>
      </c>
      <c r="D363">
        <v>46753</v>
      </c>
      <c r="E363" t="s">
        <v>107</v>
      </c>
      <c r="F363" t="s">
        <v>110</v>
      </c>
      <c r="G363">
        <v>15</v>
      </c>
      <c r="H363">
        <v>3.9780000000000002</v>
      </c>
      <c r="I363">
        <v>-0.13300000000000001</v>
      </c>
      <c r="J363" t="s">
        <v>78</v>
      </c>
      <c r="K363">
        <v>4172</v>
      </c>
      <c r="L363">
        <v>34.769799999999996</v>
      </c>
      <c r="M363">
        <v>-0.57081999999999999</v>
      </c>
      <c r="N363">
        <f>INDEX(jkm!$H:$H,MATCH(J363,jkm!$J:$J,0),1)</f>
        <v>12.433</v>
      </c>
      <c r="O363" s="3">
        <f t="shared" ca="1" si="27"/>
        <v>636</v>
      </c>
      <c r="P363" s="3">
        <f t="shared" ca="1" si="28"/>
        <v>1.7424657534246575</v>
      </c>
      <c r="Q363" t="str" cm="1">
        <f t="array" ref="Q363:S363">_xlfn.TEXTSPLIT(J363,"/")</f>
        <v>12</v>
      </c>
      <c r="R363" s="1" t="str">
        <v>15</v>
      </c>
      <c r="S363" t="str">
        <v>2027</v>
      </c>
      <c r="T363" s="1">
        <f t="shared" si="29"/>
        <v>46736</v>
      </c>
      <c r="U363" s="19">
        <f t="shared" si="30"/>
        <v>3.6899999999999977</v>
      </c>
      <c r="V363" s="17">
        <f ca="1">(LN(N363/G363)+(L363/100)^2*P363/2)/(L363/100*SQRT(P363))</f>
        <v>-0.17946538985285029</v>
      </c>
      <c r="W363" s="17">
        <f ca="1">V363-L363/100*SQRT(P363)</f>
        <v>-0.63843540974624424</v>
      </c>
      <c r="X363" s="17">
        <f ca="1">(LN(N363/G363)+P363*(U363/100+(L363/100)^2/2))/((L363/100*SQRT(P363)))</f>
        <v>-3.937565955564213E-2</v>
      </c>
      <c r="Y363" s="17">
        <f ca="1">X363-N363/100*SQRT(R363)</f>
        <v>-0.52090367898961032</v>
      </c>
      <c r="Z363" s="20">
        <f ca="1">EXP(-P363)/(N363*L363/100*SQRT(P363))*_xlfn.NORM.S.DIST(X363,FALSE)</f>
        <v>1.223122282376094E-2</v>
      </c>
      <c r="AA363" s="17">
        <f t="shared" ca="1" si="26"/>
        <v>1.1454817890157159E-2</v>
      </c>
      <c r="AB363" s="17"/>
      <c r="AC363" s="17"/>
      <c r="AD363" s="17"/>
    </row>
    <row r="364" spans="1:30" x14ac:dyDescent="0.25">
      <c r="A364" t="s">
        <v>106</v>
      </c>
      <c r="B364" t="s">
        <v>107</v>
      </c>
      <c r="C364" t="s">
        <v>108</v>
      </c>
      <c r="D364">
        <v>46754</v>
      </c>
      <c r="E364" t="s">
        <v>107</v>
      </c>
      <c r="F364" t="s">
        <v>109</v>
      </c>
      <c r="G364">
        <v>5</v>
      </c>
      <c r="H364">
        <v>7.4829999999999997</v>
      </c>
      <c r="I364">
        <v>0.217</v>
      </c>
      <c r="J364" t="s">
        <v>79</v>
      </c>
      <c r="K364">
        <v>4172</v>
      </c>
      <c r="L364">
        <v>35.320399999999999</v>
      </c>
      <c r="M364">
        <v>0.98409999999999997</v>
      </c>
      <c r="N364">
        <f>INDEX(jkm!$H:$H,MATCH(J364,jkm!$J:$J,0),1)</f>
        <v>12.443</v>
      </c>
      <c r="O364" s="3">
        <f t="shared" ca="1" si="27"/>
        <v>666</v>
      </c>
      <c r="P364" s="3">
        <f t="shared" ca="1" si="28"/>
        <v>1.8246575342465754</v>
      </c>
      <c r="Q364" t="str" cm="1">
        <f t="array" ref="Q364:S364">_xlfn.TEXTSPLIT(J364,"/")</f>
        <v>1</v>
      </c>
      <c r="R364" s="1" t="str">
        <v>14</v>
      </c>
      <c r="S364" t="str">
        <v>2028</v>
      </c>
      <c r="T364" s="1">
        <f t="shared" si="29"/>
        <v>46766</v>
      </c>
      <c r="U364" s="19">
        <f t="shared" si="30"/>
        <v>3.6899999999999977</v>
      </c>
      <c r="V364" s="17">
        <f ca="1">(LN(N364/G364)+(L364/100)^2*P364/2)/(L364/100*SQRT(P364))</f>
        <v>2.1494862081373571</v>
      </c>
      <c r="W364" s="17">
        <f ca="1">V364-L364/100*SQRT(P364)</f>
        <v>1.6723786509800722</v>
      </c>
      <c r="X364" s="17">
        <f ca="1">(LN(N364/G364)+P364*(U364/100+(L364/100)^2/2))/((L364/100*SQRT(P364)))</f>
        <v>2.2906071398930083</v>
      </c>
      <c r="Y364" s="17">
        <f ca="1">X364-N364/100*SQRT(R364)</f>
        <v>1.8250327112567268</v>
      </c>
      <c r="Z364" s="20">
        <f ca="1">EXP(-P364)/(N364*L364/100*SQRT(P364))*_xlfn.NORM.S.DIST(X364,FALSE)</f>
        <v>7.8629266217793961E-4</v>
      </c>
      <c r="AA364" s="17">
        <f t="shared" ca="1" si="26"/>
        <v>7.8458753308555107E-4</v>
      </c>
      <c r="AB364" s="17"/>
      <c r="AC364" s="17"/>
      <c r="AD364" s="17"/>
    </row>
    <row r="365" spans="1:30" x14ac:dyDescent="0.25">
      <c r="A365" t="s">
        <v>106</v>
      </c>
      <c r="B365" t="s">
        <v>107</v>
      </c>
      <c r="C365" t="s">
        <v>108</v>
      </c>
      <c r="D365">
        <v>46754</v>
      </c>
      <c r="E365" t="s">
        <v>107</v>
      </c>
      <c r="F365" t="s">
        <v>109</v>
      </c>
      <c r="G365">
        <v>8</v>
      </c>
      <c r="H365">
        <v>4.8860000000000001</v>
      </c>
      <c r="I365">
        <v>0.193</v>
      </c>
      <c r="J365" t="s">
        <v>79</v>
      </c>
      <c r="K365">
        <v>4172</v>
      </c>
      <c r="L365">
        <v>35.119599999999998</v>
      </c>
      <c r="M365">
        <v>0.87844999999999995</v>
      </c>
      <c r="N365">
        <f>INDEX(jkm!$H:$H,MATCH(J365,jkm!$J:$J,0),1)</f>
        <v>12.443</v>
      </c>
      <c r="O365" s="3">
        <f t="shared" ca="1" si="27"/>
        <v>666</v>
      </c>
      <c r="P365" s="3">
        <f t="shared" ca="1" si="28"/>
        <v>1.8246575342465754</v>
      </c>
      <c r="Q365" t="str" cm="1">
        <f t="array" ref="Q365:S365">_xlfn.TEXTSPLIT(J365,"/")</f>
        <v>1</v>
      </c>
      <c r="R365" s="1" t="str">
        <v>14</v>
      </c>
      <c r="S365" t="str">
        <v>2028</v>
      </c>
      <c r="T365" s="1">
        <f t="shared" si="29"/>
        <v>46766</v>
      </c>
      <c r="U365" s="19">
        <f t="shared" si="30"/>
        <v>3.6899999999999977</v>
      </c>
      <c r="V365" s="17">
        <f ca="1">(LN(N365/G365)+(L365/100)^2*P365/2)/(L365/100*SQRT(P365))</f>
        <v>1.1683130638205101</v>
      </c>
      <c r="W365" s="17">
        <f ca="1">V365-L365/100*SQRT(P365)</f>
        <v>0.69391791075483189</v>
      </c>
      <c r="X365" s="17">
        <f ca="1">(LN(N365/G365)+P365*(U365/100+(L365/100)^2/2))/((L365/100*SQRT(P365)))</f>
        <v>1.3102408693189296</v>
      </c>
      <c r="Y365" s="17">
        <f ca="1">X365-N365/100*SQRT(R365)</f>
        <v>0.84466644068264807</v>
      </c>
      <c r="Z365" s="20">
        <f ca="1">EXP(-P365)/(N365*L365/100*SQRT(P365))*_xlfn.NORM.S.DIST(X365,FALSE)</f>
        <v>4.61979381934E-3</v>
      </c>
      <c r="AA365" s="17">
        <f t="shared" ca="1" si="26"/>
        <v>4.5835684485692222E-3</v>
      </c>
      <c r="AB365" s="17"/>
      <c r="AC365" s="17"/>
      <c r="AD365" s="17"/>
    </row>
    <row r="366" spans="1:30" x14ac:dyDescent="0.25">
      <c r="A366" t="s">
        <v>106</v>
      </c>
      <c r="B366" t="s">
        <v>107</v>
      </c>
      <c r="C366" t="s">
        <v>108</v>
      </c>
      <c r="D366">
        <v>46754</v>
      </c>
      <c r="E366" t="s">
        <v>107</v>
      </c>
      <c r="F366" t="s">
        <v>109</v>
      </c>
      <c r="G366">
        <v>10</v>
      </c>
      <c r="H366">
        <v>3.536</v>
      </c>
      <c r="I366">
        <v>0.16500000000000001</v>
      </c>
      <c r="J366" t="s">
        <v>79</v>
      </c>
      <c r="K366">
        <v>4172</v>
      </c>
      <c r="L366">
        <v>34.996600000000001</v>
      </c>
      <c r="M366">
        <v>0.75753000000000004</v>
      </c>
      <c r="N366">
        <f>INDEX(jkm!$H:$H,MATCH(J366,jkm!$J:$J,0),1)</f>
        <v>12.443</v>
      </c>
      <c r="O366" s="3">
        <f t="shared" ca="1" si="27"/>
        <v>666</v>
      </c>
      <c r="P366" s="3">
        <f t="shared" ca="1" si="28"/>
        <v>1.8246575342465754</v>
      </c>
      <c r="Q366" t="str" cm="1">
        <f t="array" ref="Q366:S366">_xlfn.TEXTSPLIT(J366,"/")</f>
        <v>1</v>
      </c>
      <c r="R366" s="1" t="str">
        <v>14</v>
      </c>
      <c r="S366" t="str">
        <v>2028</v>
      </c>
      <c r="T366" s="1">
        <f t="shared" si="29"/>
        <v>46766</v>
      </c>
      <c r="U366" s="19">
        <f t="shared" si="30"/>
        <v>3.6899999999999977</v>
      </c>
      <c r="V366" s="17">
        <f ca="1">(LN(N366/G366)+(L366/100)^2*P366/2)/(L366/100*SQRT(P366))</f>
        <v>0.69872679910207702</v>
      </c>
      <c r="W366" s="17">
        <f ca="1">V366-L366/100*SQRT(P366)</f>
        <v>0.2259931286223929</v>
      </c>
      <c r="X366" s="17">
        <f ca="1">(LN(N366/G366)+P366*(U366/100+(L366/100)^2/2))/((L366/100*SQRT(P366)))</f>
        <v>0.84115342791694181</v>
      </c>
      <c r="Y366" s="17">
        <f ca="1">X366-N366/100*SQRT(R366)</f>
        <v>0.3755789992806603</v>
      </c>
      <c r="Z366" s="20">
        <f ca="1">EXP(-P366)/(N366*L366/100*SQRT(P366))*_xlfn.NORM.S.DIST(X366,FALSE)</f>
        <v>7.6787330391091795E-3</v>
      </c>
      <c r="AA366" s="17">
        <f t="shared" ca="1" si="26"/>
        <v>7.591839004687637E-3</v>
      </c>
      <c r="AB366" s="17"/>
      <c r="AC366" s="17"/>
      <c r="AD366" s="17"/>
    </row>
    <row r="367" spans="1:30" x14ac:dyDescent="0.25">
      <c r="A367" t="s">
        <v>106</v>
      </c>
      <c r="B367" t="s">
        <v>107</v>
      </c>
      <c r="C367" t="s">
        <v>108</v>
      </c>
      <c r="D367">
        <v>46754</v>
      </c>
      <c r="E367" t="s">
        <v>107</v>
      </c>
      <c r="F367" t="s">
        <v>109</v>
      </c>
      <c r="G367">
        <v>13</v>
      </c>
      <c r="H367">
        <v>2.1040000000000001</v>
      </c>
      <c r="I367">
        <v>0.12</v>
      </c>
      <c r="J367" t="s">
        <v>79</v>
      </c>
      <c r="K367">
        <v>4172</v>
      </c>
      <c r="L367">
        <v>34.875900000000001</v>
      </c>
      <c r="M367">
        <v>0.55689</v>
      </c>
      <c r="N367">
        <f>INDEX(jkm!$H:$H,MATCH(J367,jkm!$J:$J,0),1)</f>
        <v>12.443</v>
      </c>
      <c r="O367" s="3">
        <f t="shared" ca="1" si="27"/>
        <v>666</v>
      </c>
      <c r="P367" s="3">
        <f t="shared" ca="1" si="28"/>
        <v>1.8246575342465754</v>
      </c>
      <c r="Q367" t="str" cm="1">
        <f t="array" ref="Q367:S367">_xlfn.TEXTSPLIT(J367,"/")</f>
        <v>1</v>
      </c>
      <c r="R367" s="1" t="str">
        <v>14</v>
      </c>
      <c r="S367" t="str">
        <v>2028</v>
      </c>
      <c r="T367" s="1">
        <f t="shared" si="29"/>
        <v>46766</v>
      </c>
      <c r="U367" s="19">
        <f t="shared" si="30"/>
        <v>3.6899999999999977</v>
      </c>
      <c r="V367" s="17">
        <f ca="1">(LN(N367/G367)+(L367/100)^2*P367/2)/(L367/100*SQRT(P367))</f>
        <v>0.14259718325243578</v>
      </c>
      <c r="W367" s="17">
        <f ca="1">V367-L367/100*SQRT(P367)</f>
        <v>-0.32850607301481349</v>
      </c>
      <c r="X367" s="17">
        <f ca="1">(LN(N367/G367)+P367*(U367/100+(L367/100)^2/2))/((L367/100*SQRT(P367)))</f>
        <v>0.28551672820990781</v>
      </c>
      <c r="Y367" s="17">
        <f ca="1">X367-N367/100*SQRT(R367)</f>
        <v>-0.1800577004263737</v>
      </c>
      <c r="Z367" s="20">
        <f ca="1">EXP(-P367)/(N367*L367/100*SQRT(P367))*_xlfn.NORM.S.DIST(X367,FALSE)</f>
        <v>1.0537276108054454E-2</v>
      </c>
      <c r="AA367" s="17">
        <f t="shared" ca="1" si="26"/>
        <v>1.0382103419420627E-2</v>
      </c>
      <c r="AB367" s="17"/>
      <c r="AC367" s="17"/>
      <c r="AD367" s="17"/>
    </row>
    <row r="368" spans="1:30" x14ac:dyDescent="0.25">
      <c r="A368" t="s">
        <v>106</v>
      </c>
      <c r="B368" t="s">
        <v>107</v>
      </c>
      <c r="C368" t="s">
        <v>108</v>
      </c>
      <c r="D368">
        <v>46754</v>
      </c>
      <c r="E368" t="s">
        <v>107</v>
      </c>
      <c r="F368" t="s">
        <v>109</v>
      </c>
      <c r="G368">
        <v>15</v>
      </c>
      <c r="H368">
        <v>1.4710000000000001</v>
      </c>
      <c r="I368">
        <v>9.4E-2</v>
      </c>
      <c r="J368" t="s">
        <v>79</v>
      </c>
      <c r="K368">
        <v>4172</v>
      </c>
      <c r="L368">
        <v>34.8187</v>
      </c>
      <c r="M368">
        <v>0.43595</v>
      </c>
      <c r="N368">
        <f>INDEX(jkm!$H:$H,MATCH(J368,jkm!$J:$J,0),1)</f>
        <v>12.443</v>
      </c>
      <c r="O368" s="3">
        <f t="shared" ca="1" si="27"/>
        <v>666</v>
      </c>
      <c r="P368" s="3">
        <f t="shared" ca="1" si="28"/>
        <v>1.8246575342465754</v>
      </c>
      <c r="Q368" t="str" cm="1">
        <f t="array" ref="Q368:S368">_xlfn.TEXTSPLIT(J368,"/")</f>
        <v>1</v>
      </c>
      <c r="R368" s="1" t="str">
        <v>14</v>
      </c>
      <c r="S368" t="str">
        <v>2028</v>
      </c>
      <c r="T368" s="1">
        <f t="shared" si="29"/>
        <v>46766</v>
      </c>
      <c r="U368" s="19">
        <f t="shared" si="30"/>
        <v>3.6899999999999977</v>
      </c>
      <c r="V368" s="17">
        <f ca="1">(LN(N368/G368)+(L368/100)^2*P368/2)/(L368/100*SQRT(P368))</f>
        <v>-0.16219771600573446</v>
      </c>
      <c r="W368" s="17">
        <f ca="1">V368-L368/100*SQRT(P368)</f>
        <v>-0.63252831533055398</v>
      </c>
      <c r="X368" s="17">
        <f ca="1">(LN(N368/G368)+P368*(U368/100+(L368/100)^2/2))/((L368/100*SQRT(P368)))</f>
        <v>-1.9043383478032493E-2</v>
      </c>
      <c r="Y368" s="17">
        <f ca="1">X368-N368/100*SQRT(R368)</f>
        <v>-0.48461781211431398</v>
      </c>
      <c r="Z368" s="20">
        <f ca="1">EXP(-P368)/(N368*L368/100*SQRT(P368))*_xlfn.NORM.S.DIST(X368,FALSE)</f>
        <v>1.09916852349715E-2</v>
      </c>
      <c r="AA368" s="17">
        <f t="shared" ref="AA368:AA431" ca="1" si="31">(N368*EXP(-P368)*SQRT(P368)*_xlfn.NORM.S.DIST(X368,FALSE))/100</f>
        <v>1.0812058884192486E-2</v>
      </c>
      <c r="AB368" s="17"/>
      <c r="AC368" s="17"/>
      <c r="AD368" s="17"/>
    </row>
    <row r="369" spans="1:30" x14ac:dyDescent="0.25">
      <c r="A369" t="s">
        <v>106</v>
      </c>
      <c r="B369" t="s">
        <v>107</v>
      </c>
      <c r="C369" t="s">
        <v>108</v>
      </c>
      <c r="D369">
        <v>46754</v>
      </c>
      <c r="E369" t="s">
        <v>107</v>
      </c>
      <c r="F369" t="s">
        <v>110</v>
      </c>
      <c r="G369">
        <v>5</v>
      </c>
      <c r="H369">
        <v>0.04</v>
      </c>
      <c r="I369">
        <v>-4.0000000000000001E-3</v>
      </c>
      <c r="J369" t="s">
        <v>79</v>
      </c>
      <c r="K369">
        <v>4172</v>
      </c>
      <c r="L369">
        <v>35.320399999999999</v>
      </c>
      <c r="M369">
        <v>-1.5900000000000001E-2</v>
      </c>
      <c r="N369">
        <f>INDEX(jkm!$H:$H,MATCH(J369,jkm!$J:$J,0),1)</f>
        <v>12.443</v>
      </c>
      <c r="O369" s="3">
        <f t="shared" ca="1" si="27"/>
        <v>666</v>
      </c>
      <c r="P369" s="3">
        <f t="shared" ca="1" si="28"/>
        <v>1.8246575342465754</v>
      </c>
      <c r="Q369" t="str" cm="1">
        <f t="array" ref="Q369:S369">_xlfn.TEXTSPLIT(J369,"/")</f>
        <v>1</v>
      </c>
      <c r="R369" s="1" t="str">
        <v>14</v>
      </c>
      <c r="S369" t="str">
        <v>2028</v>
      </c>
      <c r="T369" s="1">
        <f t="shared" si="29"/>
        <v>46766</v>
      </c>
      <c r="U369" s="19">
        <f t="shared" si="30"/>
        <v>3.6899999999999977</v>
      </c>
      <c r="V369" s="17">
        <f ca="1">(LN(N369/G369)+(L369/100)^2*P369/2)/(L369/100*SQRT(P369))</f>
        <v>2.1494862081373571</v>
      </c>
      <c r="W369" s="17">
        <f ca="1">V369-L369/100*SQRT(P369)</f>
        <v>1.6723786509800722</v>
      </c>
      <c r="X369" s="17">
        <f ca="1">(LN(N369/G369)+P369*(U369/100+(L369/100)^2/2))/((L369/100*SQRT(P369)))</f>
        <v>2.2906071398930083</v>
      </c>
      <c r="Y369" s="17">
        <f ca="1">X369-N369/100*SQRT(R369)</f>
        <v>1.8250327112567268</v>
      </c>
      <c r="Z369" s="20">
        <f ca="1">EXP(-P369)/(N369*L369/100*SQRT(P369))*_xlfn.NORM.S.DIST(X369,FALSE)</f>
        <v>7.8629266217793961E-4</v>
      </c>
      <c r="AA369" s="17">
        <f t="shared" ca="1" si="31"/>
        <v>7.8458753308555107E-4</v>
      </c>
      <c r="AB369" s="17"/>
      <c r="AC369" s="17"/>
      <c r="AD369" s="17"/>
    </row>
    <row r="370" spans="1:30" x14ac:dyDescent="0.25">
      <c r="A370" t="s">
        <v>106</v>
      </c>
      <c r="B370" t="s">
        <v>107</v>
      </c>
      <c r="C370" t="s">
        <v>108</v>
      </c>
      <c r="D370">
        <v>46754</v>
      </c>
      <c r="E370" t="s">
        <v>107</v>
      </c>
      <c r="F370" t="s">
        <v>110</v>
      </c>
      <c r="G370">
        <v>8</v>
      </c>
      <c r="H370">
        <v>0.443</v>
      </c>
      <c r="I370">
        <v>-2.8000000000000001E-2</v>
      </c>
      <c r="J370" t="s">
        <v>79</v>
      </c>
      <c r="K370">
        <v>4172</v>
      </c>
      <c r="L370">
        <v>35.119599999999998</v>
      </c>
      <c r="M370">
        <v>-0.12155000000000001</v>
      </c>
      <c r="N370">
        <f>INDEX(jkm!$H:$H,MATCH(J370,jkm!$J:$J,0),1)</f>
        <v>12.443</v>
      </c>
      <c r="O370" s="3">
        <f t="shared" ca="1" si="27"/>
        <v>666</v>
      </c>
      <c r="P370" s="3">
        <f t="shared" ca="1" si="28"/>
        <v>1.8246575342465754</v>
      </c>
      <c r="Q370" t="str" cm="1">
        <f t="array" ref="Q370:S370">_xlfn.TEXTSPLIT(J370,"/")</f>
        <v>1</v>
      </c>
      <c r="R370" s="1" t="str">
        <v>14</v>
      </c>
      <c r="S370" t="str">
        <v>2028</v>
      </c>
      <c r="T370" s="1">
        <f t="shared" si="29"/>
        <v>46766</v>
      </c>
      <c r="U370" s="19">
        <f t="shared" si="30"/>
        <v>3.6899999999999977</v>
      </c>
      <c r="V370" s="17">
        <f ca="1">(LN(N370/G370)+(L370/100)^2*P370/2)/(L370/100*SQRT(P370))</f>
        <v>1.1683130638205101</v>
      </c>
      <c r="W370" s="17">
        <f ca="1">V370-L370/100*SQRT(P370)</f>
        <v>0.69391791075483189</v>
      </c>
      <c r="X370" s="17">
        <f ca="1">(LN(N370/G370)+P370*(U370/100+(L370/100)^2/2))/((L370/100*SQRT(P370)))</f>
        <v>1.3102408693189296</v>
      </c>
      <c r="Y370" s="17">
        <f ca="1">X370-N370/100*SQRT(R370)</f>
        <v>0.84466644068264807</v>
      </c>
      <c r="Z370" s="20">
        <f ca="1">EXP(-P370)/(N370*L370/100*SQRT(P370))*_xlfn.NORM.S.DIST(X370,FALSE)</f>
        <v>4.61979381934E-3</v>
      </c>
      <c r="AA370" s="17">
        <f t="shared" ca="1" si="31"/>
        <v>4.5835684485692222E-3</v>
      </c>
      <c r="AB370" s="17"/>
      <c r="AC370" s="17"/>
      <c r="AD370" s="17"/>
    </row>
    <row r="371" spans="1:30" x14ac:dyDescent="0.25">
      <c r="A371" t="s">
        <v>106</v>
      </c>
      <c r="B371" t="s">
        <v>107</v>
      </c>
      <c r="C371" t="s">
        <v>108</v>
      </c>
      <c r="D371">
        <v>46754</v>
      </c>
      <c r="E371" t="s">
        <v>107</v>
      </c>
      <c r="F371" t="s">
        <v>110</v>
      </c>
      <c r="G371">
        <v>10</v>
      </c>
      <c r="H371">
        <v>1.093</v>
      </c>
      <c r="I371">
        <v>-5.6000000000000001E-2</v>
      </c>
      <c r="J371" t="s">
        <v>79</v>
      </c>
      <c r="K371">
        <v>4172</v>
      </c>
      <c r="L371">
        <v>34.996600000000001</v>
      </c>
      <c r="M371">
        <v>-0.24246999999999999</v>
      </c>
      <c r="N371">
        <f>INDEX(jkm!$H:$H,MATCH(J371,jkm!$J:$J,0),1)</f>
        <v>12.443</v>
      </c>
      <c r="O371" s="3">
        <f t="shared" ca="1" si="27"/>
        <v>666</v>
      </c>
      <c r="P371" s="3">
        <f t="shared" ca="1" si="28"/>
        <v>1.8246575342465754</v>
      </c>
      <c r="Q371" t="str" cm="1">
        <f t="array" ref="Q371:S371">_xlfn.TEXTSPLIT(J371,"/")</f>
        <v>1</v>
      </c>
      <c r="R371" s="1" t="str">
        <v>14</v>
      </c>
      <c r="S371" t="str">
        <v>2028</v>
      </c>
      <c r="T371" s="1">
        <f t="shared" si="29"/>
        <v>46766</v>
      </c>
      <c r="U371" s="19">
        <f t="shared" si="30"/>
        <v>3.6899999999999977</v>
      </c>
      <c r="V371" s="17">
        <f ca="1">(LN(N371/G371)+(L371/100)^2*P371/2)/(L371/100*SQRT(P371))</f>
        <v>0.69872679910207702</v>
      </c>
      <c r="W371" s="17">
        <f ca="1">V371-L371/100*SQRT(P371)</f>
        <v>0.2259931286223929</v>
      </c>
      <c r="X371" s="17">
        <f ca="1">(LN(N371/G371)+P371*(U371/100+(L371/100)^2/2))/((L371/100*SQRT(P371)))</f>
        <v>0.84115342791694181</v>
      </c>
      <c r="Y371" s="17">
        <f ca="1">X371-N371/100*SQRT(R371)</f>
        <v>0.3755789992806603</v>
      </c>
      <c r="Z371" s="20">
        <f ca="1">EXP(-P371)/(N371*L371/100*SQRT(P371))*_xlfn.NORM.S.DIST(X371,FALSE)</f>
        <v>7.6787330391091795E-3</v>
      </c>
      <c r="AA371" s="17">
        <f t="shared" ca="1" si="31"/>
        <v>7.591839004687637E-3</v>
      </c>
      <c r="AB371" s="17"/>
      <c r="AC371" s="17"/>
      <c r="AD371" s="17"/>
    </row>
    <row r="372" spans="1:30" x14ac:dyDescent="0.25">
      <c r="A372" t="s">
        <v>106</v>
      </c>
      <c r="B372" t="s">
        <v>107</v>
      </c>
      <c r="C372" t="s">
        <v>108</v>
      </c>
      <c r="D372">
        <v>46754</v>
      </c>
      <c r="E372" t="s">
        <v>107</v>
      </c>
      <c r="F372" t="s">
        <v>110</v>
      </c>
      <c r="G372">
        <v>13</v>
      </c>
      <c r="H372">
        <v>2.661</v>
      </c>
      <c r="I372">
        <v>-0.10100000000000001</v>
      </c>
      <c r="J372" t="s">
        <v>79</v>
      </c>
      <c r="K372">
        <v>4172</v>
      </c>
      <c r="L372">
        <v>34.875900000000001</v>
      </c>
      <c r="M372">
        <v>-0.44311</v>
      </c>
      <c r="N372">
        <f>INDEX(jkm!$H:$H,MATCH(J372,jkm!$J:$J,0),1)</f>
        <v>12.443</v>
      </c>
      <c r="O372" s="3">
        <f t="shared" ca="1" si="27"/>
        <v>666</v>
      </c>
      <c r="P372" s="3">
        <f t="shared" ca="1" si="28"/>
        <v>1.8246575342465754</v>
      </c>
      <c r="Q372" t="str" cm="1">
        <f t="array" ref="Q372:S372">_xlfn.TEXTSPLIT(J372,"/")</f>
        <v>1</v>
      </c>
      <c r="R372" s="1" t="str">
        <v>14</v>
      </c>
      <c r="S372" t="str">
        <v>2028</v>
      </c>
      <c r="T372" s="1">
        <f t="shared" si="29"/>
        <v>46766</v>
      </c>
      <c r="U372" s="19">
        <f t="shared" si="30"/>
        <v>3.6899999999999977</v>
      </c>
      <c r="V372" s="17">
        <f ca="1">(LN(N372/G372)+(L372/100)^2*P372/2)/(L372/100*SQRT(P372))</f>
        <v>0.14259718325243578</v>
      </c>
      <c r="W372" s="17">
        <f ca="1">V372-L372/100*SQRT(P372)</f>
        <v>-0.32850607301481349</v>
      </c>
      <c r="X372" s="17">
        <f ca="1">(LN(N372/G372)+P372*(U372/100+(L372/100)^2/2))/((L372/100*SQRT(P372)))</f>
        <v>0.28551672820990781</v>
      </c>
      <c r="Y372" s="17">
        <f ca="1">X372-N372/100*SQRT(R372)</f>
        <v>-0.1800577004263737</v>
      </c>
      <c r="Z372" s="20">
        <f ca="1">EXP(-P372)/(N372*L372/100*SQRT(P372))*_xlfn.NORM.S.DIST(X372,FALSE)</f>
        <v>1.0537276108054454E-2</v>
      </c>
      <c r="AA372" s="17">
        <f t="shared" ca="1" si="31"/>
        <v>1.0382103419420627E-2</v>
      </c>
      <c r="AB372" s="17"/>
      <c r="AC372" s="17"/>
      <c r="AD372" s="17"/>
    </row>
    <row r="373" spans="1:30" x14ac:dyDescent="0.25">
      <c r="A373" t="s">
        <v>106</v>
      </c>
      <c r="B373" t="s">
        <v>107</v>
      </c>
      <c r="C373" t="s">
        <v>108</v>
      </c>
      <c r="D373">
        <v>46754</v>
      </c>
      <c r="E373" t="s">
        <v>107</v>
      </c>
      <c r="F373" t="s">
        <v>110</v>
      </c>
      <c r="G373">
        <v>15</v>
      </c>
      <c r="H373">
        <v>4.0279999999999996</v>
      </c>
      <c r="I373">
        <v>-0.127</v>
      </c>
      <c r="J373" t="s">
        <v>79</v>
      </c>
      <c r="K373">
        <v>4172</v>
      </c>
      <c r="L373">
        <v>34.8187</v>
      </c>
      <c r="M373">
        <v>-0.56405000000000005</v>
      </c>
      <c r="N373">
        <f>INDEX(jkm!$H:$H,MATCH(J373,jkm!$J:$J,0),1)</f>
        <v>12.443</v>
      </c>
      <c r="O373" s="3">
        <f t="shared" ca="1" si="27"/>
        <v>666</v>
      </c>
      <c r="P373" s="3">
        <f t="shared" ca="1" si="28"/>
        <v>1.8246575342465754</v>
      </c>
      <c r="Q373" t="str" cm="1">
        <f t="array" ref="Q373:S373">_xlfn.TEXTSPLIT(J373,"/")</f>
        <v>1</v>
      </c>
      <c r="R373" s="1" t="str">
        <v>14</v>
      </c>
      <c r="S373" t="str">
        <v>2028</v>
      </c>
      <c r="T373" s="1">
        <f t="shared" si="29"/>
        <v>46766</v>
      </c>
      <c r="U373" s="19">
        <f t="shared" si="30"/>
        <v>3.6899999999999977</v>
      </c>
      <c r="V373" s="17">
        <f ca="1">(LN(N373/G373)+(L373/100)^2*P373/2)/(L373/100*SQRT(P373))</f>
        <v>-0.16219771600573446</v>
      </c>
      <c r="W373" s="17">
        <f ca="1">V373-L373/100*SQRT(P373)</f>
        <v>-0.63252831533055398</v>
      </c>
      <c r="X373" s="17">
        <f ca="1">(LN(N373/G373)+P373*(U373/100+(L373/100)^2/2))/((L373/100*SQRT(P373)))</f>
        <v>-1.9043383478032493E-2</v>
      </c>
      <c r="Y373" s="17">
        <f ca="1">X373-N373/100*SQRT(R373)</f>
        <v>-0.48461781211431398</v>
      </c>
      <c r="Z373" s="20">
        <f ca="1">EXP(-P373)/(N373*L373/100*SQRT(P373))*_xlfn.NORM.S.DIST(X373,FALSE)</f>
        <v>1.09916852349715E-2</v>
      </c>
      <c r="AA373" s="17">
        <f t="shared" ca="1" si="31"/>
        <v>1.0812058884192486E-2</v>
      </c>
      <c r="AB373" s="17"/>
      <c r="AC373" s="17"/>
      <c r="AD373" s="17"/>
    </row>
    <row r="374" spans="1:30" x14ac:dyDescent="0.25">
      <c r="A374" t="s">
        <v>106</v>
      </c>
      <c r="B374" t="s">
        <v>107</v>
      </c>
      <c r="C374" t="s">
        <v>108</v>
      </c>
      <c r="D374">
        <v>46755</v>
      </c>
      <c r="E374" t="s">
        <v>107</v>
      </c>
      <c r="F374" t="s">
        <v>109</v>
      </c>
      <c r="G374">
        <v>5</v>
      </c>
      <c r="H374">
        <v>6.992</v>
      </c>
      <c r="I374">
        <v>0.22900000000000001</v>
      </c>
      <c r="J374" t="s">
        <v>80</v>
      </c>
      <c r="K374">
        <v>4172</v>
      </c>
      <c r="L374">
        <v>35.3202</v>
      </c>
      <c r="M374">
        <v>0.97848999999999997</v>
      </c>
      <c r="N374">
        <f>INDEX(jkm!$H:$H,MATCH(J374,jkm!$J:$J,0),1)</f>
        <v>11.936</v>
      </c>
      <c r="O374" s="3">
        <f t="shared" ca="1" si="27"/>
        <v>698</v>
      </c>
      <c r="P374" s="3">
        <f t="shared" ca="1" si="28"/>
        <v>1.9123287671232876</v>
      </c>
      <c r="Q374" t="str" cm="1">
        <f t="array" ref="Q374:S374">_xlfn.TEXTSPLIT(J374,"/")</f>
        <v>2</v>
      </c>
      <c r="R374" s="1" t="str">
        <v>15</v>
      </c>
      <c r="S374" t="str">
        <v>2028</v>
      </c>
      <c r="T374" s="1">
        <f t="shared" si="29"/>
        <v>46798</v>
      </c>
      <c r="U374" s="19">
        <f t="shared" si="30"/>
        <v>3.6899999999999977</v>
      </c>
      <c r="V374" s="17">
        <f ca="1">(LN(N374/G374)+(L374/100)^2*P374/2)/(L374/100*SQRT(P374))</f>
        <v>2.0256729298406739</v>
      </c>
      <c r="W374" s="17">
        <f ca="1">V374-L374/100*SQRT(P374)</f>
        <v>1.537240565635285</v>
      </c>
      <c r="X374" s="17">
        <f ca="1">(LN(N374/G374)+P374*(U374/100+(L374/100)^2/2))/((L374/100*SQRT(P374)))</f>
        <v>2.1701451980157134</v>
      </c>
      <c r="Y374" s="17">
        <f ca="1">X374-N374/100*SQRT(R374)</f>
        <v>1.7078659058123962</v>
      </c>
      <c r="Z374" s="20">
        <f ca="1">EXP(-P374)/(N374*L374/100*SQRT(P374))*_xlfn.NORM.S.DIST(X374,FALSE)</f>
        <v>9.5955860963898893E-4</v>
      </c>
      <c r="AA374" s="17">
        <f t="shared" ca="1" si="31"/>
        <v>9.2336804111703365E-4</v>
      </c>
      <c r="AB374" s="17"/>
      <c r="AC374" s="17"/>
      <c r="AD374" s="17"/>
    </row>
    <row r="375" spans="1:30" x14ac:dyDescent="0.25">
      <c r="A375" t="s">
        <v>106</v>
      </c>
      <c r="B375" t="s">
        <v>107</v>
      </c>
      <c r="C375" t="s">
        <v>108</v>
      </c>
      <c r="D375">
        <v>46755</v>
      </c>
      <c r="E375" t="s">
        <v>107</v>
      </c>
      <c r="F375" t="s">
        <v>109</v>
      </c>
      <c r="G375">
        <v>8</v>
      </c>
      <c r="H375">
        <v>4.4740000000000002</v>
      </c>
      <c r="I375">
        <v>0.19800000000000001</v>
      </c>
      <c r="J375" t="s">
        <v>80</v>
      </c>
      <c r="K375">
        <v>4172</v>
      </c>
      <c r="L375">
        <v>35.097299999999997</v>
      </c>
      <c r="M375">
        <v>0.85684000000000005</v>
      </c>
      <c r="N375">
        <f>INDEX(jkm!$H:$H,MATCH(J375,jkm!$J:$J,0),1)</f>
        <v>11.936</v>
      </c>
      <c r="O375" s="3">
        <f t="shared" ca="1" si="27"/>
        <v>698</v>
      </c>
      <c r="P375" s="3">
        <f t="shared" ca="1" si="28"/>
        <v>1.9123287671232876</v>
      </c>
      <c r="Q375" t="str" cm="1">
        <f t="array" ref="Q375:S375">_xlfn.TEXTSPLIT(J375,"/")</f>
        <v>2</v>
      </c>
      <c r="R375" s="1" t="str">
        <v>15</v>
      </c>
      <c r="S375" t="str">
        <v>2028</v>
      </c>
      <c r="T375" s="1">
        <f t="shared" si="29"/>
        <v>46798</v>
      </c>
      <c r="U375" s="19">
        <f t="shared" si="30"/>
        <v>3.6899999999999977</v>
      </c>
      <c r="V375" s="17">
        <f ca="1">(LN(N375/G375)+(L375/100)^2*P375/2)/(L375/100*SQRT(P375))</f>
        <v>1.0670646823174177</v>
      </c>
      <c r="W375" s="17">
        <f ca="1">V375-L375/100*SQRT(P375)</f>
        <v>0.58171473480223379</v>
      </c>
      <c r="X375" s="17">
        <f ca="1">(LN(N375/G375)+P375*(U375/100+(L375/100)^2/2))/((L375/100*SQRT(P375)))</f>
        <v>1.2124544817149785</v>
      </c>
      <c r="Y375" s="17">
        <f ca="1">X375-N375/100*SQRT(R375)</f>
        <v>0.75017518951166129</v>
      </c>
      <c r="Z375" s="20">
        <f ca="1">EXP(-P375)/(N375*L375/100*SQRT(P375))*_xlfn.NORM.S.DIST(X375,FALSE)</f>
        <v>4.8782722353406128E-3</v>
      </c>
      <c r="AA375" s="17">
        <f t="shared" ca="1" si="31"/>
        <v>4.664659193626939E-3</v>
      </c>
      <c r="AB375" s="17"/>
      <c r="AC375" s="17"/>
      <c r="AD375" s="17"/>
    </row>
    <row r="376" spans="1:30" x14ac:dyDescent="0.25">
      <c r="A376" t="s">
        <v>106</v>
      </c>
      <c r="B376" t="s">
        <v>107</v>
      </c>
      <c r="C376" t="s">
        <v>108</v>
      </c>
      <c r="D376">
        <v>46755</v>
      </c>
      <c r="E376" t="s">
        <v>107</v>
      </c>
      <c r="F376" t="s">
        <v>109</v>
      </c>
      <c r="G376">
        <v>10</v>
      </c>
      <c r="H376">
        <v>3.202</v>
      </c>
      <c r="I376">
        <v>0.16800000000000001</v>
      </c>
      <c r="J376" t="s">
        <v>80</v>
      </c>
      <c r="K376">
        <v>4172</v>
      </c>
      <c r="L376">
        <v>34.967100000000002</v>
      </c>
      <c r="M376">
        <v>0.72826999999999997</v>
      </c>
      <c r="N376">
        <f>INDEX(jkm!$H:$H,MATCH(J376,jkm!$J:$J,0),1)</f>
        <v>11.936</v>
      </c>
      <c r="O376" s="3">
        <f t="shared" ca="1" si="27"/>
        <v>698</v>
      </c>
      <c r="P376" s="3">
        <f t="shared" ca="1" si="28"/>
        <v>1.9123287671232876</v>
      </c>
      <c r="Q376" t="str" cm="1">
        <f t="array" ref="Q376:S376">_xlfn.TEXTSPLIT(J376,"/")</f>
        <v>2</v>
      </c>
      <c r="R376" s="1" t="str">
        <v>15</v>
      </c>
      <c r="S376" t="str">
        <v>2028</v>
      </c>
      <c r="T376" s="1">
        <f t="shared" si="29"/>
        <v>46798</v>
      </c>
      <c r="U376" s="19">
        <f t="shared" si="30"/>
        <v>3.6899999999999977</v>
      </c>
      <c r="V376" s="17">
        <f ca="1">(LN(N376/G376)+(L376/100)^2*P376/2)/(L376/100*SQRT(P376))</f>
        <v>0.60776407796463428</v>
      </c>
      <c r="W376" s="17">
        <f ca="1">V376-L376/100*SQRT(P376)</f>
        <v>0.12421462687414619</v>
      </c>
      <c r="X376" s="17">
        <f ca="1">(LN(N376/G376)+P376*(U376/100+(L376/100)^2/2))/((L376/100*SQRT(P376)))</f>
        <v>0.75369523629334934</v>
      </c>
      <c r="Y376" s="17">
        <f ca="1">X376-N376/100*SQRT(R376)</f>
        <v>0.29141594409003208</v>
      </c>
      <c r="Z376" s="20">
        <f ca="1">EXP(-P376)/(N376*L376/100*SQRT(P376))*_xlfn.NORM.S.DIST(X376,FALSE)</f>
        <v>7.6867830928772944E-3</v>
      </c>
      <c r="AA376" s="17">
        <f t="shared" ca="1" si="31"/>
        <v>7.3229222011018599E-3</v>
      </c>
      <c r="AB376" s="17"/>
      <c r="AC376" s="17"/>
      <c r="AD376" s="17"/>
    </row>
    <row r="377" spans="1:30" x14ac:dyDescent="0.25">
      <c r="A377" t="s">
        <v>106</v>
      </c>
      <c r="B377" t="s">
        <v>107</v>
      </c>
      <c r="C377" t="s">
        <v>108</v>
      </c>
      <c r="D377">
        <v>46755</v>
      </c>
      <c r="E377" t="s">
        <v>107</v>
      </c>
      <c r="F377" t="s">
        <v>109</v>
      </c>
      <c r="G377">
        <v>13</v>
      </c>
      <c r="H377">
        <v>1.8819999999999999</v>
      </c>
      <c r="I377">
        <v>0.12</v>
      </c>
      <c r="J377" t="s">
        <v>80</v>
      </c>
      <c r="K377">
        <v>4172</v>
      </c>
      <c r="L377">
        <v>34.854900000000001</v>
      </c>
      <c r="M377">
        <v>0.52568999999999999</v>
      </c>
      <c r="N377">
        <f>INDEX(jkm!$H:$H,MATCH(J377,jkm!$J:$J,0),1)</f>
        <v>11.936</v>
      </c>
      <c r="O377" s="3">
        <f t="shared" ca="1" si="27"/>
        <v>698</v>
      </c>
      <c r="P377" s="3">
        <f t="shared" ca="1" si="28"/>
        <v>1.9123287671232876</v>
      </c>
      <c r="Q377" t="str" cm="1">
        <f t="array" ref="Q377:S377">_xlfn.TEXTSPLIT(J377,"/")</f>
        <v>2</v>
      </c>
      <c r="R377" s="1" t="str">
        <v>15</v>
      </c>
      <c r="S377" t="str">
        <v>2028</v>
      </c>
      <c r="T377" s="1">
        <f t="shared" si="29"/>
        <v>46798</v>
      </c>
      <c r="U377" s="19">
        <f t="shared" si="30"/>
        <v>3.6899999999999977</v>
      </c>
      <c r="V377" s="17">
        <f ca="1">(LN(N377/G377)+(L377/100)^2*P377/2)/(L377/100*SQRT(P377))</f>
        <v>6.3839825377672743E-2</v>
      </c>
      <c r="W377" s="17">
        <f ca="1">V377-L377/100*SQRT(P377)</f>
        <v>-0.41815804584452904</v>
      </c>
      <c r="X377" s="17">
        <f ca="1">(LN(N377/G377)+P377*(U377/100+(L377/100)^2/2))/((L377/100*SQRT(P377)))</f>
        <v>0.21024074480065233</v>
      </c>
      <c r="Y377" s="17">
        <f ca="1">X377-N377/100*SQRT(R377)</f>
        <v>-0.25203854740266496</v>
      </c>
      <c r="Z377" s="20">
        <f ca="1">EXP(-P377)/(N377*L377/100*SQRT(P377))*_xlfn.NORM.S.DIST(X377,FALSE)</f>
        <v>1.0020609591671344E-2</v>
      </c>
      <c r="AA377" s="17">
        <f t="shared" ca="1" si="31"/>
        <v>9.5156434696561116E-3</v>
      </c>
      <c r="AB377" s="17"/>
      <c r="AC377" s="17"/>
      <c r="AD377" s="17"/>
    </row>
    <row r="378" spans="1:30" x14ac:dyDescent="0.25">
      <c r="A378" t="s">
        <v>106</v>
      </c>
      <c r="B378" t="s">
        <v>107</v>
      </c>
      <c r="C378" t="s">
        <v>108</v>
      </c>
      <c r="D378">
        <v>46755</v>
      </c>
      <c r="E378" t="s">
        <v>107</v>
      </c>
      <c r="F378" t="s">
        <v>109</v>
      </c>
      <c r="G378">
        <v>15</v>
      </c>
      <c r="H378">
        <v>1.3089999999999999</v>
      </c>
      <c r="I378">
        <v>9.2999999999999999E-2</v>
      </c>
      <c r="J378" t="s">
        <v>80</v>
      </c>
      <c r="K378">
        <v>4172</v>
      </c>
      <c r="L378">
        <v>34.805300000000003</v>
      </c>
      <c r="M378">
        <v>0.40786</v>
      </c>
      <c r="N378">
        <f>INDEX(jkm!$H:$H,MATCH(J378,jkm!$J:$J,0),1)</f>
        <v>11.936</v>
      </c>
      <c r="O378" s="3">
        <f t="shared" ca="1" si="27"/>
        <v>698</v>
      </c>
      <c r="P378" s="3">
        <f t="shared" ca="1" si="28"/>
        <v>1.9123287671232876</v>
      </c>
      <c r="Q378" t="str" cm="1">
        <f t="array" ref="Q378:S378">_xlfn.TEXTSPLIT(J378,"/")</f>
        <v>2</v>
      </c>
      <c r="R378" s="1" t="str">
        <v>15</v>
      </c>
      <c r="S378" t="str">
        <v>2028</v>
      </c>
      <c r="T378" s="1">
        <f t="shared" si="29"/>
        <v>46798</v>
      </c>
      <c r="U378" s="19">
        <f t="shared" si="30"/>
        <v>3.6899999999999977</v>
      </c>
      <c r="V378" s="17">
        <f ca="1">(LN(N378/G378)+(L378/100)^2*P378/2)/(L378/100*SQRT(P378))</f>
        <v>-0.23406970943614525</v>
      </c>
      <c r="W378" s="17">
        <f ca="1">V378-L378/100*SQRT(P378)</f>
        <v>-0.71538167725846291</v>
      </c>
      <c r="X378" s="17">
        <f ca="1">(LN(N378/G378)+P378*(U378/100+(L378/100)^2/2))/((L378/100*SQRT(P378)))</f>
        <v>-8.7460158408111832E-2</v>
      </c>
      <c r="Y378" s="17">
        <f ca="1">X378-N378/100*SQRT(R378)</f>
        <v>-0.54973945061142904</v>
      </c>
      <c r="Z378" s="20">
        <f ca="1">EXP(-P378)/(N378*L378/100*SQRT(P378))*_xlfn.NORM.S.DIST(X378,FALSE)</f>
        <v>1.0219972897886389E-2</v>
      </c>
      <c r="AA378" s="17">
        <f t="shared" ca="1" si="31"/>
        <v>9.6911497398081709E-3</v>
      </c>
      <c r="AB378" s="17"/>
      <c r="AC378" s="17"/>
      <c r="AD378" s="17"/>
    </row>
    <row r="379" spans="1:30" x14ac:dyDescent="0.25">
      <c r="A379" t="s">
        <v>106</v>
      </c>
      <c r="B379" t="s">
        <v>107</v>
      </c>
      <c r="C379" t="s">
        <v>108</v>
      </c>
      <c r="D379">
        <v>46755</v>
      </c>
      <c r="E379" t="s">
        <v>107</v>
      </c>
      <c r="F379" t="s">
        <v>110</v>
      </c>
      <c r="G379">
        <v>5</v>
      </c>
      <c r="H379">
        <v>5.6000000000000001E-2</v>
      </c>
      <c r="I379">
        <v>-5.0000000000000001E-3</v>
      </c>
      <c r="J379" t="s">
        <v>80</v>
      </c>
      <c r="K379">
        <v>4172</v>
      </c>
      <c r="L379">
        <v>35.3202</v>
      </c>
      <c r="M379">
        <v>-2.1510000000000001E-2</v>
      </c>
      <c r="N379">
        <f>INDEX(jkm!$H:$H,MATCH(J379,jkm!$J:$J,0),1)</f>
        <v>11.936</v>
      </c>
      <c r="O379" s="3">
        <f t="shared" ca="1" si="27"/>
        <v>698</v>
      </c>
      <c r="P379" s="3">
        <f t="shared" ca="1" si="28"/>
        <v>1.9123287671232876</v>
      </c>
      <c r="Q379" t="str" cm="1">
        <f t="array" ref="Q379:S379">_xlfn.TEXTSPLIT(J379,"/")</f>
        <v>2</v>
      </c>
      <c r="R379" s="1" t="str">
        <v>15</v>
      </c>
      <c r="S379" t="str">
        <v>2028</v>
      </c>
      <c r="T379" s="1">
        <f t="shared" si="29"/>
        <v>46798</v>
      </c>
      <c r="U379" s="19">
        <f t="shared" si="30"/>
        <v>3.6899999999999977</v>
      </c>
      <c r="V379" s="17">
        <f ca="1">(LN(N379/G379)+(L379/100)^2*P379/2)/(L379/100*SQRT(P379))</f>
        <v>2.0256729298406739</v>
      </c>
      <c r="W379" s="17">
        <f ca="1">V379-L379/100*SQRT(P379)</f>
        <v>1.537240565635285</v>
      </c>
      <c r="X379" s="17">
        <f ca="1">(LN(N379/G379)+P379*(U379/100+(L379/100)^2/2))/((L379/100*SQRT(P379)))</f>
        <v>2.1701451980157134</v>
      </c>
      <c r="Y379" s="17">
        <f ca="1">X379-N379/100*SQRT(R379)</f>
        <v>1.7078659058123962</v>
      </c>
      <c r="Z379" s="20">
        <f ca="1">EXP(-P379)/(N379*L379/100*SQRT(P379))*_xlfn.NORM.S.DIST(X379,FALSE)</f>
        <v>9.5955860963898893E-4</v>
      </c>
      <c r="AA379" s="17">
        <f t="shared" ca="1" si="31"/>
        <v>9.2336804111703365E-4</v>
      </c>
      <c r="AB379" s="17"/>
      <c r="AC379" s="17"/>
      <c r="AD379" s="17"/>
    </row>
    <row r="380" spans="1:30" x14ac:dyDescent="0.25">
      <c r="A380" t="s">
        <v>106</v>
      </c>
      <c r="B380" t="s">
        <v>107</v>
      </c>
      <c r="C380" t="s">
        <v>108</v>
      </c>
      <c r="D380">
        <v>46755</v>
      </c>
      <c r="E380" t="s">
        <v>107</v>
      </c>
      <c r="F380" t="s">
        <v>110</v>
      </c>
      <c r="G380">
        <v>8</v>
      </c>
      <c r="H380">
        <v>0.53800000000000003</v>
      </c>
      <c r="I380">
        <v>-3.5999999999999997E-2</v>
      </c>
      <c r="J380" t="s">
        <v>80</v>
      </c>
      <c r="K380">
        <v>4172</v>
      </c>
      <c r="L380">
        <v>35.097299999999997</v>
      </c>
      <c r="M380">
        <v>-0.14316000000000001</v>
      </c>
      <c r="N380">
        <f>INDEX(jkm!$H:$H,MATCH(J380,jkm!$J:$J,0),1)</f>
        <v>11.936</v>
      </c>
      <c r="O380" s="3">
        <f t="shared" ca="1" si="27"/>
        <v>698</v>
      </c>
      <c r="P380" s="3">
        <f t="shared" ca="1" si="28"/>
        <v>1.9123287671232876</v>
      </c>
      <c r="Q380" t="str" cm="1">
        <f t="array" ref="Q380:S380">_xlfn.TEXTSPLIT(J380,"/")</f>
        <v>2</v>
      </c>
      <c r="R380" s="1" t="str">
        <v>15</v>
      </c>
      <c r="S380" t="str">
        <v>2028</v>
      </c>
      <c r="T380" s="1">
        <f t="shared" si="29"/>
        <v>46798</v>
      </c>
      <c r="U380" s="19">
        <f t="shared" si="30"/>
        <v>3.6899999999999977</v>
      </c>
      <c r="V380" s="17">
        <f ca="1">(LN(N380/G380)+(L380/100)^2*P380/2)/(L380/100*SQRT(P380))</f>
        <v>1.0670646823174177</v>
      </c>
      <c r="W380" s="17">
        <f ca="1">V380-L380/100*SQRT(P380)</f>
        <v>0.58171473480223379</v>
      </c>
      <c r="X380" s="17">
        <f ca="1">(LN(N380/G380)+P380*(U380/100+(L380/100)^2/2))/((L380/100*SQRT(P380)))</f>
        <v>1.2124544817149785</v>
      </c>
      <c r="Y380" s="17">
        <f ca="1">X380-N380/100*SQRT(R380)</f>
        <v>0.75017518951166129</v>
      </c>
      <c r="Z380" s="20">
        <f ca="1">EXP(-P380)/(N380*L380/100*SQRT(P380))*_xlfn.NORM.S.DIST(X380,FALSE)</f>
        <v>4.8782722353406128E-3</v>
      </c>
      <c r="AA380" s="17">
        <f t="shared" ca="1" si="31"/>
        <v>4.664659193626939E-3</v>
      </c>
      <c r="AB380" s="17"/>
      <c r="AC380" s="17"/>
      <c r="AD380" s="17"/>
    </row>
    <row r="381" spans="1:30" x14ac:dyDescent="0.25">
      <c r="A381" t="s">
        <v>106</v>
      </c>
      <c r="B381" t="s">
        <v>107</v>
      </c>
      <c r="C381" t="s">
        <v>108</v>
      </c>
      <c r="D381">
        <v>46755</v>
      </c>
      <c r="E381" t="s">
        <v>107</v>
      </c>
      <c r="F381" t="s">
        <v>110</v>
      </c>
      <c r="G381">
        <v>10</v>
      </c>
      <c r="H381">
        <v>1.266</v>
      </c>
      <c r="I381">
        <v>-6.6000000000000003E-2</v>
      </c>
      <c r="J381" t="s">
        <v>80</v>
      </c>
      <c r="K381">
        <v>4172</v>
      </c>
      <c r="L381">
        <v>34.967100000000002</v>
      </c>
      <c r="M381">
        <v>-0.27173000000000003</v>
      </c>
      <c r="N381">
        <f>INDEX(jkm!$H:$H,MATCH(J381,jkm!$J:$J,0),1)</f>
        <v>11.936</v>
      </c>
      <c r="O381" s="3">
        <f t="shared" ca="1" si="27"/>
        <v>698</v>
      </c>
      <c r="P381" s="3">
        <f t="shared" ca="1" si="28"/>
        <v>1.9123287671232876</v>
      </c>
      <c r="Q381" t="str" cm="1">
        <f t="array" ref="Q381:S381">_xlfn.TEXTSPLIT(J381,"/")</f>
        <v>2</v>
      </c>
      <c r="R381" s="1" t="str">
        <v>15</v>
      </c>
      <c r="S381" t="str">
        <v>2028</v>
      </c>
      <c r="T381" s="1">
        <f t="shared" si="29"/>
        <v>46798</v>
      </c>
      <c r="U381" s="19">
        <f t="shared" si="30"/>
        <v>3.6899999999999977</v>
      </c>
      <c r="V381" s="17">
        <f ca="1">(LN(N381/G381)+(L381/100)^2*P381/2)/(L381/100*SQRT(P381))</f>
        <v>0.60776407796463428</v>
      </c>
      <c r="W381" s="17">
        <f ca="1">V381-L381/100*SQRT(P381)</f>
        <v>0.12421462687414619</v>
      </c>
      <c r="X381" s="17">
        <f ca="1">(LN(N381/G381)+P381*(U381/100+(L381/100)^2/2))/((L381/100*SQRT(P381)))</f>
        <v>0.75369523629334934</v>
      </c>
      <c r="Y381" s="17">
        <f ca="1">X381-N381/100*SQRT(R381)</f>
        <v>0.29141594409003208</v>
      </c>
      <c r="Z381" s="20">
        <f ca="1">EXP(-P381)/(N381*L381/100*SQRT(P381))*_xlfn.NORM.S.DIST(X381,FALSE)</f>
        <v>7.6867830928772944E-3</v>
      </c>
      <c r="AA381" s="17">
        <f t="shared" ca="1" si="31"/>
        <v>7.3229222011018599E-3</v>
      </c>
      <c r="AB381" s="17"/>
      <c r="AC381" s="17"/>
      <c r="AD381" s="17"/>
    </row>
    <row r="382" spans="1:30" x14ac:dyDescent="0.25">
      <c r="A382" t="s">
        <v>106</v>
      </c>
      <c r="B382" t="s">
        <v>107</v>
      </c>
      <c r="C382" t="s">
        <v>108</v>
      </c>
      <c r="D382">
        <v>46755</v>
      </c>
      <c r="E382" t="s">
        <v>107</v>
      </c>
      <c r="F382" t="s">
        <v>110</v>
      </c>
      <c r="G382">
        <v>13</v>
      </c>
      <c r="H382">
        <v>2.9460000000000002</v>
      </c>
      <c r="I382">
        <v>-0.114</v>
      </c>
      <c r="J382" t="s">
        <v>80</v>
      </c>
      <c r="K382">
        <v>4172</v>
      </c>
      <c r="L382">
        <v>34.854900000000001</v>
      </c>
      <c r="M382">
        <v>-0.47431000000000001</v>
      </c>
      <c r="N382">
        <f>INDEX(jkm!$H:$H,MATCH(J382,jkm!$J:$J,0),1)</f>
        <v>11.936</v>
      </c>
      <c r="O382" s="3">
        <f t="shared" ca="1" si="27"/>
        <v>698</v>
      </c>
      <c r="P382" s="3">
        <f t="shared" ca="1" si="28"/>
        <v>1.9123287671232876</v>
      </c>
      <c r="Q382" t="str" cm="1">
        <f t="array" ref="Q382:S382">_xlfn.TEXTSPLIT(J382,"/")</f>
        <v>2</v>
      </c>
      <c r="R382" s="1" t="str">
        <v>15</v>
      </c>
      <c r="S382" t="str">
        <v>2028</v>
      </c>
      <c r="T382" s="1">
        <f t="shared" si="29"/>
        <v>46798</v>
      </c>
      <c r="U382" s="19">
        <f t="shared" si="30"/>
        <v>3.6899999999999977</v>
      </c>
      <c r="V382" s="17">
        <f ca="1">(LN(N382/G382)+(L382/100)^2*P382/2)/(L382/100*SQRT(P382))</f>
        <v>6.3839825377672743E-2</v>
      </c>
      <c r="W382" s="17">
        <f ca="1">V382-L382/100*SQRT(P382)</f>
        <v>-0.41815804584452904</v>
      </c>
      <c r="X382" s="17">
        <f ca="1">(LN(N382/G382)+P382*(U382/100+(L382/100)^2/2))/((L382/100*SQRT(P382)))</f>
        <v>0.21024074480065233</v>
      </c>
      <c r="Y382" s="17">
        <f ca="1">X382-N382/100*SQRT(R382)</f>
        <v>-0.25203854740266496</v>
      </c>
      <c r="Z382" s="20">
        <f ca="1">EXP(-P382)/(N382*L382/100*SQRT(P382))*_xlfn.NORM.S.DIST(X382,FALSE)</f>
        <v>1.0020609591671344E-2</v>
      </c>
      <c r="AA382" s="17">
        <f t="shared" ca="1" si="31"/>
        <v>9.5156434696561116E-3</v>
      </c>
      <c r="AB382" s="17"/>
      <c r="AC382" s="17"/>
      <c r="AD382" s="17"/>
    </row>
    <row r="383" spans="1:30" x14ac:dyDescent="0.25">
      <c r="A383" t="s">
        <v>106</v>
      </c>
      <c r="B383" t="s">
        <v>107</v>
      </c>
      <c r="C383" t="s">
        <v>108</v>
      </c>
      <c r="D383">
        <v>46755</v>
      </c>
      <c r="E383" t="s">
        <v>107</v>
      </c>
      <c r="F383" t="s">
        <v>110</v>
      </c>
      <c r="G383">
        <v>15</v>
      </c>
      <c r="H383">
        <v>4.3730000000000002</v>
      </c>
      <c r="I383">
        <v>-0.14099999999999999</v>
      </c>
      <c r="J383" t="s">
        <v>80</v>
      </c>
      <c r="K383">
        <v>4172</v>
      </c>
      <c r="L383">
        <v>34.805300000000003</v>
      </c>
      <c r="M383">
        <v>-0.59214</v>
      </c>
      <c r="N383">
        <f>INDEX(jkm!$H:$H,MATCH(J383,jkm!$J:$J,0),1)</f>
        <v>11.936</v>
      </c>
      <c r="O383" s="3">
        <f t="shared" ca="1" si="27"/>
        <v>698</v>
      </c>
      <c r="P383" s="3">
        <f t="shared" ca="1" si="28"/>
        <v>1.9123287671232876</v>
      </c>
      <c r="Q383" t="str" cm="1">
        <f t="array" ref="Q383:S383">_xlfn.TEXTSPLIT(J383,"/")</f>
        <v>2</v>
      </c>
      <c r="R383" s="1" t="str">
        <v>15</v>
      </c>
      <c r="S383" t="str">
        <v>2028</v>
      </c>
      <c r="T383" s="1">
        <f t="shared" si="29"/>
        <v>46798</v>
      </c>
      <c r="U383" s="19">
        <f t="shared" si="30"/>
        <v>3.6899999999999977</v>
      </c>
      <c r="V383" s="17">
        <f ca="1">(LN(N383/G383)+(L383/100)^2*P383/2)/(L383/100*SQRT(P383))</f>
        <v>-0.23406970943614525</v>
      </c>
      <c r="W383" s="17">
        <f ca="1">V383-L383/100*SQRT(P383)</f>
        <v>-0.71538167725846291</v>
      </c>
      <c r="X383" s="17">
        <f ca="1">(LN(N383/G383)+P383*(U383/100+(L383/100)^2/2))/((L383/100*SQRT(P383)))</f>
        <v>-8.7460158408111832E-2</v>
      </c>
      <c r="Y383" s="17">
        <f ca="1">X383-N383/100*SQRT(R383)</f>
        <v>-0.54973945061142904</v>
      </c>
      <c r="Z383" s="20">
        <f ca="1">EXP(-P383)/(N383*L383/100*SQRT(P383))*_xlfn.NORM.S.DIST(X383,FALSE)</f>
        <v>1.0219972897886389E-2</v>
      </c>
      <c r="AA383" s="17">
        <f t="shared" ca="1" si="31"/>
        <v>9.6911497398081709E-3</v>
      </c>
      <c r="AB383" s="17"/>
      <c r="AC383" s="17"/>
      <c r="AD383" s="17"/>
    </row>
    <row r="384" spans="1:30" x14ac:dyDescent="0.25">
      <c r="A384" t="s">
        <v>106</v>
      </c>
      <c r="B384" t="s">
        <v>107</v>
      </c>
      <c r="C384" t="s">
        <v>108</v>
      </c>
      <c r="D384">
        <v>46756</v>
      </c>
      <c r="E384" t="s">
        <v>107</v>
      </c>
      <c r="F384" t="s">
        <v>109</v>
      </c>
      <c r="G384">
        <v>5</v>
      </c>
      <c r="H384">
        <v>4.4109999999999996</v>
      </c>
      <c r="I384">
        <v>1.7999999999999999E-2</v>
      </c>
      <c r="J384" t="s">
        <v>81</v>
      </c>
      <c r="K384">
        <v>4172</v>
      </c>
      <c r="L384">
        <v>30.5259</v>
      </c>
      <c r="M384">
        <v>0.95130999999999999</v>
      </c>
      <c r="N384">
        <f>INDEX(jkm!$H:$H,MATCH(J384,jkm!$J:$J,0),1)</f>
        <v>9.3140000000000001</v>
      </c>
      <c r="O384" s="3">
        <f t="shared" ca="1" si="27"/>
        <v>727</v>
      </c>
      <c r="P384" s="3">
        <f t="shared" ca="1" si="28"/>
        <v>1.9917808219178081</v>
      </c>
      <c r="Q384" t="str" cm="1">
        <f t="array" ref="Q384:S384">_xlfn.TEXTSPLIT(J384,"/")</f>
        <v>3</v>
      </c>
      <c r="R384" s="1" t="str">
        <v>15</v>
      </c>
      <c r="S384" t="str">
        <v>2028</v>
      </c>
      <c r="T384" s="1">
        <f t="shared" si="29"/>
        <v>46827</v>
      </c>
      <c r="U384" s="19">
        <f t="shared" si="30"/>
        <v>3.6899999999999977</v>
      </c>
      <c r="V384" s="17">
        <f ca="1">(LN(N384/G384)+(L384/100)^2*P384/2)/(L384/100*SQRT(P384))</f>
        <v>1.659374493291331</v>
      </c>
      <c r="W384" s="17">
        <f ca="1">V384-L384/100*SQRT(P384)</f>
        <v>1.2285610464009071</v>
      </c>
      <c r="X384" s="17">
        <f ca="1">(LN(N384/G384)+P384*(U384/100+(L384/100)^2/2))/((L384/100*SQRT(P384)))</f>
        <v>1.8299743500489609</v>
      </c>
      <c r="Y384" s="17">
        <f ca="1">X384-N384/100*SQRT(R384)</f>
        <v>1.4692446811832021</v>
      </c>
      <c r="Z384" s="20">
        <f ca="1">EXP(-P384)/(N384*L384/100*SQRT(P384))*_xlfn.NORM.S.DIST(X384,FALSE)</f>
        <v>2.5426182032199721E-3</v>
      </c>
      <c r="AA384" s="17">
        <f t="shared" ca="1" si="31"/>
        <v>1.3411076587139885E-3</v>
      </c>
      <c r="AB384" s="17"/>
      <c r="AC384" s="17"/>
      <c r="AD384" s="17"/>
    </row>
    <row r="385" spans="1:30" x14ac:dyDescent="0.25">
      <c r="A385" t="s">
        <v>106</v>
      </c>
      <c r="B385" t="s">
        <v>107</v>
      </c>
      <c r="C385" t="s">
        <v>108</v>
      </c>
      <c r="D385">
        <v>46756</v>
      </c>
      <c r="E385" t="s">
        <v>107</v>
      </c>
      <c r="F385" t="s">
        <v>109</v>
      </c>
      <c r="G385">
        <v>7</v>
      </c>
      <c r="H385">
        <v>2.8290000000000002</v>
      </c>
      <c r="J385" t="s">
        <v>81</v>
      </c>
      <c r="K385">
        <v>4172</v>
      </c>
      <c r="L385">
        <v>30.291399999999999</v>
      </c>
      <c r="M385">
        <v>0.81089999999999995</v>
      </c>
      <c r="N385">
        <f>INDEX(jkm!$H:$H,MATCH(J385,jkm!$J:$J,0),1)</f>
        <v>9.3140000000000001</v>
      </c>
      <c r="O385" s="3">
        <f t="shared" ca="1" si="27"/>
        <v>727</v>
      </c>
      <c r="P385" s="3">
        <f t="shared" ca="1" si="28"/>
        <v>1.9917808219178081</v>
      </c>
      <c r="Q385" t="str" cm="1">
        <f t="array" ref="Q385:S385">_xlfn.TEXTSPLIT(J385,"/")</f>
        <v>3</v>
      </c>
      <c r="R385" s="1" t="str">
        <v>15</v>
      </c>
      <c r="S385" t="str">
        <v>2028</v>
      </c>
      <c r="T385" s="1">
        <f t="shared" si="29"/>
        <v>46827</v>
      </c>
      <c r="U385" s="19">
        <f t="shared" si="30"/>
        <v>3.6899999999999977</v>
      </c>
      <c r="V385" s="17">
        <f ca="1">(LN(N385/G385)+(L385/100)^2*P385/2)/(L385/100*SQRT(P385))</f>
        <v>0.88183586333102415</v>
      </c>
      <c r="W385" s="17">
        <f ca="1">V385-L385/100*SQRT(P385)</f>
        <v>0.45433192585050464</v>
      </c>
      <c r="X385" s="17">
        <f ca="1">(LN(N385/G385)+P385*(U385/100+(L385/100)^2/2))/((L385/100*SQRT(P385)))</f>
        <v>1.0537564139624815</v>
      </c>
      <c r="Y385" s="17">
        <f ca="1">X385-N385/100*SQRT(R385)</f>
        <v>0.69302674509672268</v>
      </c>
      <c r="Z385" s="20">
        <f ca="1">EXP(-P385)/(N385*L385/100*SQRT(P385))*_xlfn.NORM.S.DIST(X385,FALSE)</f>
        <v>7.84681541199218E-3</v>
      </c>
      <c r="AA385" s="17">
        <f t="shared" ca="1" si="31"/>
        <v>4.107019793526007E-3</v>
      </c>
      <c r="AB385" s="17"/>
      <c r="AC385" s="17"/>
      <c r="AD385" s="17"/>
    </row>
    <row r="386" spans="1:30" x14ac:dyDescent="0.25">
      <c r="A386" t="s">
        <v>106</v>
      </c>
      <c r="B386" t="s">
        <v>107</v>
      </c>
      <c r="C386" t="s">
        <v>108</v>
      </c>
      <c r="D386">
        <v>46756</v>
      </c>
      <c r="E386" t="s">
        <v>107</v>
      </c>
      <c r="F386" t="s">
        <v>109</v>
      </c>
      <c r="G386">
        <v>8</v>
      </c>
      <c r="H386">
        <v>2.21</v>
      </c>
      <c r="I386">
        <v>-0.151</v>
      </c>
      <c r="J386" t="s">
        <v>81</v>
      </c>
      <c r="K386">
        <v>4172</v>
      </c>
      <c r="L386">
        <v>30.1983</v>
      </c>
      <c r="M386">
        <v>0.71557000000000004</v>
      </c>
      <c r="N386">
        <f>INDEX(jkm!$H:$H,MATCH(J386,jkm!$J:$J,0),1)</f>
        <v>9.3140000000000001</v>
      </c>
      <c r="O386" s="3">
        <f t="shared" ref="O386:O449" ca="1" si="32">T386-TODAY()</f>
        <v>727</v>
      </c>
      <c r="P386" s="3">
        <f t="shared" ca="1" si="28"/>
        <v>1.9917808219178081</v>
      </c>
      <c r="Q386" t="str" cm="1">
        <f t="array" ref="Q386:S386">_xlfn.TEXTSPLIT(J386,"/")</f>
        <v>3</v>
      </c>
      <c r="R386" s="1" t="str">
        <v>15</v>
      </c>
      <c r="S386" t="str">
        <v>2028</v>
      </c>
      <c r="T386" s="1">
        <f t="shared" si="29"/>
        <v>46827</v>
      </c>
      <c r="U386" s="19">
        <f t="shared" si="30"/>
        <v>3.6899999999999977</v>
      </c>
      <c r="V386" s="17">
        <f ca="1">(LN(N386/G386)+(L386/100)^2*P386/2)/(L386/100*SQRT(P386))</f>
        <v>0.56992435083762893</v>
      </c>
      <c r="W386" s="17">
        <f ca="1">V386-L386/100*SQRT(P386)</f>
        <v>0.14373433798850438</v>
      </c>
      <c r="X386" s="17">
        <f ca="1">(LN(N386/G386)+P386*(U386/100+(L386/100)^2/2))/((L386/100*SQRT(P386)))</f>
        <v>0.74237492479039213</v>
      </c>
      <c r="Y386" s="17">
        <f ca="1">X386-N386/100*SQRT(R386)</f>
        <v>0.38164525592463333</v>
      </c>
      <c r="Z386" s="20">
        <f ca="1">EXP(-P386)/(N386*L386/100*SQRT(P386))*_xlfn.NORM.S.DIST(X386,FALSE)</f>
        <v>1.0410625917991955E-2</v>
      </c>
      <c r="AA386" s="17">
        <f t="shared" ca="1" si="31"/>
        <v>5.4321699681579528E-3</v>
      </c>
      <c r="AB386" s="17"/>
      <c r="AC386" s="17"/>
      <c r="AD386" s="17"/>
    </row>
    <row r="387" spans="1:30" x14ac:dyDescent="0.25">
      <c r="A387" t="s">
        <v>106</v>
      </c>
      <c r="B387" t="s">
        <v>107</v>
      </c>
      <c r="C387" t="s">
        <v>108</v>
      </c>
      <c r="D387">
        <v>46756</v>
      </c>
      <c r="E387" t="s">
        <v>107</v>
      </c>
      <c r="F387" t="s">
        <v>109</v>
      </c>
      <c r="G387">
        <v>10</v>
      </c>
      <c r="H387">
        <v>1.3049999999999999</v>
      </c>
      <c r="I387">
        <v>-0.20499999999999999</v>
      </c>
      <c r="J387" t="s">
        <v>81</v>
      </c>
      <c r="K387">
        <v>4172</v>
      </c>
      <c r="L387">
        <v>30.0822</v>
      </c>
      <c r="M387">
        <v>0.51810999999999996</v>
      </c>
      <c r="N387">
        <f>INDEX(jkm!$H:$H,MATCH(J387,jkm!$J:$J,0),1)</f>
        <v>9.3140000000000001</v>
      </c>
      <c r="O387" s="3">
        <f t="shared" ca="1" si="32"/>
        <v>727</v>
      </c>
      <c r="P387" s="3">
        <f t="shared" ref="P387:P450" ca="1" si="33">O387/365</f>
        <v>1.9917808219178081</v>
      </c>
      <c r="Q387" t="str" cm="1">
        <f t="array" ref="Q387:S387">_xlfn.TEXTSPLIT(J387,"/")</f>
        <v>3</v>
      </c>
      <c r="R387" s="1" t="str">
        <v>15</v>
      </c>
      <c r="S387" t="str">
        <v>2028</v>
      </c>
      <c r="T387" s="1">
        <f t="shared" ref="T387:T450" si="34">DATE(S387,Q387,R387)</f>
        <v>46827</v>
      </c>
      <c r="U387" s="19">
        <f t="shared" si="30"/>
        <v>3.6899999999999977</v>
      </c>
      <c r="V387" s="17">
        <f ca="1">(LN(N387/G387)+(L387/100)^2*P387/2)/(L387/100*SQRT(P387))</f>
        <v>4.4883919011760157E-2</v>
      </c>
      <c r="W387" s="17">
        <f ca="1">V387-L387/100*SQRT(P387)</f>
        <v>-0.37966756913591487</v>
      </c>
      <c r="X387" s="17">
        <f ca="1">(LN(N387/G387)+P387*(U387/100+(L387/100)^2/2))/((L387/100*SQRT(P387)))</f>
        <v>0.21800005305108347</v>
      </c>
      <c r="Y387" s="17">
        <f ca="1">X387-N387/100*SQRT(R387)</f>
        <v>-0.14272961581467533</v>
      </c>
      <c r="Z387" s="20">
        <f ca="1">EXP(-P387)/(N387*L387/100*SQRT(P387))*_xlfn.NORM.S.DIST(X387,FALSE)</f>
        <v>1.3443251824293916E-2</v>
      </c>
      <c r="AA387" s="17">
        <f t="shared" ca="1" si="31"/>
        <v>6.9875984850408922E-3</v>
      </c>
      <c r="AB387" s="17"/>
      <c r="AC387" s="17"/>
      <c r="AD387" s="17"/>
    </row>
    <row r="388" spans="1:30" x14ac:dyDescent="0.25">
      <c r="A388" t="s">
        <v>106</v>
      </c>
      <c r="B388" t="s">
        <v>107</v>
      </c>
      <c r="C388" t="s">
        <v>108</v>
      </c>
      <c r="D388">
        <v>46756</v>
      </c>
      <c r="E388" t="s">
        <v>107</v>
      </c>
      <c r="F388" t="s">
        <v>109</v>
      </c>
      <c r="G388">
        <v>13</v>
      </c>
      <c r="H388">
        <v>0.56899999999999995</v>
      </c>
      <c r="I388">
        <v>-0.19600000000000001</v>
      </c>
      <c r="J388" t="s">
        <v>81</v>
      </c>
      <c r="K388">
        <v>4172</v>
      </c>
      <c r="L388">
        <v>30.038699999999999</v>
      </c>
      <c r="M388">
        <v>0.28327000000000002</v>
      </c>
      <c r="N388">
        <f>INDEX(jkm!$H:$H,MATCH(J388,jkm!$J:$J,0),1)</f>
        <v>9.3140000000000001</v>
      </c>
      <c r="O388" s="3">
        <f t="shared" ca="1" si="32"/>
        <v>727</v>
      </c>
      <c r="P388" s="3">
        <f t="shared" ca="1" si="33"/>
        <v>1.9917808219178081</v>
      </c>
      <c r="Q388" t="str" cm="1">
        <f t="array" ref="Q388:S388">_xlfn.TEXTSPLIT(J388,"/")</f>
        <v>3</v>
      </c>
      <c r="R388" s="1" t="str">
        <v>15</v>
      </c>
      <c r="S388" t="str">
        <v>2028</v>
      </c>
      <c r="T388" s="1">
        <f t="shared" si="34"/>
        <v>46827</v>
      </c>
      <c r="U388" s="19">
        <f t="shared" ref="U388:U451" si="35">U387</f>
        <v>3.6899999999999977</v>
      </c>
      <c r="V388" s="17">
        <f ca="1">(LN(N388/G388)+(L388/100)^2*P388/2)/(L388/100*SQRT(P388))</f>
        <v>-0.57454021036557901</v>
      </c>
      <c r="W388" s="17">
        <f ca="1">V388-L388/100*SQRT(P388)</f>
        <v>-0.99847778098945505</v>
      </c>
      <c r="X388" s="17">
        <f ca="1">(LN(N388/G388)+P388*(U388/100+(L388/100)^2/2))/((L388/100*SQRT(P388)))</f>
        <v>-0.40117338132844593</v>
      </c>
      <c r="Y388" s="17">
        <f ca="1">X388-N388/100*SQRT(R388)</f>
        <v>-0.76190305019420479</v>
      </c>
      <c r="Z388" s="20">
        <f ca="1">EXP(-P388)/(N388*L388/100*SQRT(P388))*_xlfn.NORM.S.DIST(X388,FALSE)</f>
        <v>1.2720518403094471E-2</v>
      </c>
      <c r="AA388" s="17">
        <f t="shared" ca="1" si="31"/>
        <v>6.6023715052101637E-3</v>
      </c>
      <c r="AB388" s="17"/>
      <c r="AC388" s="17"/>
      <c r="AD388" s="17"/>
    </row>
    <row r="389" spans="1:30" x14ac:dyDescent="0.25">
      <c r="A389" t="s">
        <v>106</v>
      </c>
      <c r="B389" t="s">
        <v>107</v>
      </c>
      <c r="C389" t="s">
        <v>108</v>
      </c>
      <c r="D389">
        <v>46756</v>
      </c>
      <c r="E389" t="s">
        <v>107</v>
      </c>
      <c r="F389" t="s">
        <v>109</v>
      </c>
      <c r="G389">
        <v>15</v>
      </c>
      <c r="H389">
        <v>0.32400000000000001</v>
      </c>
      <c r="I389">
        <v>-0.16400000000000001</v>
      </c>
      <c r="J389" t="s">
        <v>81</v>
      </c>
      <c r="K389">
        <v>4172</v>
      </c>
      <c r="L389">
        <v>30.0273</v>
      </c>
      <c r="M389">
        <v>0.18121000000000001</v>
      </c>
      <c r="N389">
        <f>INDEX(jkm!$H:$H,MATCH(J389,jkm!$J:$J,0),1)</f>
        <v>9.3140000000000001</v>
      </c>
      <c r="O389" s="3">
        <f t="shared" ca="1" si="32"/>
        <v>727</v>
      </c>
      <c r="P389" s="3">
        <f t="shared" ca="1" si="33"/>
        <v>1.9917808219178081</v>
      </c>
      <c r="Q389" t="str" cm="1">
        <f t="array" ref="Q389:S389">_xlfn.TEXTSPLIT(J389,"/")</f>
        <v>3</v>
      </c>
      <c r="R389" s="1" t="str">
        <v>15</v>
      </c>
      <c r="S389" t="str">
        <v>2028</v>
      </c>
      <c r="T389" s="1">
        <f t="shared" si="34"/>
        <v>46827</v>
      </c>
      <c r="U389" s="19">
        <f t="shared" si="35"/>
        <v>3.6899999999999977</v>
      </c>
      <c r="V389" s="17">
        <f ca="1">(LN(N389/G389)+(L389/100)^2*P389/2)/(L389/100*SQRT(P389))</f>
        <v>-0.91259909996860666</v>
      </c>
      <c r="W389" s="17">
        <f ca="1">V389-L389/100*SQRT(P389)</f>
        <v>-1.3363757818621078</v>
      </c>
      <c r="X389" s="17">
        <f ca="1">(LN(N389/G389)+P389*(U389/100+(L389/100)^2/2))/((L389/100*SQRT(P389)))</f>
        <v>-0.73916645143218374</v>
      </c>
      <c r="Y389" s="17">
        <f ca="1">X389-N389/100*SQRT(R389)</f>
        <v>-1.0998961202979425</v>
      </c>
      <c r="Z389" s="20">
        <f ca="1">EXP(-P389)/(N389*L389/100*SQRT(P389))*_xlfn.NORM.S.DIST(X389,FALSE)</f>
        <v>1.0494826421637828E-2</v>
      </c>
      <c r="AA389" s="17">
        <f t="shared" ca="1" si="31"/>
        <v>5.4450961952739099E-3</v>
      </c>
      <c r="AB389" s="17"/>
      <c r="AC389" s="17"/>
      <c r="AD389" s="17"/>
    </row>
    <row r="390" spans="1:30" x14ac:dyDescent="0.25">
      <c r="A390" t="s">
        <v>106</v>
      </c>
      <c r="B390" t="s">
        <v>107</v>
      </c>
      <c r="C390" t="s">
        <v>108</v>
      </c>
      <c r="D390">
        <v>46756</v>
      </c>
      <c r="E390" t="s">
        <v>107</v>
      </c>
      <c r="F390" t="s">
        <v>110</v>
      </c>
      <c r="G390">
        <v>5</v>
      </c>
      <c r="H390">
        <v>9.7000000000000003E-2</v>
      </c>
      <c r="I390">
        <v>-8.3000000000000004E-2</v>
      </c>
      <c r="J390" t="s">
        <v>81</v>
      </c>
      <c r="K390">
        <v>4172</v>
      </c>
      <c r="L390">
        <v>30.5259</v>
      </c>
      <c r="M390">
        <v>-4.8689999999999997E-2</v>
      </c>
      <c r="N390">
        <f>INDEX(jkm!$H:$H,MATCH(J390,jkm!$J:$J,0),1)</f>
        <v>9.3140000000000001</v>
      </c>
      <c r="O390" s="3">
        <f t="shared" ca="1" si="32"/>
        <v>727</v>
      </c>
      <c r="P390" s="3">
        <f t="shared" ca="1" si="33"/>
        <v>1.9917808219178081</v>
      </c>
      <c r="Q390" t="str" cm="1">
        <f t="array" ref="Q390:S390">_xlfn.TEXTSPLIT(J390,"/")</f>
        <v>3</v>
      </c>
      <c r="R390" s="1" t="str">
        <v>15</v>
      </c>
      <c r="S390" t="str">
        <v>2028</v>
      </c>
      <c r="T390" s="1">
        <f t="shared" si="34"/>
        <v>46827</v>
      </c>
      <c r="U390" s="19">
        <f t="shared" si="35"/>
        <v>3.6899999999999977</v>
      </c>
      <c r="V390" s="17">
        <f ca="1">(LN(N390/G390)+(L390/100)^2*P390/2)/(L390/100*SQRT(P390))</f>
        <v>1.659374493291331</v>
      </c>
      <c r="W390" s="17">
        <f ca="1">V390-L390/100*SQRT(P390)</f>
        <v>1.2285610464009071</v>
      </c>
      <c r="X390" s="17">
        <f ca="1">(LN(N390/G390)+P390*(U390/100+(L390/100)^2/2))/((L390/100*SQRT(P390)))</f>
        <v>1.8299743500489609</v>
      </c>
      <c r="Y390" s="17">
        <f ca="1">X390-N390/100*SQRT(R390)</f>
        <v>1.4692446811832021</v>
      </c>
      <c r="Z390" s="20">
        <f ca="1">EXP(-P390)/(N390*L390/100*SQRT(P390))*_xlfn.NORM.S.DIST(X390,FALSE)</f>
        <v>2.5426182032199721E-3</v>
      </c>
      <c r="AA390" s="17">
        <f t="shared" ca="1" si="31"/>
        <v>1.3411076587139885E-3</v>
      </c>
      <c r="AB390" s="17"/>
      <c r="AC390" s="17"/>
      <c r="AD390" s="17"/>
    </row>
    <row r="391" spans="1:30" x14ac:dyDescent="0.25">
      <c r="A391" t="s">
        <v>106</v>
      </c>
      <c r="B391" t="s">
        <v>107</v>
      </c>
      <c r="C391" t="s">
        <v>108</v>
      </c>
      <c r="D391">
        <v>46756</v>
      </c>
      <c r="E391" t="s">
        <v>107</v>
      </c>
      <c r="F391" t="s">
        <v>110</v>
      </c>
      <c r="G391">
        <v>7</v>
      </c>
      <c r="H391">
        <v>0.51500000000000001</v>
      </c>
      <c r="J391" t="s">
        <v>81</v>
      </c>
      <c r="K391">
        <v>4172</v>
      </c>
      <c r="L391">
        <v>30.291399999999999</v>
      </c>
      <c r="M391">
        <v>-0.18909999999999999</v>
      </c>
      <c r="N391">
        <f>INDEX(jkm!$H:$H,MATCH(J391,jkm!$J:$J,0),1)</f>
        <v>9.3140000000000001</v>
      </c>
      <c r="O391" s="3">
        <f t="shared" ca="1" si="32"/>
        <v>727</v>
      </c>
      <c r="P391" s="3">
        <f t="shared" ca="1" si="33"/>
        <v>1.9917808219178081</v>
      </c>
      <c r="Q391" t="str" cm="1">
        <f t="array" ref="Q391:S391">_xlfn.TEXTSPLIT(J391,"/")</f>
        <v>3</v>
      </c>
      <c r="R391" s="1" t="str">
        <v>15</v>
      </c>
      <c r="S391" t="str">
        <v>2028</v>
      </c>
      <c r="T391" s="1">
        <f t="shared" si="34"/>
        <v>46827</v>
      </c>
      <c r="U391" s="19">
        <f t="shared" si="35"/>
        <v>3.6899999999999977</v>
      </c>
      <c r="V391" s="17">
        <f ca="1">(LN(N391/G391)+(L391/100)^2*P391/2)/(L391/100*SQRT(P391))</f>
        <v>0.88183586333102415</v>
      </c>
      <c r="W391" s="17">
        <f ca="1">V391-L391/100*SQRT(P391)</f>
        <v>0.45433192585050464</v>
      </c>
      <c r="X391" s="17">
        <f ca="1">(LN(N391/G391)+P391*(U391/100+(L391/100)^2/2))/((L391/100*SQRT(P391)))</f>
        <v>1.0537564139624815</v>
      </c>
      <c r="Y391" s="17">
        <f ca="1">X391-N391/100*SQRT(R391)</f>
        <v>0.69302674509672268</v>
      </c>
      <c r="Z391" s="20">
        <f ca="1">EXP(-P391)/(N391*L391/100*SQRT(P391))*_xlfn.NORM.S.DIST(X391,FALSE)</f>
        <v>7.84681541199218E-3</v>
      </c>
      <c r="AA391" s="17">
        <f t="shared" ca="1" si="31"/>
        <v>4.107019793526007E-3</v>
      </c>
      <c r="AB391" s="17"/>
      <c r="AC391" s="17"/>
      <c r="AD391" s="17"/>
    </row>
    <row r="392" spans="1:30" x14ac:dyDescent="0.25">
      <c r="A392" t="s">
        <v>106</v>
      </c>
      <c r="B392" t="s">
        <v>107</v>
      </c>
      <c r="C392" t="s">
        <v>108</v>
      </c>
      <c r="D392">
        <v>46756</v>
      </c>
      <c r="E392" t="s">
        <v>107</v>
      </c>
      <c r="F392" t="s">
        <v>110</v>
      </c>
      <c r="G392">
        <v>8</v>
      </c>
      <c r="H392">
        <v>0.89600000000000002</v>
      </c>
      <c r="I392">
        <v>-0.252</v>
      </c>
      <c r="J392" t="s">
        <v>81</v>
      </c>
      <c r="K392">
        <v>4172</v>
      </c>
      <c r="L392">
        <v>30.1983</v>
      </c>
      <c r="M392">
        <v>-0.28443000000000002</v>
      </c>
      <c r="N392">
        <f>INDEX(jkm!$H:$H,MATCH(J392,jkm!$J:$J,0),1)</f>
        <v>9.3140000000000001</v>
      </c>
      <c r="O392" s="3">
        <f t="shared" ca="1" si="32"/>
        <v>727</v>
      </c>
      <c r="P392" s="3">
        <f t="shared" ca="1" si="33"/>
        <v>1.9917808219178081</v>
      </c>
      <c r="Q392" t="str" cm="1">
        <f t="array" ref="Q392:S392">_xlfn.TEXTSPLIT(J392,"/")</f>
        <v>3</v>
      </c>
      <c r="R392" s="1" t="str">
        <v>15</v>
      </c>
      <c r="S392" t="str">
        <v>2028</v>
      </c>
      <c r="T392" s="1">
        <f t="shared" si="34"/>
        <v>46827</v>
      </c>
      <c r="U392" s="19">
        <f t="shared" si="35"/>
        <v>3.6899999999999977</v>
      </c>
      <c r="V392" s="17">
        <f ca="1">(LN(N392/G392)+(L392/100)^2*P392/2)/(L392/100*SQRT(P392))</f>
        <v>0.56992435083762893</v>
      </c>
      <c r="W392" s="17">
        <f ca="1">V392-L392/100*SQRT(P392)</f>
        <v>0.14373433798850438</v>
      </c>
      <c r="X392" s="17">
        <f ca="1">(LN(N392/G392)+P392*(U392/100+(L392/100)^2/2))/((L392/100*SQRT(P392)))</f>
        <v>0.74237492479039213</v>
      </c>
      <c r="Y392" s="17">
        <f ca="1">X392-N392/100*SQRT(R392)</f>
        <v>0.38164525592463333</v>
      </c>
      <c r="Z392" s="20">
        <f ca="1">EXP(-P392)/(N392*L392/100*SQRT(P392))*_xlfn.NORM.S.DIST(X392,FALSE)</f>
        <v>1.0410625917991955E-2</v>
      </c>
      <c r="AA392" s="17">
        <f t="shared" ca="1" si="31"/>
        <v>5.4321699681579528E-3</v>
      </c>
      <c r="AB392" s="17"/>
      <c r="AC392" s="17"/>
      <c r="AD392" s="17"/>
    </row>
    <row r="393" spans="1:30" x14ac:dyDescent="0.25">
      <c r="A393" t="s">
        <v>106</v>
      </c>
      <c r="B393" t="s">
        <v>107</v>
      </c>
      <c r="C393" t="s">
        <v>108</v>
      </c>
      <c r="D393">
        <v>46756</v>
      </c>
      <c r="E393" t="s">
        <v>107</v>
      </c>
      <c r="F393" t="s">
        <v>110</v>
      </c>
      <c r="G393">
        <v>10</v>
      </c>
      <c r="H393">
        <v>1.9910000000000001</v>
      </c>
      <c r="I393">
        <v>-0.30599999999999999</v>
      </c>
      <c r="J393" t="s">
        <v>81</v>
      </c>
      <c r="K393">
        <v>4172</v>
      </c>
      <c r="L393">
        <v>30.0822</v>
      </c>
      <c r="M393">
        <v>-0.48188999999999999</v>
      </c>
      <c r="N393">
        <f>INDEX(jkm!$H:$H,MATCH(J393,jkm!$J:$J,0),1)</f>
        <v>9.3140000000000001</v>
      </c>
      <c r="O393" s="3">
        <f t="shared" ca="1" si="32"/>
        <v>727</v>
      </c>
      <c r="P393" s="3">
        <f t="shared" ca="1" si="33"/>
        <v>1.9917808219178081</v>
      </c>
      <c r="Q393" t="str" cm="1">
        <f t="array" ref="Q393:S393">_xlfn.TEXTSPLIT(J393,"/")</f>
        <v>3</v>
      </c>
      <c r="R393" s="1" t="str">
        <v>15</v>
      </c>
      <c r="S393" t="str">
        <v>2028</v>
      </c>
      <c r="T393" s="1">
        <f t="shared" si="34"/>
        <v>46827</v>
      </c>
      <c r="U393" s="19">
        <f t="shared" si="35"/>
        <v>3.6899999999999977</v>
      </c>
      <c r="V393" s="17">
        <f ca="1">(LN(N393/G393)+(L393/100)^2*P393/2)/(L393/100*SQRT(P393))</f>
        <v>4.4883919011760157E-2</v>
      </c>
      <c r="W393" s="17">
        <f ca="1">V393-L393/100*SQRT(P393)</f>
        <v>-0.37966756913591487</v>
      </c>
      <c r="X393" s="17">
        <f ca="1">(LN(N393/G393)+P393*(U393/100+(L393/100)^2/2))/((L393/100*SQRT(P393)))</f>
        <v>0.21800005305108347</v>
      </c>
      <c r="Y393" s="17">
        <f ca="1">X393-N393/100*SQRT(R393)</f>
        <v>-0.14272961581467533</v>
      </c>
      <c r="Z393" s="20">
        <f ca="1">EXP(-P393)/(N393*L393/100*SQRT(P393))*_xlfn.NORM.S.DIST(X393,FALSE)</f>
        <v>1.3443251824293916E-2</v>
      </c>
      <c r="AA393" s="17">
        <f t="shared" ca="1" si="31"/>
        <v>6.9875984850408922E-3</v>
      </c>
      <c r="AB393" s="17"/>
      <c r="AC393" s="17"/>
      <c r="AD393" s="17"/>
    </row>
    <row r="394" spans="1:30" x14ac:dyDescent="0.25">
      <c r="A394" t="s">
        <v>106</v>
      </c>
      <c r="B394" t="s">
        <v>107</v>
      </c>
      <c r="C394" t="s">
        <v>108</v>
      </c>
      <c r="D394">
        <v>46756</v>
      </c>
      <c r="E394" t="s">
        <v>107</v>
      </c>
      <c r="F394" t="s">
        <v>110</v>
      </c>
      <c r="G394">
        <v>13</v>
      </c>
      <c r="H394">
        <v>4.2549999999999999</v>
      </c>
      <c r="I394">
        <v>-0.29699999999999999</v>
      </c>
      <c r="J394" t="s">
        <v>81</v>
      </c>
      <c r="K394">
        <v>4172</v>
      </c>
      <c r="L394">
        <v>30.038699999999999</v>
      </c>
      <c r="M394">
        <v>-0.71674000000000004</v>
      </c>
      <c r="N394">
        <f>INDEX(jkm!$H:$H,MATCH(J394,jkm!$J:$J,0),1)</f>
        <v>9.3140000000000001</v>
      </c>
      <c r="O394" s="3">
        <f t="shared" ca="1" si="32"/>
        <v>727</v>
      </c>
      <c r="P394" s="3">
        <f t="shared" ca="1" si="33"/>
        <v>1.9917808219178081</v>
      </c>
      <c r="Q394" t="str" cm="1">
        <f t="array" ref="Q394:S394">_xlfn.TEXTSPLIT(J394,"/")</f>
        <v>3</v>
      </c>
      <c r="R394" s="1" t="str">
        <v>15</v>
      </c>
      <c r="S394" t="str">
        <v>2028</v>
      </c>
      <c r="T394" s="1">
        <f t="shared" si="34"/>
        <v>46827</v>
      </c>
      <c r="U394" s="19">
        <f t="shared" si="35"/>
        <v>3.6899999999999977</v>
      </c>
      <c r="V394" s="17">
        <f ca="1">(LN(N394/G394)+(L394/100)^2*P394/2)/(L394/100*SQRT(P394))</f>
        <v>-0.57454021036557901</v>
      </c>
      <c r="W394" s="17">
        <f ca="1">V394-L394/100*SQRT(P394)</f>
        <v>-0.99847778098945505</v>
      </c>
      <c r="X394" s="17">
        <f ca="1">(LN(N394/G394)+P394*(U394/100+(L394/100)^2/2))/((L394/100*SQRT(P394)))</f>
        <v>-0.40117338132844593</v>
      </c>
      <c r="Y394" s="17">
        <f ca="1">X394-N394/100*SQRT(R394)</f>
        <v>-0.76190305019420479</v>
      </c>
      <c r="Z394" s="20">
        <f ca="1">EXP(-P394)/(N394*L394/100*SQRT(P394))*_xlfn.NORM.S.DIST(X394,FALSE)</f>
        <v>1.2720518403094471E-2</v>
      </c>
      <c r="AA394" s="17">
        <f t="shared" ca="1" si="31"/>
        <v>6.6023715052101637E-3</v>
      </c>
      <c r="AB394" s="17"/>
      <c r="AC394" s="17"/>
      <c r="AD394" s="17"/>
    </row>
    <row r="395" spans="1:30" x14ac:dyDescent="0.25">
      <c r="A395" t="s">
        <v>106</v>
      </c>
      <c r="B395" t="s">
        <v>107</v>
      </c>
      <c r="C395" t="s">
        <v>108</v>
      </c>
      <c r="D395">
        <v>46756</v>
      </c>
      <c r="E395" t="s">
        <v>107</v>
      </c>
      <c r="F395" t="s">
        <v>110</v>
      </c>
      <c r="G395">
        <v>15</v>
      </c>
      <c r="H395">
        <v>6.01</v>
      </c>
      <c r="I395">
        <v>-0.26500000000000001</v>
      </c>
      <c r="J395" t="s">
        <v>81</v>
      </c>
      <c r="K395">
        <v>4172</v>
      </c>
      <c r="L395">
        <v>30.0273</v>
      </c>
      <c r="M395">
        <v>-0.81879000000000002</v>
      </c>
      <c r="N395">
        <f>INDEX(jkm!$H:$H,MATCH(J395,jkm!$J:$J,0),1)</f>
        <v>9.3140000000000001</v>
      </c>
      <c r="O395" s="3">
        <f t="shared" ca="1" si="32"/>
        <v>727</v>
      </c>
      <c r="P395" s="3">
        <f t="shared" ca="1" si="33"/>
        <v>1.9917808219178081</v>
      </c>
      <c r="Q395" t="str" cm="1">
        <f t="array" ref="Q395:S395">_xlfn.TEXTSPLIT(J395,"/")</f>
        <v>3</v>
      </c>
      <c r="R395" s="1" t="str">
        <v>15</v>
      </c>
      <c r="S395" t="str">
        <v>2028</v>
      </c>
      <c r="T395" s="1">
        <f t="shared" si="34"/>
        <v>46827</v>
      </c>
      <c r="U395" s="19">
        <f t="shared" si="35"/>
        <v>3.6899999999999977</v>
      </c>
      <c r="V395" s="17">
        <f ca="1">(LN(N395/G395)+(L395/100)^2*P395/2)/(L395/100*SQRT(P395))</f>
        <v>-0.91259909996860666</v>
      </c>
      <c r="W395" s="17">
        <f ca="1">V395-L395/100*SQRT(P395)</f>
        <v>-1.3363757818621078</v>
      </c>
      <c r="X395" s="17">
        <f ca="1">(LN(N395/G395)+P395*(U395/100+(L395/100)^2/2))/((L395/100*SQRT(P395)))</f>
        <v>-0.73916645143218374</v>
      </c>
      <c r="Y395" s="17">
        <f ca="1">X395-N395/100*SQRT(R395)</f>
        <v>-1.0998961202979425</v>
      </c>
      <c r="Z395" s="20">
        <f ca="1">EXP(-P395)/(N395*L395/100*SQRT(P395))*_xlfn.NORM.S.DIST(X395,FALSE)</f>
        <v>1.0494826421637828E-2</v>
      </c>
      <c r="AA395" s="17">
        <f t="shared" ca="1" si="31"/>
        <v>5.4450961952739099E-3</v>
      </c>
      <c r="AB395" s="17"/>
      <c r="AC395" s="17"/>
      <c r="AD395" s="17"/>
    </row>
    <row r="396" spans="1:30" x14ac:dyDescent="0.25">
      <c r="A396" t="s">
        <v>106</v>
      </c>
      <c r="B396" t="s">
        <v>107</v>
      </c>
      <c r="C396" t="s">
        <v>108</v>
      </c>
      <c r="D396">
        <v>46757</v>
      </c>
      <c r="E396" t="s">
        <v>107</v>
      </c>
      <c r="F396" t="s">
        <v>109</v>
      </c>
      <c r="G396">
        <v>5</v>
      </c>
      <c r="H396">
        <v>4.1580000000000004</v>
      </c>
      <c r="I396">
        <v>1.4E-2</v>
      </c>
      <c r="J396" t="s">
        <v>82</v>
      </c>
      <c r="K396">
        <v>4172</v>
      </c>
      <c r="L396">
        <v>30.5471</v>
      </c>
      <c r="M396">
        <v>0.94120000000000004</v>
      </c>
      <c r="N396">
        <f>INDEX(jkm!$H:$H,MATCH(J396,jkm!$J:$J,0),1)</f>
        <v>9.0380000000000003</v>
      </c>
      <c r="O396" s="3">
        <f t="shared" ca="1" si="32"/>
        <v>756</v>
      </c>
      <c r="P396" s="3">
        <f t="shared" ca="1" si="33"/>
        <v>2.0712328767123287</v>
      </c>
      <c r="Q396" t="str" cm="1">
        <f t="array" ref="Q396:S396">_xlfn.TEXTSPLIT(J396,"/")</f>
        <v>4</v>
      </c>
      <c r="R396" s="1" t="str">
        <v>13</v>
      </c>
      <c r="S396" t="str">
        <v>2028</v>
      </c>
      <c r="T396" s="1">
        <f t="shared" si="34"/>
        <v>46856</v>
      </c>
      <c r="U396" s="19">
        <f t="shared" si="35"/>
        <v>3.6899999999999977</v>
      </c>
      <c r="V396" s="17">
        <f ca="1">(LN(N396/G396)+(L396/100)^2*P396/2)/(L396/100*SQRT(P396))</f>
        <v>1.5664093417038376</v>
      </c>
      <c r="W396" s="17">
        <f ca="1">V396-L396/100*SQRT(P396)</f>
        <v>1.1267822454525429</v>
      </c>
      <c r="X396" s="17">
        <f ca="1">(LN(N396/G396)+P396*(U396/100+(L396/100)^2/2))/((L396/100*SQRT(P396)))</f>
        <v>1.7402578005508729</v>
      </c>
      <c r="Y396" s="17">
        <f ca="1">X396-N396/100*SQRT(R396)</f>
        <v>1.4143880762744376</v>
      </c>
      <c r="Z396" s="20">
        <f ca="1">EXP(-P396)/(N396*L396/100*SQRT(P396))*_xlfn.NORM.S.DIST(X396,FALSE)</f>
        <v>2.7835463266590718E-3</v>
      </c>
      <c r="AA396" s="17">
        <f t="shared" ca="1" si="31"/>
        <v>1.438606589845292E-3</v>
      </c>
      <c r="AB396" s="17"/>
      <c r="AC396" s="17"/>
      <c r="AD396" s="17"/>
    </row>
    <row r="397" spans="1:30" x14ac:dyDescent="0.25">
      <c r="A397" t="s">
        <v>106</v>
      </c>
      <c r="B397" t="s">
        <v>107</v>
      </c>
      <c r="C397" t="s">
        <v>108</v>
      </c>
      <c r="D397">
        <v>46757</v>
      </c>
      <c r="E397" t="s">
        <v>107</v>
      </c>
      <c r="F397" t="s">
        <v>109</v>
      </c>
      <c r="G397">
        <v>7</v>
      </c>
      <c r="H397">
        <v>2.6309999999999998</v>
      </c>
      <c r="J397" t="s">
        <v>82</v>
      </c>
      <c r="K397">
        <v>4172</v>
      </c>
      <c r="L397">
        <v>30.307600000000001</v>
      </c>
      <c r="M397">
        <v>0.78913999999999995</v>
      </c>
      <c r="N397">
        <f>INDEX(jkm!$H:$H,MATCH(J397,jkm!$J:$J,0),1)</f>
        <v>9.0380000000000003</v>
      </c>
      <c r="O397" s="3">
        <f t="shared" ca="1" si="32"/>
        <v>756</v>
      </c>
      <c r="P397" s="3">
        <f t="shared" ca="1" si="33"/>
        <v>2.0712328767123287</v>
      </c>
      <c r="Q397" t="str" cm="1">
        <f t="array" ref="Q397:S397">_xlfn.TEXTSPLIT(J397,"/")</f>
        <v>4</v>
      </c>
      <c r="R397" s="1" t="str">
        <v>13</v>
      </c>
      <c r="S397" t="str">
        <v>2028</v>
      </c>
      <c r="T397" s="1">
        <f t="shared" si="34"/>
        <v>46856</v>
      </c>
      <c r="U397" s="19">
        <f t="shared" si="35"/>
        <v>3.6899999999999977</v>
      </c>
      <c r="V397" s="17">
        <f ca="1">(LN(N397/G397)+(L397/100)^2*P397/2)/(L397/100*SQRT(P397))</f>
        <v>0.80392076796225187</v>
      </c>
      <c r="W397" s="17">
        <f ca="1">V397-L397/100*SQRT(P397)</f>
        <v>0.36774050265570096</v>
      </c>
      <c r="X397" s="17">
        <f ca="1">(LN(N397/G397)+P397*(U397/100+(L397/100)^2/2))/((L397/100*SQRT(P397)))</f>
        <v>0.9791430309341228</v>
      </c>
      <c r="Y397" s="17">
        <f ca="1">X397-N397/100*SQRT(R397)</f>
        <v>0.65327330665768746</v>
      </c>
      <c r="Z397" s="20">
        <f ca="1">EXP(-P397)/(N397*L397/100*SQRT(P397))*_xlfn.NORM.S.DIST(X397,FALSE)</f>
        <v>7.8970169674355446E-3</v>
      </c>
      <c r="AA397" s="17">
        <f t="shared" ca="1" si="31"/>
        <v>4.0493771041737884E-3</v>
      </c>
      <c r="AB397" s="17"/>
      <c r="AC397" s="17"/>
      <c r="AD397" s="17"/>
    </row>
    <row r="398" spans="1:30" x14ac:dyDescent="0.25">
      <c r="A398" t="s">
        <v>106</v>
      </c>
      <c r="B398" t="s">
        <v>107</v>
      </c>
      <c r="C398" t="s">
        <v>108</v>
      </c>
      <c r="D398">
        <v>46757</v>
      </c>
      <c r="E398" t="s">
        <v>107</v>
      </c>
      <c r="F398" t="s">
        <v>109</v>
      </c>
      <c r="G398">
        <v>8</v>
      </c>
      <c r="H398">
        <v>2.0430000000000001</v>
      </c>
      <c r="I398">
        <v>-0.153</v>
      </c>
      <c r="J398" t="s">
        <v>82</v>
      </c>
      <c r="K398">
        <v>4172</v>
      </c>
      <c r="L398">
        <v>30.212199999999999</v>
      </c>
      <c r="M398">
        <v>0.69072</v>
      </c>
      <c r="N398">
        <f>INDEX(jkm!$H:$H,MATCH(J398,jkm!$J:$J,0),1)</f>
        <v>9.0380000000000003</v>
      </c>
      <c r="O398" s="3">
        <f t="shared" ca="1" si="32"/>
        <v>756</v>
      </c>
      <c r="P398" s="3">
        <f t="shared" ca="1" si="33"/>
        <v>2.0712328767123287</v>
      </c>
      <c r="Q398" t="str" cm="1">
        <f t="array" ref="Q398:S398">_xlfn.TEXTSPLIT(J398,"/")</f>
        <v>4</v>
      </c>
      <c r="R398" s="1" t="str">
        <v>13</v>
      </c>
      <c r="S398" t="str">
        <v>2028</v>
      </c>
      <c r="T398" s="1">
        <f t="shared" si="34"/>
        <v>46856</v>
      </c>
      <c r="U398" s="19">
        <f t="shared" si="35"/>
        <v>3.6899999999999977</v>
      </c>
      <c r="V398" s="17">
        <f ca="1">(LN(N398/G398)+(L398/100)^2*P398/2)/(L398/100*SQRT(P398))</f>
        <v>0.49797936702156786</v>
      </c>
      <c r="W398" s="17">
        <f ca="1">V398-L398/100*SQRT(P398)</f>
        <v>6.3172077381524527E-2</v>
      </c>
      <c r="X398" s="17">
        <f ca="1">(LN(N398/G398)+P398*(U398/100+(L398/100)^2/2))/((L398/100*SQRT(P398)))</f>
        <v>0.67375492316267227</v>
      </c>
      <c r="Y398" s="17">
        <f ca="1">X398-N398/100*SQRT(R398)</f>
        <v>0.34788519888623692</v>
      </c>
      <c r="Z398" s="20">
        <f ca="1">EXP(-P398)/(N398*L398/100*SQRT(P398))*_xlfn.NORM.S.DIST(X398,FALSE)</f>
        <v>1.0196305697928064E-2</v>
      </c>
      <c r="AA398" s="17">
        <f t="shared" ca="1" si="31"/>
        <v>5.2119327544753579E-3</v>
      </c>
      <c r="AB398" s="17"/>
      <c r="AC398" s="17"/>
      <c r="AD398" s="17"/>
    </row>
    <row r="399" spans="1:30" x14ac:dyDescent="0.25">
      <c r="A399" t="s">
        <v>106</v>
      </c>
      <c r="B399" t="s">
        <v>107</v>
      </c>
      <c r="C399" t="s">
        <v>108</v>
      </c>
      <c r="D399">
        <v>46757</v>
      </c>
      <c r="E399" t="s">
        <v>107</v>
      </c>
      <c r="F399" t="s">
        <v>109</v>
      </c>
      <c r="G399">
        <v>10</v>
      </c>
      <c r="H399">
        <v>1.1970000000000001</v>
      </c>
      <c r="I399">
        <v>-0.20100000000000001</v>
      </c>
      <c r="J399" t="s">
        <v>82</v>
      </c>
      <c r="K399">
        <v>4172</v>
      </c>
      <c r="L399">
        <v>30.096</v>
      </c>
      <c r="M399">
        <v>0.49347000000000002</v>
      </c>
      <c r="N399">
        <f>INDEX(jkm!$H:$H,MATCH(J399,jkm!$J:$J,0),1)</f>
        <v>9.0380000000000003</v>
      </c>
      <c r="O399" s="3">
        <f t="shared" ca="1" si="32"/>
        <v>756</v>
      </c>
      <c r="P399" s="3">
        <f t="shared" ca="1" si="33"/>
        <v>2.0712328767123287</v>
      </c>
      <c r="Q399" t="str" cm="1">
        <f t="array" ref="Q399:S399">_xlfn.TEXTSPLIT(J399,"/")</f>
        <v>4</v>
      </c>
      <c r="R399" s="1" t="str">
        <v>13</v>
      </c>
      <c r="S399" t="str">
        <v>2028</v>
      </c>
      <c r="T399" s="1">
        <f t="shared" si="34"/>
        <v>46856</v>
      </c>
      <c r="U399" s="19">
        <f t="shared" si="35"/>
        <v>3.6899999999999977</v>
      </c>
      <c r="V399" s="17">
        <f ca="1">(LN(N399/G399)+(L399/100)^2*P399/2)/(L399/100*SQRT(P399))</f>
        <v>-1.6955992136580243E-2</v>
      </c>
      <c r="W399" s="17">
        <f ca="1">V399-L399/100*SQRT(P399)</f>
        <v>-0.45009095711783759</v>
      </c>
      <c r="X399" s="17">
        <f ca="1">(LN(N399/G399)+P399*(U399/100+(L399/100)^2/2))/((L399/100*SQRT(P399)))</f>
        <v>0.15949822959541984</v>
      </c>
      <c r="Y399" s="17">
        <f ca="1">X399-N399/100*SQRT(R399)</f>
        <v>-0.1663714946810155</v>
      </c>
      <c r="Z399" s="20">
        <f ca="1">EXP(-P399)/(N399*L399/100*SQRT(P399))*_xlfn.NORM.S.DIST(X399,FALSE)</f>
        <v>1.2681345020872451E-2</v>
      </c>
      <c r="AA399" s="17">
        <f t="shared" ca="1" si="31"/>
        <v>6.4572514992254386E-3</v>
      </c>
      <c r="AB399" s="17"/>
      <c r="AC399" s="17"/>
      <c r="AD399" s="17"/>
    </row>
    <row r="400" spans="1:30" x14ac:dyDescent="0.25">
      <c r="A400" t="s">
        <v>106</v>
      </c>
      <c r="B400" t="s">
        <v>107</v>
      </c>
      <c r="C400" t="s">
        <v>108</v>
      </c>
      <c r="D400">
        <v>46757</v>
      </c>
      <c r="E400" t="s">
        <v>107</v>
      </c>
      <c r="F400" t="s">
        <v>109</v>
      </c>
      <c r="G400">
        <v>13</v>
      </c>
      <c r="H400">
        <v>0.51900000000000002</v>
      </c>
      <c r="I400">
        <v>-0.188</v>
      </c>
      <c r="J400" t="s">
        <v>82</v>
      </c>
      <c r="K400">
        <v>4172</v>
      </c>
      <c r="L400">
        <v>30.0595</v>
      </c>
      <c r="M400">
        <v>0.26678000000000002</v>
      </c>
      <c r="N400">
        <f>INDEX(jkm!$H:$H,MATCH(J400,jkm!$J:$J,0),1)</f>
        <v>9.0380000000000003</v>
      </c>
      <c r="O400" s="3">
        <f t="shared" ca="1" si="32"/>
        <v>756</v>
      </c>
      <c r="P400" s="3">
        <f t="shared" ca="1" si="33"/>
        <v>2.0712328767123287</v>
      </c>
      <c r="Q400" t="str" cm="1">
        <f t="array" ref="Q400:S400">_xlfn.TEXTSPLIT(J400,"/")</f>
        <v>4</v>
      </c>
      <c r="R400" s="1" t="str">
        <v>13</v>
      </c>
      <c r="S400" t="str">
        <v>2028</v>
      </c>
      <c r="T400" s="1">
        <f t="shared" si="34"/>
        <v>46856</v>
      </c>
      <c r="U400" s="19">
        <f t="shared" si="35"/>
        <v>3.6899999999999977</v>
      </c>
      <c r="V400" s="17">
        <f ca="1">(LN(N400/G400)+(L400/100)^2*P400/2)/(L400/100*SQRT(P400))</f>
        <v>-0.62397099999148986</v>
      </c>
      <c r="W400" s="17">
        <f ca="1">V400-L400/100*SQRT(P400)</f>
        <v>-1.0565806650584126</v>
      </c>
      <c r="X400" s="17">
        <f ca="1">(LN(N400/G400)+P400*(U400/100+(L400/100)^2/2))/((L400/100*SQRT(P400)))</f>
        <v>-0.44730251724073644</v>
      </c>
      <c r="Y400" s="17">
        <f ca="1">X400-N400/100*SQRT(R400)</f>
        <v>-0.77317224151717179</v>
      </c>
      <c r="Z400" s="20">
        <f ca="1">EXP(-P400)/(N400*L400/100*SQRT(P400))*_xlfn.NORM.S.DIST(X400,FALSE)</f>
        <v>1.1635090919267874E-2</v>
      </c>
      <c r="AA400" s="17">
        <f t="shared" ca="1" si="31"/>
        <v>5.9173211284762077E-3</v>
      </c>
      <c r="AB400" s="17"/>
      <c r="AC400" s="17"/>
      <c r="AD400" s="17"/>
    </row>
    <row r="401" spans="1:30" x14ac:dyDescent="0.25">
      <c r="A401" t="s">
        <v>106</v>
      </c>
      <c r="B401" t="s">
        <v>107</v>
      </c>
      <c r="C401" t="s">
        <v>108</v>
      </c>
      <c r="D401">
        <v>46757</v>
      </c>
      <c r="E401" t="s">
        <v>107</v>
      </c>
      <c r="F401" t="s">
        <v>109</v>
      </c>
      <c r="G401">
        <v>15</v>
      </c>
      <c r="H401">
        <v>0.29599999999999999</v>
      </c>
      <c r="I401">
        <v>-0.156</v>
      </c>
      <c r="J401" t="s">
        <v>82</v>
      </c>
      <c r="K401">
        <v>4172</v>
      </c>
      <c r="L401">
        <v>30.0501</v>
      </c>
      <c r="M401">
        <v>0.17021</v>
      </c>
      <c r="N401">
        <f>INDEX(jkm!$H:$H,MATCH(J401,jkm!$J:$J,0),1)</f>
        <v>9.0380000000000003</v>
      </c>
      <c r="O401" s="3">
        <f t="shared" ca="1" si="32"/>
        <v>756</v>
      </c>
      <c r="P401" s="3">
        <f t="shared" ca="1" si="33"/>
        <v>2.0712328767123287</v>
      </c>
      <c r="Q401" t="str" cm="1">
        <f t="array" ref="Q401:S401">_xlfn.TEXTSPLIT(J401,"/")</f>
        <v>4</v>
      </c>
      <c r="R401" s="1" t="str">
        <v>13</v>
      </c>
      <c r="S401" t="str">
        <v>2028</v>
      </c>
      <c r="T401" s="1">
        <f t="shared" si="34"/>
        <v>46856</v>
      </c>
      <c r="U401" s="19">
        <f t="shared" si="35"/>
        <v>3.6899999999999977</v>
      </c>
      <c r="V401" s="17">
        <f ca="1">(LN(N401/G401)+(L401/100)^2*P401/2)/(L401/100*SQRT(P401))</f>
        <v>-0.95519009050882353</v>
      </c>
      <c r="W401" s="17">
        <f ca="1">V401-L401/100*SQRT(P401)</f>
        <v>-1.387664472858082</v>
      </c>
      <c r="X401" s="17">
        <f ca="1">(LN(N401/G401)+P401*(U401/100+(L401/100)^2/2))/((L401/100*SQRT(P401)))</f>
        <v>-0.77846634392407754</v>
      </c>
      <c r="Y401" s="17">
        <f ca="1">X401-N401/100*SQRT(R401)</f>
        <v>-1.1043360682005128</v>
      </c>
      <c r="Z401" s="20">
        <f ca="1">EXP(-P401)/(N401*L401/100*SQRT(P401))*_xlfn.NORM.S.DIST(X401,FALSE)</f>
        <v>9.5007735317995112E-3</v>
      </c>
      <c r="AA401" s="17">
        <f t="shared" ca="1" si="31"/>
        <v>4.8303488032624244E-3</v>
      </c>
      <c r="AB401" s="17"/>
      <c r="AC401" s="17"/>
      <c r="AD401" s="17"/>
    </row>
    <row r="402" spans="1:30" x14ac:dyDescent="0.25">
      <c r="A402" t="s">
        <v>106</v>
      </c>
      <c r="B402" t="s">
        <v>107</v>
      </c>
      <c r="C402" t="s">
        <v>108</v>
      </c>
      <c r="D402">
        <v>46757</v>
      </c>
      <c r="E402" t="s">
        <v>107</v>
      </c>
      <c r="F402" t="s">
        <v>110</v>
      </c>
      <c r="G402">
        <v>5</v>
      </c>
      <c r="H402">
        <v>0.12</v>
      </c>
      <c r="I402">
        <v>-9.5000000000000001E-2</v>
      </c>
      <c r="J402" t="s">
        <v>82</v>
      </c>
      <c r="K402">
        <v>4172</v>
      </c>
      <c r="L402">
        <v>30.5471</v>
      </c>
      <c r="M402">
        <v>-5.8799999999999998E-2</v>
      </c>
      <c r="N402">
        <f>INDEX(jkm!$H:$H,MATCH(J402,jkm!$J:$J,0),1)</f>
        <v>9.0380000000000003</v>
      </c>
      <c r="O402" s="3">
        <f t="shared" ca="1" si="32"/>
        <v>756</v>
      </c>
      <c r="P402" s="3">
        <f t="shared" ca="1" si="33"/>
        <v>2.0712328767123287</v>
      </c>
      <c r="Q402" t="str" cm="1">
        <f t="array" ref="Q402:S402">_xlfn.TEXTSPLIT(J402,"/")</f>
        <v>4</v>
      </c>
      <c r="R402" s="1" t="str">
        <v>13</v>
      </c>
      <c r="S402" t="str">
        <v>2028</v>
      </c>
      <c r="T402" s="1">
        <f t="shared" si="34"/>
        <v>46856</v>
      </c>
      <c r="U402" s="19">
        <f t="shared" si="35"/>
        <v>3.6899999999999977</v>
      </c>
      <c r="V402" s="17">
        <f ca="1">(LN(N402/G402)+(L402/100)^2*P402/2)/(L402/100*SQRT(P402))</f>
        <v>1.5664093417038376</v>
      </c>
      <c r="W402" s="17">
        <f ca="1">V402-L402/100*SQRT(P402)</f>
        <v>1.1267822454525429</v>
      </c>
      <c r="X402" s="17">
        <f ca="1">(LN(N402/G402)+P402*(U402/100+(L402/100)^2/2))/((L402/100*SQRT(P402)))</f>
        <v>1.7402578005508729</v>
      </c>
      <c r="Y402" s="17">
        <f ca="1">X402-N402/100*SQRT(R402)</f>
        <v>1.4143880762744376</v>
      </c>
      <c r="Z402" s="20">
        <f ca="1">EXP(-P402)/(N402*L402/100*SQRT(P402))*_xlfn.NORM.S.DIST(X402,FALSE)</f>
        <v>2.7835463266590718E-3</v>
      </c>
      <c r="AA402" s="17">
        <f t="shared" ca="1" si="31"/>
        <v>1.438606589845292E-3</v>
      </c>
      <c r="AB402" s="17"/>
      <c r="AC402" s="17"/>
      <c r="AD402" s="17"/>
    </row>
    <row r="403" spans="1:30" x14ac:dyDescent="0.25">
      <c r="A403" t="s">
        <v>106</v>
      </c>
      <c r="B403" t="s">
        <v>107</v>
      </c>
      <c r="C403" t="s">
        <v>108</v>
      </c>
      <c r="D403">
        <v>46757</v>
      </c>
      <c r="E403" t="s">
        <v>107</v>
      </c>
      <c r="F403" t="s">
        <v>110</v>
      </c>
      <c r="G403">
        <v>7</v>
      </c>
      <c r="H403">
        <v>0.59299999999999997</v>
      </c>
      <c r="J403" t="s">
        <v>82</v>
      </c>
      <c r="K403">
        <v>4172</v>
      </c>
      <c r="L403">
        <v>30.307600000000001</v>
      </c>
      <c r="M403">
        <v>-0.21085999999999999</v>
      </c>
      <c r="N403">
        <f>INDEX(jkm!$H:$H,MATCH(J403,jkm!$J:$J,0),1)</f>
        <v>9.0380000000000003</v>
      </c>
      <c r="O403" s="3">
        <f t="shared" ca="1" si="32"/>
        <v>756</v>
      </c>
      <c r="P403" s="3">
        <f t="shared" ca="1" si="33"/>
        <v>2.0712328767123287</v>
      </c>
      <c r="Q403" t="str" cm="1">
        <f t="array" ref="Q403:S403">_xlfn.TEXTSPLIT(J403,"/")</f>
        <v>4</v>
      </c>
      <c r="R403" s="1" t="str">
        <v>13</v>
      </c>
      <c r="S403" t="str">
        <v>2028</v>
      </c>
      <c r="T403" s="1">
        <f t="shared" si="34"/>
        <v>46856</v>
      </c>
      <c r="U403" s="19">
        <f t="shared" si="35"/>
        <v>3.6899999999999977</v>
      </c>
      <c r="V403" s="17">
        <f ca="1">(LN(N403/G403)+(L403/100)^2*P403/2)/(L403/100*SQRT(P403))</f>
        <v>0.80392076796225187</v>
      </c>
      <c r="W403" s="17">
        <f ca="1">V403-L403/100*SQRT(P403)</f>
        <v>0.36774050265570096</v>
      </c>
      <c r="X403" s="17">
        <f ca="1">(LN(N403/G403)+P403*(U403/100+(L403/100)^2/2))/((L403/100*SQRT(P403)))</f>
        <v>0.9791430309341228</v>
      </c>
      <c r="Y403" s="17">
        <f ca="1">X403-N403/100*SQRT(R403)</f>
        <v>0.65327330665768746</v>
      </c>
      <c r="Z403" s="20">
        <f ca="1">EXP(-P403)/(N403*L403/100*SQRT(P403))*_xlfn.NORM.S.DIST(X403,FALSE)</f>
        <v>7.8970169674355446E-3</v>
      </c>
      <c r="AA403" s="17">
        <f t="shared" ca="1" si="31"/>
        <v>4.0493771041737884E-3</v>
      </c>
      <c r="AB403" s="17"/>
      <c r="AC403" s="17"/>
      <c r="AD403" s="17"/>
    </row>
    <row r="404" spans="1:30" x14ac:dyDescent="0.25">
      <c r="A404" t="s">
        <v>106</v>
      </c>
      <c r="B404" t="s">
        <v>107</v>
      </c>
      <c r="C404" t="s">
        <v>108</v>
      </c>
      <c r="D404">
        <v>46757</v>
      </c>
      <c r="E404" t="s">
        <v>107</v>
      </c>
      <c r="F404" t="s">
        <v>110</v>
      </c>
      <c r="G404">
        <v>8</v>
      </c>
      <c r="H404">
        <v>1.0049999999999999</v>
      </c>
      <c r="I404">
        <v>-0.26200000000000001</v>
      </c>
      <c r="J404" t="s">
        <v>82</v>
      </c>
      <c r="K404">
        <v>4172</v>
      </c>
      <c r="L404">
        <v>30.212199999999999</v>
      </c>
      <c r="M404">
        <v>-0.30928</v>
      </c>
      <c r="N404">
        <f>INDEX(jkm!$H:$H,MATCH(J404,jkm!$J:$J,0),1)</f>
        <v>9.0380000000000003</v>
      </c>
      <c r="O404" s="3">
        <f t="shared" ca="1" si="32"/>
        <v>756</v>
      </c>
      <c r="P404" s="3">
        <f t="shared" ca="1" si="33"/>
        <v>2.0712328767123287</v>
      </c>
      <c r="Q404" t="str" cm="1">
        <f t="array" ref="Q404:S404">_xlfn.TEXTSPLIT(J404,"/")</f>
        <v>4</v>
      </c>
      <c r="R404" s="1" t="str">
        <v>13</v>
      </c>
      <c r="S404" t="str">
        <v>2028</v>
      </c>
      <c r="T404" s="1">
        <f t="shared" si="34"/>
        <v>46856</v>
      </c>
      <c r="U404" s="19">
        <f t="shared" si="35"/>
        <v>3.6899999999999977</v>
      </c>
      <c r="V404" s="17">
        <f ca="1">(LN(N404/G404)+(L404/100)^2*P404/2)/(L404/100*SQRT(P404))</f>
        <v>0.49797936702156786</v>
      </c>
      <c r="W404" s="17">
        <f ca="1">V404-L404/100*SQRT(P404)</f>
        <v>6.3172077381524527E-2</v>
      </c>
      <c r="X404" s="17">
        <f ca="1">(LN(N404/G404)+P404*(U404/100+(L404/100)^2/2))/((L404/100*SQRT(P404)))</f>
        <v>0.67375492316267227</v>
      </c>
      <c r="Y404" s="17">
        <f ca="1">X404-N404/100*SQRT(R404)</f>
        <v>0.34788519888623692</v>
      </c>
      <c r="Z404" s="20">
        <f ca="1">EXP(-P404)/(N404*L404/100*SQRT(P404))*_xlfn.NORM.S.DIST(X404,FALSE)</f>
        <v>1.0196305697928064E-2</v>
      </c>
      <c r="AA404" s="17">
        <f t="shared" ca="1" si="31"/>
        <v>5.2119327544753579E-3</v>
      </c>
      <c r="AB404" s="17"/>
      <c r="AC404" s="17"/>
      <c r="AD404" s="17"/>
    </row>
    <row r="405" spans="1:30" x14ac:dyDescent="0.25">
      <c r="A405" t="s">
        <v>106</v>
      </c>
      <c r="B405" t="s">
        <v>107</v>
      </c>
      <c r="C405" t="s">
        <v>108</v>
      </c>
      <c r="D405">
        <v>46757</v>
      </c>
      <c r="E405" t="s">
        <v>107</v>
      </c>
      <c r="F405" t="s">
        <v>110</v>
      </c>
      <c r="G405">
        <v>10</v>
      </c>
      <c r="H405">
        <v>2.1589999999999998</v>
      </c>
      <c r="I405">
        <v>-0.31</v>
      </c>
      <c r="J405" t="s">
        <v>82</v>
      </c>
      <c r="K405">
        <v>4172</v>
      </c>
      <c r="L405">
        <v>30.096</v>
      </c>
      <c r="M405">
        <v>-0.50653000000000004</v>
      </c>
      <c r="N405">
        <f>INDEX(jkm!$H:$H,MATCH(J405,jkm!$J:$J,0),1)</f>
        <v>9.0380000000000003</v>
      </c>
      <c r="O405" s="3">
        <f t="shared" ca="1" si="32"/>
        <v>756</v>
      </c>
      <c r="P405" s="3">
        <f t="shared" ca="1" si="33"/>
        <v>2.0712328767123287</v>
      </c>
      <c r="Q405" t="str" cm="1">
        <f t="array" ref="Q405:S405">_xlfn.TEXTSPLIT(J405,"/")</f>
        <v>4</v>
      </c>
      <c r="R405" s="1" t="str">
        <v>13</v>
      </c>
      <c r="S405" t="str">
        <v>2028</v>
      </c>
      <c r="T405" s="1">
        <f t="shared" si="34"/>
        <v>46856</v>
      </c>
      <c r="U405" s="19">
        <f t="shared" si="35"/>
        <v>3.6899999999999977</v>
      </c>
      <c r="V405" s="17">
        <f ca="1">(LN(N405/G405)+(L405/100)^2*P405/2)/(L405/100*SQRT(P405))</f>
        <v>-1.6955992136580243E-2</v>
      </c>
      <c r="W405" s="17">
        <f ca="1">V405-L405/100*SQRT(P405)</f>
        <v>-0.45009095711783759</v>
      </c>
      <c r="X405" s="17">
        <f ca="1">(LN(N405/G405)+P405*(U405/100+(L405/100)^2/2))/((L405/100*SQRT(P405)))</f>
        <v>0.15949822959541984</v>
      </c>
      <c r="Y405" s="17">
        <f ca="1">X405-N405/100*SQRT(R405)</f>
        <v>-0.1663714946810155</v>
      </c>
      <c r="Z405" s="20">
        <f ca="1">EXP(-P405)/(N405*L405/100*SQRT(P405))*_xlfn.NORM.S.DIST(X405,FALSE)</f>
        <v>1.2681345020872451E-2</v>
      </c>
      <c r="AA405" s="17">
        <f t="shared" ca="1" si="31"/>
        <v>6.4572514992254386E-3</v>
      </c>
      <c r="AB405" s="17"/>
      <c r="AC405" s="17"/>
      <c r="AD405" s="17"/>
    </row>
    <row r="406" spans="1:30" x14ac:dyDescent="0.25">
      <c r="A406" t="s">
        <v>106</v>
      </c>
      <c r="B406" t="s">
        <v>107</v>
      </c>
      <c r="C406" t="s">
        <v>108</v>
      </c>
      <c r="D406">
        <v>46757</v>
      </c>
      <c r="E406" t="s">
        <v>107</v>
      </c>
      <c r="F406" t="s">
        <v>110</v>
      </c>
      <c r="G406">
        <v>13</v>
      </c>
      <c r="H406">
        <v>4.4809999999999999</v>
      </c>
      <c r="I406">
        <v>-0.29699999999999999</v>
      </c>
      <c r="J406" t="s">
        <v>82</v>
      </c>
      <c r="K406">
        <v>4172</v>
      </c>
      <c r="L406">
        <v>30.0595</v>
      </c>
      <c r="M406">
        <v>-0.73321999999999998</v>
      </c>
      <c r="N406">
        <f>INDEX(jkm!$H:$H,MATCH(J406,jkm!$J:$J,0),1)</f>
        <v>9.0380000000000003</v>
      </c>
      <c r="O406" s="3">
        <f t="shared" ca="1" si="32"/>
        <v>756</v>
      </c>
      <c r="P406" s="3">
        <f t="shared" ca="1" si="33"/>
        <v>2.0712328767123287</v>
      </c>
      <c r="Q406" t="str" cm="1">
        <f t="array" ref="Q406:S406">_xlfn.TEXTSPLIT(J406,"/")</f>
        <v>4</v>
      </c>
      <c r="R406" s="1" t="str">
        <v>13</v>
      </c>
      <c r="S406" t="str">
        <v>2028</v>
      </c>
      <c r="T406" s="1">
        <f t="shared" si="34"/>
        <v>46856</v>
      </c>
      <c r="U406" s="19">
        <f t="shared" si="35"/>
        <v>3.6899999999999977</v>
      </c>
      <c r="V406" s="17">
        <f ca="1">(LN(N406/G406)+(L406/100)^2*P406/2)/(L406/100*SQRT(P406))</f>
        <v>-0.62397099999148986</v>
      </c>
      <c r="W406" s="17">
        <f ca="1">V406-L406/100*SQRT(P406)</f>
        <v>-1.0565806650584126</v>
      </c>
      <c r="X406" s="17">
        <f ca="1">(LN(N406/G406)+P406*(U406/100+(L406/100)^2/2))/((L406/100*SQRT(P406)))</f>
        <v>-0.44730251724073644</v>
      </c>
      <c r="Y406" s="17">
        <f ca="1">X406-N406/100*SQRT(R406)</f>
        <v>-0.77317224151717179</v>
      </c>
      <c r="Z406" s="20">
        <f ca="1">EXP(-P406)/(N406*L406/100*SQRT(P406))*_xlfn.NORM.S.DIST(X406,FALSE)</f>
        <v>1.1635090919267874E-2</v>
      </c>
      <c r="AA406" s="17">
        <f t="shared" ca="1" si="31"/>
        <v>5.9173211284762077E-3</v>
      </c>
      <c r="AB406" s="17"/>
      <c r="AC406" s="17"/>
      <c r="AD406" s="17"/>
    </row>
    <row r="407" spans="1:30" x14ac:dyDescent="0.25">
      <c r="A407" t="s">
        <v>106</v>
      </c>
      <c r="B407" t="s">
        <v>107</v>
      </c>
      <c r="C407" t="s">
        <v>108</v>
      </c>
      <c r="D407">
        <v>46757</v>
      </c>
      <c r="E407" t="s">
        <v>107</v>
      </c>
      <c r="F407" t="s">
        <v>110</v>
      </c>
      <c r="G407">
        <v>15</v>
      </c>
      <c r="H407">
        <v>6.258</v>
      </c>
      <c r="I407">
        <v>-0.26500000000000001</v>
      </c>
      <c r="J407" t="s">
        <v>82</v>
      </c>
      <c r="K407">
        <v>4172</v>
      </c>
      <c r="L407">
        <v>30.0501</v>
      </c>
      <c r="M407">
        <v>-0.82979999999999998</v>
      </c>
      <c r="N407">
        <f>INDEX(jkm!$H:$H,MATCH(J407,jkm!$J:$J,0),1)</f>
        <v>9.0380000000000003</v>
      </c>
      <c r="O407" s="3">
        <f t="shared" ca="1" si="32"/>
        <v>756</v>
      </c>
      <c r="P407" s="3">
        <f t="shared" ca="1" si="33"/>
        <v>2.0712328767123287</v>
      </c>
      <c r="Q407" t="str" cm="1">
        <f t="array" ref="Q407:S407">_xlfn.TEXTSPLIT(J407,"/")</f>
        <v>4</v>
      </c>
      <c r="R407" s="1" t="str">
        <v>13</v>
      </c>
      <c r="S407" t="str">
        <v>2028</v>
      </c>
      <c r="T407" s="1">
        <f t="shared" si="34"/>
        <v>46856</v>
      </c>
      <c r="U407" s="19">
        <f t="shared" si="35"/>
        <v>3.6899999999999977</v>
      </c>
      <c r="V407" s="17">
        <f ca="1">(LN(N407/G407)+(L407/100)^2*P407/2)/(L407/100*SQRT(P407))</f>
        <v>-0.95519009050882353</v>
      </c>
      <c r="W407" s="17">
        <f ca="1">V407-L407/100*SQRT(P407)</f>
        <v>-1.387664472858082</v>
      </c>
      <c r="X407" s="17">
        <f ca="1">(LN(N407/G407)+P407*(U407/100+(L407/100)^2/2))/((L407/100*SQRT(P407)))</f>
        <v>-0.77846634392407754</v>
      </c>
      <c r="Y407" s="17">
        <f ca="1">X407-N407/100*SQRT(R407)</f>
        <v>-1.1043360682005128</v>
      </c>
      <c r="Z407" s="20">
        <f ca="1">EXP(-P407)/(N407*L407/100*SQRT(P407))*_xlfn.NORM.S.DIST(X407,FALSE)</f>
        <v>9.5007735317995112E-3</v>
      </c>
      <c r="AA407" s="17">
        <f t="shared" ca="1" si="31"/>
        <v>4.8303488032624244E-3</v>
      </c>
      <c r="AB407" s="17"/>
      <c r="AC407" s="17"/>
      <c r="AD407" s="17"/>
    </row>
    <row r="408" spans="1:30" x14ac:dyDescent="0.25">
      <c r="A408" t="s">
        <v>106</v>
      </c>
      <c r="B408" t="s">
        <v>107</v>
      </c>
      <c r="C408" t="s">
        <v>108</v>
      </c>
      <c r="D408">
        <v>46758</v>
      </c>
      <c r="E408" t="s">
        <v>107</v>
      </c>
      <c r="F408" t="s">
        <v>109</v>
      </c>
      <c r="G408">
        <v>5</v>
      </c>
      <c r="H408">
        <v>4.08</v>
      </c>
      <c r="I408">
        <v>-1E-3</v>
      </c>
      <c r="J408" t="s">
        <v>83</v>
      </c>
      <c r="K408">
        <v>4172</v>
      </c>
      <c r="L408">
        <v>30.524999999999999</v>
      </c>
      <c r="M408">
        <v>0.93567999999999996</v>
      </c>
      <c r="N408">
        <f>INDEX(jkm!$H:$H,MATCH(J408,jkm!$J:$J,0),1)</f>
        <v>8.9440000000000008</v>
      </c>
      <c r="O408" s="3">
        <f t="shared" ca="1" si="32"/>
        <v>788</v>
      </c>
      <c r="P408" s="3">
        <f t="shared" ca="1" si="33"/>
        <v>2.1589041095890411</v>
      </c>
      <c r="Q408" t="str" cm="1">
        <f t="array" ref="Q408:S408">_xlfn.TEXTSPLIT(J408,"/")</f>
        <v>5</v>
      </c>
      <c r="R408" s="1" t="str">
        <v>15</v>
      </c>
      <c r="S408" t="str">
        <v>2028</v>
      </c>
      <c r="T408" s="1">
        <f t="shared" si="34"/>
        <v>46888</v>
      </c>
      <c r="U408" s="19">
        <f t="shared" si="35"/>
        <v>3.6899999999999977</v>
      </c>
      <c r="V408" s="17">
        <f ca="1">(LN(N408/G408)+(L408/100)^2*P408/2)/(L408/100*SQRT(P408))</f>
        <v>1.5208699291942385</v>
      </c>
      <c r="W408" s="17">
        <f ca="1">V408-L408/100*SQRT(P408)</f>
        <v>1.072359703443766</v>
      </c>
      <c r="X408" s="17">
        <f ca="1">(LN(N408/G408)+P408*(U408/100+(L408/100)^2/2))/((L408/100*SQRT(P408)))</f>
        <v>1.6984880905428188</v>
      </c>
      <c r="Y408" s="17">
        <f ca="1">X408-N408/100*SQRT(R408)</f>
        <v>1.3520884600580274</v>
      </c>
      <c r="Z408" s="20">
        <f ca="1">EXP(-P408)/(N408*L408/100*SQRT(P408))*_xlfn.NORM.S.DIST(X408,FALSE)</f>
        <v>2.7137260609256361E-3</v>
      </c>
      <c r="AA408" s="17">
        <f t="shared" ca="1" si="31"/>
        <v>1.430601289258342E-3</v>
      </c>
      <c r="AB408" s="17"/>
      <c r="AC408" s="17"/>
      <c r="AD408" s="17"/>
    </row>
    <row r="409" spans="1:30" x14ac:dyDescent="0.25">
      <c r="A409" t="s">
        <v>106</v>
      </c>
      <c r="B409" t="s">
        <v>107</v>
      </c>
      <c r="C409" t="s">
        <v>108</v>
      </c>
      <c r="D409">
        <v>46758</v>
      </c>
      <c r="E409" t="s">
        <v>107</v>
      </c>
      <c r="F409" t="s">
        <v>109</v>
      </c>
      <c r="G409">
        <v>7</v>
      </c>
      <c r="H409">
        <v>2.58</v>
      </c>
      <c r="J409" t="s">
        <v>83</v>
      </c>
      <c r="K409">
        <v>4172</v>
      </c>
      <c r="L409">
        <v>30.284300000000002</v>
      </c>
      <c r="M409">
        <v>0.78019000000000005</v>
      </c>
      <c r="N409">
        <f>INDEX(jkm!$H:$H,MATCH(J409,jkm!$J:$J,0),1)</f>
        <v>8.9440000000000008</v>
      </c>
      <c r="O409" s="3">
        <f t="shared" ca="1" si="32"/>
        <v>788</v>
      </c>
      <c r="P409" s="3">
        <f t="shared" ca="1" si="33"/>
        <v>2.1589041095890411</v>
      </c>
      <c r="Q409" t="str" cm="1">
        <f t="array" ref="Q409:S409">_xlfn.TEXTSPLIT(J409,"/")</f>
        <v>5</v>
      </c>
      <c r="R409" s="1" t="str">
        <v>15</v>
      </c>
      <c r="S409" t="str">
        <v>2028</v>
      </c>
      <c r="T409" s="1">
        <f t="shared" si="34"/>
        <v>46888</v>
      </c>
      <c r="U409" s="19">
        <f t="shared" si="35"/>
        <v>3.6899999999999977</v>
      </c>
      <c r="V409" s="17">
        <f ca="1">(LN(N409/G409)+(L409/100)^2*P409/2)/(L409/100*SQRT(P409))</f>
        <v>0.77324481608681994</v>
      </c>
      <c r="W409" s="17">
        <f ca="1">V409-L409/100*SQRT(P409)</f>
        <v>0.32827124590844048</v>
      </c>
      <c r="X409" s="17">
        <f ca="1">(LN(N409/G409)+P409*(U409/100+(L409/100)^2/2))/((L409/100*SQRT(P409)))</f>
        <v>0.95227468883162214</v>
      </c>
      <c r="Y409" s="17">
        <f ca="1">X409-N409/100*SQRT(R409)</f>
        <v>0.60587505834683075</v>
      </c>
      <c r="Z409" s="20">
        <f ca="1">EXP(-P409)/(N409*L409/100*SQRT(P409))*_xlfn.NORM.S.DIST(X409,FALSE)</f>
        <v>7.3540896225616943E-3</v>
      </c>
      <c r="AA409" s="17">
        <f t="shared" ca="1" si="31"/>
        <v>3.8463021001244537E-3</v>
      </c>
      <c r="AB409" s="17"/>
      <c r="AC409" s="17"/>
      <c r="AD409" s="17"/>
    </row>
    <row r="410" spans="1:30" x14ac:dyDescent="0.25">
      <c r="A410" t="s">
        <v>106</v>
      </c>
      <c r="B410" t="s">
        <v>107</v>
      </c>
      <c r="C410" t="s">
        <v>108</v>
      </c>
      <c r="D410">
        <v>46758</v>
      </c>
      <c r="E410" t="s">
        <v>107</v>
      </c>
      <c r="F410" t="s">
        <v>109</v>
      </c>
      <c r="G410">
        <v>8</v>
      </c>
      <c r="H410">
        <v>2.0070000000000001</v>
      </c>
      <c r="I410">
        <v>-0.16500000000000001</v>
      </c>
      <c r="J410" t="s">
        <v>83</v>
      </c>
      <c r="K410">
        <v>4172</v>
      </c>
      <c r="L410">
        <v>30.188700000000001</v>
      </c>
      <c r="M410">
        <v>0.68196999999999997</v>
      </c>
      <c r="N410">
        <f>INDEX(jkm!$H:$H,MATCH(J410,jkm!$J:$J,0),1)</f>
        <v>8.9440000000000008</v>
      </c>
      <c r="O410" s="3">
        <f t="shared" ca="1" si="32"/>
        <v>788</v>
      </c>
      <c r="P410" s="3">
        <f t="shared" ca="1" si="33"/>
        <v>2.1589041095890411</v>
      </c>
      <c r="Q410" t="str" cm="1">
        <f t="array" ref="Q410:S410">_xlfn.TEXTSPLIT(J410,"/")</f>
        <v>5</v>
      </c>
      <c r="R410" s="1" t="str">
        <v>15</v>
      </c>
      <c r="S410" t="str">
        <v>2028</v>
      </c>
      <c r="T410" s="1">
        <f t="shared" si="34"/>
        <v>46888</v>
      </c>
      <c r="U410" s="19">
        <f t="shared" si="35"/>
        <v>3.6899999999999977</v>
      </c>
      <c r="V410" s="17">
        <f ca="1">(LN(N410/G410)+(L410/100)^2*P410/2)/(L410/100*SQRT(P410))</f>
        <v>0.47324791994284143</v>
      </c>
      <c r="W410" s="17">
        <f ca="1">V410-L410/100*SQRT(P410)</f>
        <v>2.9679020610710816E-2</v>
      </c>
      <c r="X410" s="17">
        <f ca="1">(LN(N410/G410)+P410*(U410/100+(L410/100)^2/2))/((L410/100*SQRT(P410)))</f>
        <v>0.65284473514738517</v>
      </c>
      <c r="Y410" s="17">
        <f ca="1">X410-N410/100*SQRT(R410)</f>
        <v>0.30644510466259378</v>
      </c>
      <c r="Z410" s="20">
        <f ca="1">EXP(-P410)/(N410*L410/100*SQRT(P410))*_xlfn.NORM.S.DIST(X410,FALSE)</f>
        <v>9.3813974269964847E-3</v>
      </c>
      <c r="AA410" s="17">
        <f t="shared" ca="1" si="31"/>
        <v>4.8911263317044365E-3</v>
      </c>
      <c r="AB410" s="17"/>
      <c r="AC410" s="17"/>
      <c r="AD410" s="17"/>
    </row>
    <row r="411" spans="1:30" x14ac:dyDescent="0.25">
      <c r="A411" t="s">
        <v>106</v>
      </c>
      <c r="B411" t="s">
        <v>107</v>
      </c>
      <c r="C411" t="s">
        <v>108</v>
      </c>
      <c r="D411">
        <v>46758</v>
      </c>
      <c r="E411" t="s">
        <v>107</v>
      </c>
      <c r="F411" t="s">
        <v>109</v>
      </c>
      <c r="G411">
        <v>10</v>
      </c>
      <c r="H411">
        <v>1.1819999999999999</v>
      </c>
      <c r="I411">
        <v>-0.20899999999999999</v>
      </c>
      <c r="J411" t="s">
        <v>83</v>
      </c>
      <c r="K411">
        <v>4172</v>
      </c>
      <c r="L411">
        <v>30.067900000000002</v>
      </c>
      <c r="M411">
        <v>0.48759000000000002</v>
      </c>
      <c r="N411">
        <f>INDEX(jkm!$H:$H,MATCH(J411,jkm!$J:$J,0),1)</f>
        <v>8.9440000000000008</v>
      </c>
      <c r="O411" s="3">
        <f t="shared" ca="1" si="32"/>
        <v>788</v>
      </c>
      <c r="P411" s="3">
        <f t="shared" ca="1" si="33"/>
        <v>2.1589041095890411</v>
      </c>
      <c r="Q411" t="str" cm="1">
        <f t="array" ref="Q411:S411">_xlfn.TEXTSPLIT(J411,"/")</f>
        <v>5</v>
      </c>
      <c r="R411" s="1" t="str">
        <v>15</v>
      </c>
      <c r="S411" t="str">
        <v>2028</v>
      </c>
      <c r="T411" s="1">
        <f t="shared" si="34"/>
        <v>46888</v>
      </c>
      <c r="U411" s="19">
        <f t="shared" si="35"/>
        <v>3.6899999999999977</v>
      </c>
      <c r="V411" s="17">
        <f ca="1">(LN(N411/G411)+(L411/100)^2*P411/2)/(L411/100*SQRT(P411))</f>
        <v>-3.1714388362503558E-2</v>
      </c>
      <c r="W411" s="17">
        <f ca="1">V411-L411/100*SQRT(P411)</f>
        <v>-0.47350834796422775</v>
      </c>
      <c r="X411" s="17">
        <f ca="1">(LN(N411/G411)+P411*(U411/100+(L411/100)^2/2))/((L411/100*SQRT(P411)))</f>
        <v>0.1486039702579991</v>
      </c>
      <c r="Y411" s="17">
        <f ca="1">X411-N411/100*SQRT(R411)</f>
        <v>-0.19779566022679229</v>
      </c>
      <c r="Z411" s="20">
        <f ca="1">EXP(-P411)/(N411*L411/100*SQRT(P411))*_xlfn.NORM.S.DIST(X411,FALSE)</f>
        <v>1.1528241530566925E-2</v>
      </c>
      <c r="AA411" s="17">
        <f t="shared" ca="1" si="31"/>
        <v>5.9863636924656193E-3</v>
      </c>
      <c r="AB411" s="17"/>
      <c r="AC411" s="17"/>
      <c r="AD411" s="17"/>
    </row>
    <row r="412" spans="1:30" x14ac:dyDescent="0.25">
      <c r="A412" t="s">
        <v>106</v>
      </c>
      <c r="B412" t="s">
        <v>107</v>
      </c>
      <c r="C412" t="s">
        <v>108</v>
      </c>
      <c r="D412">
        <v>46758</v>
      </c>
      <c r="E412" t="s">
        <v>107</v>
      </c>
      <c r="F412" t="s">
        <v>109</v>
      </c>
      <c r="G412">
        <v>13</v>
      </c>
      <c r="H412">
        <v>0.52</v>
      </c>
      <c r="I412">
        <v>-0.193</v>
      </c>
      <c r="J412" t="s">
        <v>83</v>
      </c>
      <c r="K412">
        <v>4172</v>
      </c>
      <c r="L412">
        <v>30.034500000000001</v>
      </c>
      <c r="M412">
        <v>0.26584999999999998</v>
      </c>
      <c r="N412">
        <f>INDEX(jkm!$H:$H,MATCH(J412,jkm!$J:$J,0),1)</f>
        <v>8.9440000000000008</v>
      </c>
      <c r="O412" s="3">
        <f t="shared" ca="1" si="32"/>
        <v>788</v>
      </c>
      <c r="P412" s="3">
        <f t="shared" ca="1" si="33"/>
        <v>2.1589041095890411</v>
      </c>
      <c r="Q412" t="str" cm="1">
        <f t="array" ref="Q412:S412">_xlfn.TEXTSPLIT(J412,"/")</f>
        <v>5</v>
      </c>
      <c r="R412" s="1" t="str">
        <v>15</v>
      </c>
      <c r="S412" t="str">
        <v>2028</v>
      </c>
      <c r="T412" s="1">
        <f t="shared" si="34"/>
        <v>46888</v>
      </c>
      <c r="U412" s="19">
        <f t="shared" si="35"/>
        <v>3.6899999999999977</v>
      </c>
      <c r="V412" s="17">
        <f ca="1">(LN(N412/G412)+(L412/100)^2*P412/2)/(L412/100*SQRT(P412))</f>
        <v>-0.62676222844081841</v>
      </c>
      <c r="W412" s="17">
        <f ca="1">V412-L412/100*SQRT(P412)</f>
        <v>-1.0680654348389369</v>
      </c>
      <c r="X412" s="17">
        <f ca="1">(LN(N412/G412)+P412*(U412/100+(L412/100)^2/2))/((L412/100*SQRT(P412)))</f>
        <v>-0.44624334598346393</v>
      </c>
      <c r="Y412" s="17">
        <f ca="1">X412-N412/100*SQRT(R412)</f>
        <v>-0.79264297646825532</v>
      </c>
      <c r="Z412" s="20">
        <f ca="1">EXP(-P412)/(N412*L412/100*SQRT(P412))*_xlfn.NORM.S.DIST(X412,FALSE)</f>
        <v>1.0563305549219649E-2</v>
      </c>
      <c r="AA412" s="17">
        <f t="shared" ca="1" si="31"/>
        <v>5.479200372212765E-3</v>
      </c>
      <c r="AB412" s="17"/>
      <c r="AC412" s="17"/>
      <c r="AD412" s="17"/>
    </row>
    <row r="413" spans="1:30" x14ac:dyDescent="0.25">
      <c r="A413" t="s">
        <v>106</v>
      </c>
      <c r="B413" t="s">
        <v>107</v>
      </c>
      <c r="C413" t="s">
        <v>108</v>
      </c>
      <c r="D413">
        <v>46758</v>
      </c>
      <c r="E413" t="s">
        <v>107</v>
      </c>
      <c r="F413" t="s">
        <v>109</v>
      </c>
      <c r="G413">
        <v>15</v>
      </c>
      <c r="H413">
        <v>0.3</v>
      </c>
      <c r="I413">
        <v>-0.16</v>
      </c>
      <c r="J413" t="s">
        <v>83</v>
      </c>
      <c r="K413">
        <v>4172</v>
      </c>
      <c r="L413">
        <v>30.024999999999999</v>
      </c>
      <c r="M413">
        <v>0.17113</v>
      </c>
      <c r="N413">
        <f>INDEX(jkm!$H:$H,MATCH(J413,jkm!$J:$J,0),1)</f>
        <v>8.9440000000000008</v>
      </c>
      <c r="O413" s="3">
        <f t="shared" ca="1" si="32"/>
        <v>788</v>
      </c>
      <c r="P413" s="3">
        <f t="shared" ca="1" si="33"/>
        <v>2.1589041095890411</v>
      </c>
      <c r="Q413" t="str" cm="1">
        <f t="array" ref="Q413:S413">_xlfn.TEXTSPLIT(J413,"/")</f>
        <v>5</v>
      </c>
      <c r="R413" s="1" t="str">
        <v>15</v>
      </c>
      <c r="S413" t="str">
        <v>2028</v>
      </c>
      <c r="T413" s="1">
        <f t="shared" si="34"/>
        <v>46888</v>
      </c>
      <c r="U413" s="19">
        <f t="shared" si="35"/>
        <v>3.6899999999999977</v>
      </c>
      <c r="V413" s="17">
        <f ca="1">(LN(N413/G413)+(L413/100)^2*P413/2)/(L413/100*SQRT(P413))</f>
        <v>-0.95147150533827529</v>
      </c>
      <c r="W413" s="17">
        <f ca="1">V413-L413/100*SQRT(P413)</f>
        <v>-1.3926351262443502</v>
      </c>
      <c r="X413" s="17">
        <f ca="1">(LN(N413/G413)+P413*(U413/100+(L413/100)^2/2))/((L413/100*SQRT(P413)))</f>
        <v>-0.77089550616540559</v>
      </c>
      <c r="Y413" s="17">
        <f ca="1">X413-N413/100*SQRT(R413)</f>
        <v>-1.1172951366501969</v>
      </c>
      <c r="Z413" s="20">
        <f ca="1">EXP(-P413)/(N413*L413/100*SQRT(P413))*_xlfn.NORM.S.DIST(X413,FALSE)</f>
        <v>8.6722582928601809E-3</v>
      </c>
      <c r="AA413" s="17">
        <f t="shared" ca="1" si="31"/>
        <v>4.4968888636359138E-3</v>
      </c>
      <c r="AB413" s="17"/>
      <c r="AC413" s="17"/>
      <c r="AD413" s="17"/>
    </row>
    <row r="414" spans="1:30" x14ac:dyDescent="0.25">
      <c r="A414" t="s">
        <v>106</v>
      </c>
      <c r="B414" t="s">
        <v>107</v>
      </c>
      <c r="C414" t="s">
        <v>108</v>
      </c>
      <c r="D414">
        <v>46758</v>
      </c>
      <c r="E414" t="s">
        <v>107</v>
      </c>
      <c r="F414" t="s">
        <v>110</v>
      </c>
      <c r="G414">
        <v>5</v>
      </c>
      <c r="H414">
        <v>0.13600000000000001</v>
      </c>
      <c r="I414">
        <v>-0.1</v>
      </c>
      <c r="J414" t="s">
        <v>83</v>
      </c>
      <c r="K414">
        <v>4172</v>
      </c>
      <c r="L414">
        <v>30.524999999999999</v>
      </c>
      <c r="M414">
        <v>-6.4320000000000002E-2</v>
      </c>
      <c r="N414">
        <f>INDEX(jkm!$H:$H,MATCH(J414,jkm!$J:$J,0),1)</f>
        <v>8.9440000000000008</v>
      </c>
      <c r="O414" s="3">
        <f t="shared" ca="1" si="32"/>
        <v>788</v>
      </c>
      <c r="P414" s="3">
        <f t="shared" ca="1" si="33"/>
        <v>2.1589041095890411</v>
      </c>
      <c r="Q414" t="str" cm="1">
        <f t="array" ref="Q414:S414">_xlfn.TEXTSPLIT(J414,"/")</f>
        <v>5</v>
      </c>
      <c r="R414" s="1" t="str">
        <v>15</v>
      </c>
      <c r="S414" t="str">
        <v>2028</v>
      </c>
      <c r="T414" s="1">
        <f t="shared" si="34"/>
        <v>46888</v>
      </c>
      <c r="U414" s="19">
        <f t="shared" si="35"/>
        <v>3.6899999999999977</v>
      </c>
      <c r="V414" s="17">
        <f ca="1">(LN(N414/G414)+(L414/100)^2*P414/2)/(L414/100*SQRT(P414))</f>
        <v>1.5208699291942385</v>
      </c>
      <c r="W414" s="17">
        <f ca="1">V414-L414/100*SQRT(P414)</f>
        <v>1.072359703443766</v>
      </c>
      <c r="X414" s="17">
        <f ca="1">(LN(N414/G414)+P414*(U414/100+(L414/100)^2/2))/((L414/100*SQRT(P414)))</f>
        <v>1.6984880905428188</v>
      </c>
      <c r="Y414" s="17">
        <f ca="1">X414-N414/100*SQRT(R414)</f>
        <v>1.3520884600580274</v>
      </c>
      <c r="Z414" s="20">
        <f ca="1">EXP(-P414)/(N414*L414/100*SQRT(P414))*_xlfn.NORM.S.DIST(X414,FALSE)</f>
        <v>2.7137260609256361E-3</v>
      </c>
      <c r="AA414" s="17">
        <f t="shared" ca="1" si="31"/>
        <v>1.430601289258342E-3</v>
      </c>
      <c r="AB414" s="17"/>
      <c r="AC414" s="17"/>
      <c r="AD414" s="17"/>
    </row>
    <row r="415" spans="1:30" x14ac:dyDescent="0.25">
      <c r="A415" t="s">
        <v>106</v>
      </c>
      <c r="B415" t="s">
        <v>107</v>
      </c>
      <c r="C415" t="s">
        <v>108</v>
      </c>
      <c r="D415">
        <v>46758</v>
      </c>
      <c r="E415" t="s">
        <v>107</v>
      </c>
      <c r="F415" t="s">
        <v>110</v>
      </c>
      <c r="G415">
        <v>7</v>
      </c>
      <c r="H415">
        <v>0.63600000000000001</v>
      </c>
      <c r="J415" t="s">
        <v>83</v>
      </c>
      <c r="K415">
        <v>4172</v>
      </c>
      <c r="L415">
        <v>30.284300000000002</v>
      </c>
      <c r="M415">
        <v>-0.21981000000000001</v>
      </c>
      <c r="N415">
        <f>INDEX(jkm!$H:$H,MATCH(J415,jkm!$J:$J,0),1)</f>
        <v>8.9440000000000008</v>
      </c>
      <c r="O415" s="3">
        <f t="shared" ca="1" si="32"/>
        <v>788</v>
      </c>
      <c r="P415" s="3">
        <f t="shared" ca="1" si="33"/>
        <v>2.1589041095890411</v>
      </c>
      <c r="Q415" t="str" cm="1">
        <f t="array" ref="Q415:S415">_xlfn.TEXTSPLIT(J415,"/")</f>
        <v>5</v>
      </c>
      <c r="R415" s="1" t="str">
        <v>15</v>
      </c>
      <c r="S415" t="str">
        <v>2028</v>
      </c>
      <c r="T415" s="1">
        <f t="shared" si="34"/>
        <v>46888</v>
      </c>
      <c r="U415" s="19">
        <f t="shared" si="35"/>
        <v>3.6899999999999977</v>
      </c>
      <c r="V415" s="17">
        <f ca="1">(LN(N415/G415)+(L415/100)^2*P415/2)/(L415/100*SQRT(P415))</f>
        <v>0.77324481608681994</v>
      </c>
      <c r="W415" s="17">
        <f ca="1">V415-L415/100*SQRT(P415)</f>
        <v>0.32827124590844048</v>
      </c>
      <c r="X415" s="17">
        <f ca="1">(LN(N415/G415)+P415*(U415/100+(L415/100)^2/2))/((L415/100*SQRT(P415)))</f>
        <v>0.95227468883162214</v>
      </c>
      <c r="Y415" s="17">
        <f ca="1">X415-N415/100*SQRT(R415)</f>
        <v>0.60587505834683075</v>
      </c>
      <c r="Z415" s="20">
        <f ca="1">EXP(-P415)/(N415*L415/100*SQRT(P415))*_xlfn.NORM.S.DIST(X415,FALSE)</f>
        <v>7.3540896225616943E-3</v>
      </c>
      <c r="AA415" s="17">
        <f t="shared" ca="1" si="31"/>
        <v>3.8463021001244537E-3</v>
      </c>
      <c r="AB415" s="17"/>
      <c r="AC415" s="17"/>
      <c r="AD415" s="17"/>
    </row>
    <row r="416" spans="1:30" x14ac:dyDescent="0.25">
      <c r="A416" t="s">
        <v>106</v>
      </c>
      <c r="B416" t="s">
        <v>107</v>
      </c>
      <c r="C416" t="s">
        <v>108</v>
      </c>
      <c r="D416">
        <v>46758</v>
      </c>
      <c r="E416" t="s">
        <v>107</v>
      </c>
      <c r="F416" t="s">
        <v>110</v>
      </c>
      <c r="G416">
        <v>8</v>
      </c>
      <c r="H416">
        <v>1.0629999999999999</v>
      </c>
      <c r="I416">
        <v>-0.26400000000000001</v>
      </c>
      <c r="J416" t="s">
        <v>83</v>
      </c>
      <c r="K416">
        <v>4172</v>
      </c>
      <c r="L416">
        <v>30.188700000000001</v>
      </c>
      <c r="M416">
        <v>-0.31802999999999998</v>
      </c>
      <c r="N416">
        <f>INDEX(jkm!$H:$H,MATCH(J416,jkm!$J:$J,0),1)</f>
        <v>8.9440000000000008</v>
      </c>
      <c r="O416" s="3">
        <f t="shared" ca="1" si="32"/>
        <v>788</v>
      </c>
      <c r="P416" s="3">
        <f t="shared" ca="1" si="33"/>
        <v>2.1589041095890411</v>
      </c>
      <c r="Q416" t="str" cm="1">
        <f t="array" ref="Q416:S416">_xlfn.TEXTSPLIT(J416,"/")</f>
        <v>5</v>
      </c>
      <c r="R416" s="1" t="str">
        <v>15</v>
      </c>
      <c r="S416" t="str">
        <v>2028</v>
      </c>
      <c r="T416" s="1">
        <f t="shared" si="34"/>
        <v>46888</v>
      </c>
      <c r="U416" s="19">
        <f t="shared" si="35"/>
        <v>3.6899999999999977</v>
      </c>
      <c r="V416" s="17">
        <f ca="1">(LN(N416/G416)+(L416/100)^2*P416/2)/(L416/100*SQRT(P416))</f>
        <v>0.47324791994284143</v>
      </c>
      <c r="W416" s="17">
        <f ca="1">V416-L416/100*SQRT(P416)</f>
        <v>2.9679020610710816E-2</v>
      </c>
      <c r="X416" s="17">
        <f ca="1">(LN(N416/G416)+P416*(U416/100+(L416/100)^2/2))/((L416/100*SQRT(P416)))</f>
        <v>0.65284473514738517</v>
      </c>
      <c r="Y416" s="17">
        <f ca="1">X416-N416/100*SQRT(R416)</f>
        <v>0.30644510466259378</v>
      </c>
      <c r="Z416" s="20">
        <f ca="1">EXP(-P416)/(N416*L416/100*SQRT(P416))*_xlfn.NORM.S.DIST(X416,FALSE)</f>
        <v>9.3813974269964847E-3</v>
      </c>
      <c r="AA416" s="17">
        <f t="shared" ca="1" si="31"/>
        <v>4.8911263317044365E-3</v>
      </c>
      <c r="AB416" s="17"/>
      <c r="AC416" s="17"/>
      <c r="AD416" s="17"/>
    </row>
    <row r="417" spans="1:30" x14ac:dyDescent="0.25">
      <c r="A417" t="s">
        <v>106</v>
      </c>
      <c r="B417" t="s">
        <v>107</v>
      </c>
      <c r="C417" t="s">
        <v>108</v>
      </c>
      <c r="D417">
        <v>46758</v>
      </c>
      <c r="E417" t="s">
        <v>107</v>
      </c>
      <c r="F417" t="s">
        <v>110</v>
      </c>
      <c r="G417">
        <v>10</v>
      </c>
      <c r="H417">
        <v>2.238</v>
      </c>
      <c r="I417">
        <v>-0.308</v>
      </c>
      <c r="J417" t="s">
        <v>83</v>
      </c>
      <c r="K417">
        <v>4172</v>
      </c>
      <c r="L417">
        <v>30.067900000000002</v>
      </c>
      <c r="M417">
        <v>-0.51241000000000003</v>
      </c>
      <c r="N417">
        <f>INDEX(jkm!$H:$H,MATCH(J417,jkm!$J:$J,0),1)</f>
        <v>8.9440000000000008</v>
      </c>
      <c r="O417" s="3">
        <f t="shared" ca="1" si="32"/>
        <v>788</v>
      </c>
      <c r="P417" s="3">
        <f t="shared" ca="1" si="33"/>
        <v>2.1589041095890411</v>
      </c>
      <c r="Q417" t="str" cm="1">
        <f t="array" ref="Q417:S417">_xlfn.TEXTSPLIT(J417,"/")</f>
        <v>5</v>
      </c>
      <c r="R417" s="1" t="str">
        <v>15</v>
      </c>
      <c r="S417" t="str">
        <v>2028</v>
      </c>
      <c r="T417" s="1">
        <f t="shared" si="34"/>
        <v>46888</v>
      </c>
      <c r="U417" s="19">
        <f t="shared" si="35"/>
        <v>3.6899999999999977</v>
      </c>
      <c r="V417" s="17">
        <f ca="1">(LN(N417/G417)+(L417/100)^2*P417/2)/(L417/100*SQRT(P417))</f>
        <v>-3.1714388362503558E-2</v>
      </c>
      <c r="W417" s="17">
        <f ca="1">V417-L417/100*SQRT(P417)</f>
        <v>-0.47350834796422775</v>
      </c>
      <c r="X417" s="17">
        <f ca="1">(LN(N417/G417)+P417*(U417/100+(L417/100)^2/2))/((L417/100*SQRT(P417)))</f>
        <v>0.1486039702579991</v>
      </c>
      <c r="Y417" s="17">
        <f ca="1">X417-N417/100*SQRT(R417)</f>
        <v>-0.19779566022679229</v>
      </c>
      <c r="Z417" s="20">
        <f ca="1">EXP(-P417)/(N417*L417/100*SQRT(P417))*_xlfn.NORM.S.DIST(X417,FALSE)</f>
        <v>1.1528241530566925E-2</v>
      </c>
      <c r="AA417" s="17">
        <f t="shared" ca="1" si="31"/>
        <v>5.9863636924656193E-3</v>
      </c>
      <c r="AB417" s="17"/>
      <c r="AC417" s="17"/>
      <c r="AD417" s="17"/>
    </row>
    <row r="418" spans="1:30" x14ac:dyDescent="0.25">
      <c r="A418" t="s">
        <v>106</v>
      </c>
      <c r="B418" t="s">
        <v>107</v>
      </c>
      <c r="C418" t="s">
        <v>108</v>
      </c>
      <c r="D418">
        <v>46758</v>
      </c>
      <c r="E418" t="s">
        <v>107</v>
      </c>
      <c r="F418" t="s">
        <v>110</v>
      </c>
      <c r="G418">
        <v>13</v>
      </c>
      <c r="H418">
        <v>4.5759999999999996</v>
      </c>
      <c r="I418">
        <v>-0.29199999999999998</v>
      </c>
      <c r="J418" t="s">
        <v>83</v>
      </c>
      <c r="K418">
        <v>4172</v>
      </c>
      <c r="L418">
        <v>30.034500000000001</v>
      </c>
      <c r="M418">
        <v>-0.73414999999999997</v>
      </c>
      <c r="N418">
        <f>INDEX(jkm!$H:$H,MATCH(J418,jkm!$J:$J,0),1)</f>
        <v>8.9440000000000008</v>
      </c>
      <c r="O418" s="3">
        <f t="shared" ca="1" si="32"/>
        <v>788</v>
      </c>
      <c r="P418" s="3">
        <f t="shared" ca="1" si="33"/>
        <v>2.1589041095890411</v>
      </c>
      <c r="Q418" t="str" cm="1">
        <f t="array" ref="Q418:S418">_xlfn.TEXTSPLIT(J418,"/")</f>
        <v>5</v>
      </c>
      <c r="R418" s="1" t="str">
        <v>15</v>
      </c>
      <c r="S418" t="str">
        <v>2028</v>
      </c>
      <c r="T418" s="1">
        <f t="shared" si="34"/>
        <v>46888</v>
      </c>
      <c r="U418" s="19">
        <f t="shared" si="35"/>
        <v>3.6899999999999977</v>
      </c>
      <c r="V418" s="17">
        <f ca="1">(LN(N418/G418)+(L418/100)^2*P418/2)/(L418/100*SQRT(P418))</f>
        <v>-0.62676222844081841</v>
      </c>
      <c r="W418" s="17">
        <f ca="1">V418-L418/100*SQRT(P418)</f>
        <v>-1.0680654348389369</v>
      </c>
      <c r="X418" s="17">
        <f ca="1">(LN(N418/G418)+P418*(U418/100+(L418/100)^2/2))/((L418/100*SQRT(P418)))</f>
        <v>-0.44624334598346393</v>
      </c>
      <c r="Y418" s="17">
        <f ca="1">X418-N418/100*SQRT(R418)</f>
        <v>-0.79264297646825532</v>
      </c>
      <c r="Z418" s="20">
        <f ca="1">EXP(-P418)/(N418*L418/100*SQRT(P418))*_xlfn.NORM.S.DIST(X418,FALSE)</f>
        <v>1.0563305549219649E-2</v>
      </c>
      <c r="AA418" s="17">
        <f t="shared" ca="1" si="31"/>
        <v>5.479200372212765E-3</v>
      </c>
      <c r="AB418" s="17"/>
      <c r="AC418" s="17"/>
      <c r="AD418" s="17"/>
    </row>
    <row r="419" spans="1:30" x14ac:dyDescent="0.25">
      <c r="A419" t="s">
        <v>106</v>
      </c>
      <c r="B419" t="s">
        <v>107</v>
      </c>
      <c r="C419" t="s">
        <v>108</v>
      </c>
      <c r="D419">
        <v>46758</v>
      </c>
      <c r="E419" t="s">
        <v>107</v>
      </c>
      <c r="F419" t="s">
        <v>110</v>
      </c>
      <c r="G419">
        <v>15</v>
      </c>
      <c r="H419">
        <v>6.3559999999999999</v>
      </c>
      <c r="I419">
        <v>-0.25900000000000001</v>
      </c>
      <c r="J419" t="s">
        <v>83</v>
      </c>
      <c r="K419">
        <v>4172</v>
      </c>
      <c r="L419">
        <v>30.024999999999999</v>
      </c>
      <c r="M419">
        <v>-0.82887</v>
      </c>
      <c r="N419">
        <f>INDEX(jkm!$H:$H,MATCH(J419,jkm!$J:$J,0),1)</f>
        <v>8.9440000000000008</v>
      </c>
      <c r="O419" s="3">
        <f t="shared" ca="1" si="32"/>
        <v>788</v>
      </c>
      <c r="P419" s="3">
        <f t="shared" ca="1" si="33"/>
        <v>2.1589041095890411</v>
      </c>
      <c r="Q419" t="str" cm="1">
        <f t="array" ref="Q419:S419">_xlfn.TEXTSPLIT(J419,"/")</f>
        <v>5</v>
      </c>
      <c r="R419" s="1" t="str">
        <v>15</v>
      </c>
      <c r="S419" t="str">
        <v>2028</v>
      </c>
      <c r="T419" s="1">
        <f t="shared" si="34"/>
        <v>46888</v>
      </c>
      <c r="U419" s="19">
        <f t="shared" si="35"/>
        <v>3.6899999999999977</v>
      </c>
      <c r="V419" s="17">
        <f ca="1">(LN(N419/G419)+(L419/100)^2*P419/2)/(L419/100*SQRT(P419))</f>
        <v>-0.95147150533827529</v>
      </c>
      <c r="W419" s="17">
        <f ca="1">V419-L419/100*SQRT(P419)</f>
        <v>-1.3926351262443502</v>
      </c>
      <c r="X419" s="17">
        <f ca="1">(LN(N419/G419)+P419*(U419/100+(L419/100)^2/2))/((L419/100*SQRT(P419)))</f>
        <v>-0.77089550616540559</v>
      </c>
      <c r="Y419" s="17">
        <f ca="1">X419-N419/100*SQRT(R419)</f>
        <v>-1.1172951366501969</v>
      </c>
      <c r="Z419" s="20">
        <f ca="1">EXP(-P419)/(N419*L419/100*SQRT(P419))*_xlfn.NORM.S.DIST(X419,FALSE)</f>
        <v>8.6722582928601809E-3</v>
      </c>
      <c r="AA419" s="17">
        <f t="shared" ca="1" si="31"/>
        <v>4.4968888636359138E-3</v>
      </c>
      <c r="AB419" s="17"/>
      <c r="AC419" s="17"/>
      <c r="AD419" s="17"/>
    </row>
    <row r="420" spans="1:30" x14ac:dyDescent="0.25">
      <c r="A420" t="s">
        <v>106</v>
      </c>
      <c r="B420" t="s">
        <v>107</v>
      </c>
      <c r="C420" t="s">
        <v>108</v>
      </c>
      <c r="D420">
        <v>46759</v>
      </c>
      <c r="E420" t="s">
        <v>107</v>
      </c>
      <c r="F420" t="s">
        <v>109</v>
      </c>
      <c r="G420">
        <v>5</v>
      </c>
      <c r="H420">
        <v>4.1219999999999999</v>
      </c>
      <c r="I420">
        <v>-4.0000000000000001E-3</v>
      </c>
      <c r="J420" t="s">
        <v>84</v>
      </c>
      <c r="K420">
        <v>4172</v>
      </c>
      <c r="L420">
        <v>30.542400000000001</v>
      </c>
      <c r="M420">
        <v>0.93408000000000002</v>
      </c>
      <c r="N420">
        <f>INDEX(jkm!$H:$H,MATCH(J420,jkm!$J:$J,0),1)</f>
        <v>8.9779999999999998</v>
      </c>
      <c r="O420" s="3">
        <f t="shared" ca="1" si="32"/>
        <v>819</v>
      </c>
      <c r="P420" s="3">
        <f t="shared" ca="1" si="33"/>
        <v>2.2438356164383562</v>
      </c>
      <c r="Q420" t="str" cm="1">
        <f t="array" ref="Q420:S420">_xlfn.TEXTSPLIT(J420,"/")</f>
        <v>6</v>
      </c>
      <c r="R420" s="1" t="str">
        <v>15</v>
      </c>
      <c r="S420" t="str">
        <v>2028</v>
      </c>
      <c r="T420" s="1">
        <f t="shared" si="34"/>
        <v>46919</v>
      </c>
      <c r="U420" s="19">
        <f t="shared" si="35"/>
        <v>3.6899999999999977</v>
      </c>
      <c r="V420" s="17">
        <f ca="1">(LN(N420/G420)+(L420/100)^2*P420/2)/(L420/100*SQRT(P420))</f>
        <v>1.5081616663975328</v>
      </c>
      <c r="W420" s="17">
        <f ca="1">V420-L420/100*SQRT(P420)</f>
        <v>1.0506536804007793</v>
      </c>
      <c r="X420" s="17">
        <f ca="1">(LN(N420/G420)+P420*(U420/100+(L420/100)^2/2))/((L420/100*SQRT(P420)))</f>
        <v>1.6891367242780806</v>
      </c>
      <c r="Y420" s="17">
        <f ca="1">X420-N420/100*SQRT(R420)</f>
        <v>1.3414202794555787</v>
      </c>
      <c r="Z420" s="20">
        <f ca="1">EXP(-P420)/(N420*L420/100*SQRT(P420))*_xlfn.NORM.S.DIST(X420,FALSE)</f>
        <v>2.4733499603825674E-3</v>
      </c>
      <c r="AA420" s="17">
        <f t="shared" ca="1" si="31"/>
        <v>1.366277669144794E-3</v>
      </c>
      <c r="AB420" s="17"/>
      <c r="AC420" s="17"/>
      <c r="AD420" s="17"/>
    </row>
    <row r="421" spans="1:30" x14ac:dyDescent="0.25">
      <c r="A421" t="s">
        <v>106</v>
      </c>
      <c r="B421" t="s">
        <v>107</v>
      </c>
      <c r="C421" t="s">
        <v>108</v>
      </c>
      <c r="D421">
        <v>46759</v>
      </c>
      <c r="E421" t="s">
        <v>107</v>
      </c>
      <c r="F421" t="s">
        <v>109</v>
      </c>
      <c r="G421">
        <v>7</v>
      </c>
      <c r="H421">
        <v>2.63</v>
      </c>
      <c r="J421" t="s">
        <v>84</v>
      </c>
      <c r="K421">
        <v>4172</v>
      </c>
      <c r="L421">
        <v>30.3018</v>
      </c>
      <c r="M421">
        <v>0.78078000000000003</v>
      </c>
      <c r="N421">
        <f>INDEX(jkm!$H:$H,MATCH(J421,jkm!$J:$J,0),1)</f>
        <v>8.9779999999999998</v>
      </c>
      <c r="O421" s="3">
        <f t="shared" ca="1" si="32"/>
        <v>819</v>
      </c>
      <c r="P421" s="3">
        <f t="shared" ca="1" si="33"/>
        <v>2.2438356164383562</v>
      </c>
      <c r="Q421" t="str" cm="1">
        <f t="array" ref="Q421:S421">_xlfn.TEXTSPLIT(J421,"/")</f>
        <v>6</v>
      </c>
      <c r="R421" s="1" t="str">
        <v>15</v>
      </c>
      <c r="S421" t="str">
        <v>2028</v>
      </c>
      <c r="T421" s="1">
        <f t="shared" si="34"/>
        <v>46919</v>
      </c>
      <c r="U421" s="19">
        <f t="shared" si="35"/>
        <v>3.6899999999999977</v>
      </c>
      <c r="V421" s="17">
        <f ca="1">(LN(N421/G421)+(L421/100)^2*P421/2)/(L421/100*SQRT(P421))</f>
        <v>0.77523316245232654</v>
      </c>
      <c r="W421" s="17">
        <f ca="1">V421-L421/100*SQRT(P421)</f>
        <v>0.32132922922912138</v>
      </c>
      <c r="X421" s="17">
        <f ca="1">(LN(N421/G421)+P421*(U421/100+(L421/100)^2/2))/((L421/100*SQRT(P421)))</f>
        <v>0.95764518443817692</v>
      </c>
      <c r="Y421" s="17">
        <f ca="1">X421-N421/100*SQRT(R421)</f>
        <v>0.60992873961567495</v>
      </c>
      <c r="Z421" s="20">
        <f ca="1">EXP(-P421)/(N421*L421/100*SQRT(P421))*_xlfn.NORM.S.DIST(X421,FALSE)</f>
        <v>6.5635495299369E-3</v>
      </c>
      <c r="AA421" s="17">
        <f t="shared" ca="1" si="31"/>
        <v>3.5971407695284522E-3</v>
      </c>
      <c r="AB421" s="17"/>
      <c r="AC421" s="17"/>
      <c r="AD421" s="17"/>
    </row>
    <row r="422" spans="1:30" x14ac:dyDescent="0.25">
      <c r="A422" t="s">
        <v>106</v>
      </c>
      <c r="B422" t="s">
        <v>107</v>
      </c>
      <c r="C422" t="s">
        <v>108</v>
      </c>
      <c r="D422">
        <v>46759</v>
      </c>
      <c r="E422" t="s">
        <v>107</v>
      </c>
      <c r="F422" t="s">
        <v>109</v>
      </c>
      <c r="G422">
        <v>8</v>
      </c>
      <c r="H422">
        <v>2.0579999999999998</v>
      </c>
      <c r="I422">
        <v>-0.16900000000000001</v>
      </c>
      <c r="J422" t="s">
        <v>84</v>
      </c>
      <c r="K422">
        <v>4172</v>
      </c>
      <c r="L422">
        <v>30.206600000000002</v>
      </c>
      <c r="M422">
        <v>0.68478000000000006</v>
      </c>
      <c r="N422">
        <f>INDEX(jkm!$H:$H,MATCH(J422,jkm!$J:$J,0),1)</f>
        <v>8.9779999999999998</v>
      </c>
      <c r="O422" s="3">
        <f t="shared" ca="1" si="32"/>
        <v>819</v>
      </c>
      <c r="P422" s="3">
        <f t="shared" ca="1" si="33"/>
        <v>2.2438356164383562</v>
      </c>
      <c r="Q422" t="str" cm="1">
        <f t="array" ref="Q422:S422">_xlfn.TEXTSPLIT(J422,"/")</f>
        <v>6</v>
      </c>
      <c r="R422" s="1" t="str">
        <v>15</v>
      </c>
      <c r="S422" t="str">
        <v>2028</v>
      </c>
      <c r="T422" s="1">
        <f t="shared" si="34"/>
        <v>46919</v>
      </c>
      <c r="U422" s="19">
        <f t="shared" si="35"/>
        <v>3.6899999999999977</v>
      </c>
      <c r="V422" s="17">
        <f ca="1">(LN(N422/G422)+(L422/100)^2*P422/2)/(L422/100*SQRT(P422))</f>
        <v>0.48113670068703379</v>
      </c>
      <c r="W422" s="17">
        <f ca="1">V422-L422/100*SQRT(P422)</f>
        <v>2.8658809957767928E-2</v>
      </c>
      <c r="X422" s="17">
        <f ca="1">(LN(N422/G422)+P422*(U422/100+(L422/100)^2/2))/((L422/100*SQRT(P422)))</f>
        <v>0.66412361771214889</v>
      </c>
      <c r="Y422" s="17">
        <f ca="1">X422-N422/100*SQRT(R422)</f>
        <v>0.31640717288964698</v>
      </c>
      <c r="Z422" s="20">
        <f ca="1">EXP(-P422)/(N422*L422/100*SQRT(P422))*_xlfn.NORM.S.DIST(X422,FALSE)</f>
        <v>8.3535807266493945E-3</v>
      </c>
      <c r="AA422" s="17">
        <f t="shared" ca="1" si="31"/>
        <v>4.5637806003055613E-3</v>
      </c>
      <c r="AB422" s="17"/>
      <c r="AC422" s="17"/>
      <c r="AD422" s="17"/>
    </row>
    <row r="423" spans="1:30" x14ac:dyDescent="0.25">
      <c r="A423" t="s">
        <v>106</v>
      </c>
      <c r="B423" t="s">
        <v>107</v>
      </c>
      <c r="C423" t="s">
        <v>108</v>
      </c>
      <c r="D423">
        <v>46759</v>
      </c>
      <c r="E423" t="s">
        <v>107</v>
      </c>
      <c r="F423" t="s">
        <v>109</v>
      </c>
      <c r="G423">
        <v>10</v>
      </c>
      <c r="H423">
        <v>1.23</v>
      </c>
      <c r="I423">
        <v>-0.214</v>
      </c>
      <c r="J423" t="s">
        <v>84</v>
      </c>
      <c r="K423">
        <v>4172</v>
      </c>
      <c r="L423">
        <v>30.0886</v>
      </c>
      <c r="M423">
        <v>0.49470999999999998</v>
      </c>
      <c r="N423">
        <f>INDEX(jkm!$H:$H,MATCH(J423,jkm!$J:$J,0),1)</f>
        <v>8.9779999999999998</v>
      </c>
      <c r="O423" s="3">
        <f t="shared" ca="1" si="32"/>
        <v>819</v>
      </c>
      <c r="P423" s="3">
        <f t="shared" ca="1" si="33"/>
        <v>2.2438356164383562</v>
      </c>
      <c r="Q423" t="str" cm="1">
        <f t="array" ref="Q423:S423">_xlfn.TEXTSPLIT(J423,"/")</f>
        <v>6</v>
      </c>
      <c r="R423" s="1" t="str">
        <v>15</v>
      </c>
      <c r="S423" t="str">
        <v>2028</v>
      </c>
      <c r="T423" s="1">
        <f t="shared" si="34"/>
        <v>46919</v>
      </c>
      <c r="U423" s="19">
        <f t="shared" si="35"/>
        <v>3.6899999999999977</v>
      </c>
      <c r="V423" s="17">
        <f ca="1">(LN(N423/G423)+(L423/100)^2*P423/2)/(L423/100*SQRT(P423))</f>
        <v>-1.3840503424839432E-2</v>
      </c>
      <c r="W423" s="17">
        <f ca="1">V423-L423/100*SQRT(P423)</f>
        <v>-0.46455082047464274</v>
      </c>
      <c r="X423" s="17">
        <f ca="1">(LN(N423/G423)+P423*(U423/100+(L423/100)^2/2))/((L423/100*SQRT(P423)))</f>
        <v>0.16986404274250777</v>
      </c>
      <c r="Y423" s="17">
        <f ca="1">X423-N423/100*SQRT(R423)</f>
        <v>-0.17785240207999414</v>
      </c>
      <c r="Z423" s="20">
        <f ca="1">EXP(-P423)/(N423*L423/100*SQRT(P423))*_xlfn.NORM.S.DIST(X423,FALSE)</f>
        <v>1.0305807289326483E-2</v>
      </c>
      <c r="AA423" s="17">
        <f t="shared" ca="1" si="31"/>
        <v>5.6083387480412913E-3</v>
      </c>
      <c r="AB423" s="17"/>
      <c r="AC423" s="17"/>
      <c r="AD423" s="17"/>
    </row>
    <row r="424" spans="1:30" x14ac:dyDescent="0.25">
      <c r="A424" t="s">
        <v>106</v>
      </c>
      <c r="B424" t="s">
        <v>107</v>
      </c>
      <c r="C424" t="s">
        <v>108</v>
      </c>
      <c r="D424">
        <v>46759</v>
      </c>
      <c r="E424" t="s">
        <v>107</v>
      </c>
      <c r="F424" t="s">
        <v>109</v>
      </c>
      <c r="G424">
        <v>13</v>
      </c>
      <c r="H424">
        <v>0.55500000000000005</v>
      </c>
      <c r="I424">
        <v>-0.20100000000000001</v>
      </c>
      <c r="J424" t="s">
        <v>84</v>
      </c>
      <c r="K424">
        <v>4172</v>
      </c>
      <c r="L424">
        <v>30.053799999999999</v>
      </c>
      <c r="M424">
        <v>0.27561999999999998</v>
      </c>
      <c r="N424">
        <f>INDEX(jkm!$H:$H,MATCH(J424,jkm!$J:$J,0),1)</f>
        <v>8.9779999999999998</v>
      </c>
      <c r="O424" s="3">
        <f t="shared" ca="1" si="32"/>
        <v>819</v>
      </c>
      <c r="P424" s="3">
        <f t="shared" ca="1" si="33"/>
        <v>2.2438356164383562</v>
      </c>
      <c r="Q424" t="str" cm="1">
        <f t="array" ref="Q424:S424">_xlfn.TEXTSPLIT(J424,"/")</f>
        <v>6</v>
      </c>
      <c r="R424" s="1" t="str">
        <v>15</v>
      </c>
      <c r="S424" t="str">
        <v>2028</v>
      </c>
      <c r="T424" s="1">
        <f t="shared" si="34"/>
        <v>46919</v>
      </c>
      <c r="U424" s="19">
        <f t="shared" si="35"/>
        <v>3.6899999999999977</v>
      </c>
      <c r="V424" s="17">
        <f ca="1">(LN(N424/G424)+(L424/100)^2*P424/2)/(L424/100*SQRT(P424))</f>
        <v>-0.59716500200671252</v>
      </c>
      <c r="W424" s="17">
        <f ca="1">V424-L424/100*SQRT(P424)</f>
        <v>-1.047354034615454</v>
      </c>
      <c r="X424" s="17">
        <f ca="1">(LN(N424/G424)+P424*(U424/100+(L424/100)^2/2))/((L424/100*SQRT(P424)))</f>
        <v>-0.41324774003615161</v>
      </c>
      <c r="Y424" s="17">
        <f ca="1">X424-N424/100*SQRT(R424)</f>
        <v>-0.76096418485865347</v>
      </c>
      <c r="Z424" s="20">
        <f ca="1">EXP(-P424)/(N424*L424/100*SQRT(P424))*_xlfn.NORM.S.DIST(X424,FALSE)</f>
        <v>9.6109671090553149E-3</v>
      </c>
      <c r="AA424" s="17">
        <f t="shared" ca="1" si="31"/>
        <v>5.2241630412303928E-3</v>
      </c>
      <c r="AB424" s="17"/>
      <c r="AC424" s="17"/>
      <c r="AD424" s="17"/>
    </row>
    <row r="425" spans="1:30" x14ac:dyDescent="0.25">
      <c r="A425" t="s">
        <v>106</v>
      </c>
      <c r="B425" t="s">
        <v>107</v>
      </c>
      <c r="C425" t="s">
        <v>108</v>
      </c>
      <c r="D425">
        <v>46759</v>
      </c>
      <c r="E425" t="s">
        <v>107</v>
      </c>
      <c r="F425" t="s">
        <v>109</v>
      </c>
      <c r="G425">
        <v>15</v>
      </c>
      <c r="H425">
        <v>0.32600000000000001</v>
      </c>
      <c r="I425">
        <v>-0.16900000000000001</v>
      </c>
      <c r="J425" t="s">
        <v>84</v>
      </c>
      <c r="K425">
        <v>4172</v>
      </c>
      <c r="L425">
        <v>30.0444</v>
      </c>
      <c r="M425">
        <v>0.18040999999999999</v>
      </c>
      <c r="N425">
        <f>INDEX(jkm!$H:$H,MATCH(J425,jkm!$J:$J,0),1)</f>
        <v>8.9779999999999998</v>
      </c>
      <c r="O425" s="3">
        <f t="shared" ca="1" si="32"/>
        <v>819</v>
      </c>
      <c r="P425" s="3">
        <f t="shared" ca="1" si="33"/>
        <v>2.2438356164383562</v>
      </c>
      <c r="Q425" t="str" cm="1">
        <f t="array" ref="Q425:S425">_xlfn.TEXTSPLIT(J425,"/")</f>
        <v>6</v>
      </c>
      <c r="R425" s="1" t="str">
        <v>15</v>
      </c>
      <c r="S425" t="str">
        <v>2028</v>
      </c>
      <c r="T425" s="1">
        <f t="shared" si="34"/>
        <v>46919</v>
      </c>
      <c r="U425" s="19">
        <f t="shared" si="35"/>
        <v>3.6899999999999977</v>
      </c>
      <c r="V425" s="17">
        <f ca="1">(LN(N425/G425)+(L425/100)^2*P425/2)/(L425/100*SQRT(P425))</f>
        <v>-0.91546046451298213</v>
      </c>
      <c r="W425" s="17">
        <f ca="1">V425-L425/100*SQRT(P425)</f>
        <v>-1.365508690404885</v>
      </c>
      <c r="X425" s="17">
        <f ca="1">(LN(N425/G425)+P425*(U425/100+(L425/100)^2/2))/((L425/100*SQRT(P425)))</f>
        <v>-0.73148566029619488</v>
      </c>
      <c r="Y425" s="17">
        <f ca="1">X425-N425/100*SQRT(R425)</f>
        <v>-1.0792021051186969</v>
      </c>
      <c r="Z425" s="20">
        <f ca="1">EXP(-P425)/(N425*L425/100*SQRT(P425))*_xlfn.NORM.S.DIST(X425,FALSE)</f>
        <v>8.0130293587659072E-3</v>
      </c>
      <c r="AA425" s="17">
        <f t="shared" ca="1" si="31"/>
        <v>4.3542214083763199E-3</v>
      </c>
      <c r="AB425" s="17"/>
      <c r="AC425" s="17"/>
      <c r="AD425" s="17"/>
    </row>
    <row r="426" spans="1:30" x14ac:dyDescent="0.25">
      <c r="A426" t="s">
        <v>106</v>
      </c>
      <c r="B426" t="s">
        <v>107</v>
      </c>
      <c r="C426" t="s">
        <v>108</v>
      </c>
      <c r="D426">
        <v>46759</v>
      </c>
      <c r="E426" t="s">
        <v>107</v>
      </c>
      <c r="F426" t="s">
        <v>110</v>
      </c>
      <c r="G426">
        <v>5</v>
      </c>
      <c r="H426">
        <v>0.14399999999999999</v>
      </c>
      <c r="I426">
        <v>-0.104</v>
      </c>
      <c r="J426" t="s">
        <v>84</v>
      </c>
      <c r="K426">
        <v>4172</v>
      </c>
      <c r="L426">
        <v>30.542400000000001</v>
      </c>
      <c r="M426">
        <v>-6.5920000000000006E-2</v>
      </c>
      <c r="N426">
        <f>INDEX(jkm!$H:$H,MATCH(J426,jkm!$J:$J,0),1)</f>
        <v>8.9779999999999998</v>
      </c>
      <c r="O426" s="3">
        <f t="shared" ca="1" si="32"/>
        <v>819</v>
      </c>
      <c r="P426" s="3">
        <f t="shared" ca="1" si="33"/>
        <v>2.2438356164383562</v>
      </c>
      <c r="Q426" t="str" cm="1">
        <f t="array" ref="Q426:S426">_xlfn.TEXTSPLIT(J426,"/")</f>
        <v>6</v>
      </c>
      <c r="R426" s="1" t="str">
        <v>15</v>
      </c>
      <c r="S426" t="str">
        <v>2028</v>
      </c>
      <c r="T426" s="1">
        <f t="shared" si="34"/>
        <v>46919</v>
      </c>
      <c r="U426" s="19">
        <f t="shared" si="35"/>
        <v>3.6899999999999977</v>
      </c>
      <c r="V426" s="17">
        <f ca="1">(LN(N426/G426)+(L426/100)^2*P426/2)/(L426/100*SQRT(P426))</f>
        <v>1.5081616663975328</v>
      </c>
      <c r="W426" s="17">
        <f ca="1">V426-L426/100*SQRT(P426)</f>
        <v>1.0506536804007793</v>
      </c>
      <c r="X426" s="17">
        <f ca="1">(LN(N426/G426)+P426*(U426/100+(L426/100)^2/2))/((L426/100*SQRT(P426)))</f>
        <v>1.6891367242780806</v>
      </c>
      <c r="Y426" s="17">
        <f ca="1">X426-N426/100*SQRT(R426)</f>
        <v>1.3414202794555787</v>
      </c>
      <c r="Z426" s="20">
        <f ca="1">EXP(-P426)/(N426*L426/100*SQRT(P426))*_xlfn.NORM.S.DIST(X426,FALSE)</f>
        <v>2.4733499603825674E-3</v>
      </c>
      <c r="AA426" s="17">
        <f t="shared" ca="1" si="31"/>
        <v>1.366277669144794E-3</v>
      </c>
      <c r="AB426" s="17"/>
      <c r="AC426" s="17"/>
      <c r="AD426" s="17"/>
    </row>
    <row r="427" spans="1:30" x14ac:dyDescent="0.25">
      <c r="A427" t="s">
        <v>106</v>
      </c>
      <c r="B427" t="s">
        <v>107</v>
      </c>
      <c r="C427" t="s">
        <v>108</v>
      </c>
      <c r="D427">
        <v>46759</v>
      </c>
      <c r="E427" t="s">
        <v>107</v>
      </c>
      <c r="F427" t="s">
        <v>110</v>
      </c>
      <c r="G427">
        <v>7</v>
      </c>
      <c r="H427">
        <v>0.65200000000000002</v>
      </c>
      <c r="J427" t="s">
        <v>84</v>
      </c>
      <c r="K427">
        <v>4172</v>
      </c>
      <c r="L427">
        <v>30.3018</v>
      </c>
      <c r="M427">
        <v>-0.21922</v>
      </c>
      <c r="N427">
        <f>INDEX(jkm!$H:$H,MATCH(J427,jkm!$J:$J,0),1)</f>
        <v>8.9779999999999998</v>
      </c>
      <c r="O427" s="3">
        <f t="shared" ca="1" si="32"/>
        <v>819</v>
      </c>
      <c r="P427" s="3">
        <f t="shared" ca="1" si="33"/>
        <v>2.2438356164383562</v>
      </c>
      <c r="Q427" t="str" cm="1">
        <f t="array" ref="Q427:S427">_xlfn.TEXTSPLIT(J427,"/")</f>
        <v>6</v>
      </c>
      <c r="R427" s="1" t="str">
        <v>15</v>
      </c>
      <c r="S427" t="str">
        <v>2028</v>
      </c>
      <c r="T427" s="1">
        <f t="shared" si="34"/>
        <v>46919</v>
      </c>
      <c r="U427" s="19">
        <f t="shared" si="35"/>
        <v>3.6899999999999977</v>
      </c>
      <c r="V427" s="17">
        <f ca="1">(LN(N427/G427)+(L427/100)^2*P427/2)/(L427/100*SQRT(P427))</f>
        <v>0.77523316245232654</v>
      </c>
      <c r="W427" s="17">
        <f ca="1">V427-L427/100*SQRT(P427)</f>
        <v>0.32132922922912138</v>
      </c>
      <c r="X427" s="17">
        <f ca="1">(LN(N427/G427)+P427*(U427/100+(L427/100)^2/2))/((L427/100*SQRT(P427)))</f>
        <v>0.95764518443817692</v>
      </c>
      <c r="Y427" s="17">
        <f ca="1">X427-N427/100*SQRT(R427)</f>
        <v>0.60992873961567495</v>
      </c>
      <c r="Z427" s="20">
        <f ca="1">EXP(-P427)/(N427*L427/100*SQRT(P427))*_xlfn.NORM.S.DIST(X427,FALSE)</f>
        <v>6.5635495299369E-3</v>
      </c>
      <c r="AA427" s="17">
        <f t="shared" ca="1" si="31"/>
        <v>3.5971407695284522E-3</v>
      </c>
      <c r="AB427" s="17"/>
      <c r="AC427" s="17"/>
      <c r="AD427" s="17"/>
    </row>
    <row r="428" spans="1:30" x14ac:dyDescent="0.25">
      <c r="A428" t="s">
        <v>106</v>
      </c>
      <c r="B428" t="s">
        <v>107</v>
      </c>
      <c r="C428" t="s">
        <v>108</v>
      </c>
      <c r="D428">
        <v>46759</v>
      </c>
      <c r="E428" t="s">
        <v>107</v>
      </c>
      <c r="F428" t="s">
        <v>110</v>
      </c>
      <c r="G428">
        <v>8</v>
      </c>
      <c r="H428">
        <v>1.08</v>
      </c>
      <c r="I428">
        <v>-0.26900000000000002</v>
      </c>
      <c r="J428" t="s">
        <v>84</v>
      </c>
      <c r="K428">
        <v>4172</v>
      </c>
      <c r="L428">
        <v>30.206600000000002</v>
      </c>
      <c r="M428">
        <v>-0.31522</v>
      </c>
      <c r="N428">
        <f>INDEX(jkm!$H:$H,MATCH(J428,jkm!$J:$J,0),1)</f>
        <v>8.9779999999999998</v>
      </c>
      <c r="O428" s="3">
        <f t="shared" ca="1" si="32"/>
        <v>819</v>
      </c>
      <c r="P428" s="3">
        <f t="shared" ca="1" si="33"/>
        <v>2.2438356164383562</v>
      </c>
      <c r="Q428" t="str" cm="1">
        <f t="array" ref="Q428:S428">_xlfn.TEXTSPLIT(J428,"/")</f>
        <v>6</v>
      </c>
      <c r="R428" s="1" t="str">
        <v>15</v>
      </c>
      <c r="S428" t="str">
        <v>2028</v>
      </c>
      <c r="T428" s="1">
        <f t="shared" si="34"/>
        <v>46919</v>
      </c>
      <c r="U428" s="19">
        <f t="shared" si="35"/>
        <v>3.6899999999999977</v>
      </c>
      <c r="V428" s="17">
        <f ca="1">(LN(N428/G428)+(L428/100)^2*P428/2)/(L428/100*SQRT(P428))</f>
        <v>0.48113670068703379</v>
      </c>
      <c r="W428" s="17">
        <f ca="1">V428-L428/100*SQRT(P428)</f>
        <v>2.8658809957767928E-2</v>
      </c>
      <c r="X428" s="17">
        <f ca="1">(LN(N428/G428)+P428*(U428/100+(L428/100)^2/2))/((L428/100*SQRT(P428)))</f>
        <v>0.66412361771214889</v>
      </c>
      <c r="Y428" s="17">
        <f ca="1">X428-N428/100*SQRT(R428)</f>
        <v>0.31640717288964698</v>
      </c>
      <c r="Z428" s="20">
        <f ca="1">EXP(-P428)/(N428*L428/100*SQRT(P428))*_xlfn.NORM.S.DIST(X428,FALSE)</f>
        <v>8.3535807266493945E-3</v>
      </c>
      <c r="AA428" s="17">
        <f t="shared" ca="1" si="31"/>
        <v>4.5637806003055613E-3</v>
      </c>
      <c r="AB428" s="17"/>
      <c r="AC428" s="17"/>
      <c r="AD428" s="17"/>
    </row>
    <row r="429" spans="1:30" x14ac:dyDescent="0.25">
      <c r="A429" t="s">
        <v>106</v>
      </c>
      <c r="B429" t="s">
        <v>107</v>
      </c>
      <c r="C429" t="s">
        <v>108</v>
      </c>
      <c r="D429">
        <v>46759</v>
      </c>
      <c r="E429" t="s">
        <v>107</v>
      </c>
      <c r="F429" t="s">
        <v>110</v>
      </c>
      <c r="G429">
        <v>10</v>
      </c>
      <c r="H429">
        <v>2.2519999999999998</v>
      </c>
      <c r="I429">
        <v>-0.314</v>
      </c>
      <c r="J429" t="s">
        <v>84</v>
      </c>
      <c r="K429">
        <v>4172</v>
      </c>
      <c r="L429">
        <v>30.0886</v>
      </c>
      <c r="M429">
        <v>-0.50529999999999997</v>
      </c>
      <c r="N429">
        <f>INDEX(jkm!$H:$H,MATCH(J429,jkm!$J:$J,0),1)</f>
        <v>8.9779999999999998</v>
      </c>
      <c r="O429" s="3">
        <f t="shared" ca="1" si="32"/>
        <v>819</v>
      </c>
      <c r="P429" s="3">
        <f t="shared" ca="1" si="33"/>
        <v>2.2438356164383562</v>
      </c>
      <c r="Q429" t="str" cm="1">
        <f t="array" ref="Q429:S429">_xlfn.TEXTSPLIT(J429,"/")</f>
        <v>6</v>
      </c>
      <c r="R429" s="1" t="str">
        <v>15</v>
      </c>
      <c r="S429" t="str">
        <v>2028</v>
      </c>
      <c r="T429" s="1">
        <f t="shared" si="34"/>
        <v>46919</v>
      </c>
      <c r="U429" s="19">
        <f t="shared" si="35"/>
        <v>3.6899999999999977</v>
      </c>
      <c r="V429" s="17">
        <f ca="1">(LN(N429/G429)+(L429/100)^2*P429/2)/(L429/100*SQRT(P429))</f>
        <v>-1.3840503424839432E-2</v>
      </c>
      <c r="W429" s="17">
        <f ca="1">V429-L429/100*SQRT(P429)</f>
        <v>-0.46455082047464274</v>
      </c>
      <c r="X429" s="17">
        <f ca="1">(LN(N429/G429)+P429*(U429/100+(L429/100)^2/2))/((L429/100*SQRT(P429)))</f>
        <v>0.16986404274250777</v>
      </c>
      <c r="Y429" s="17">
        <f ca="1">X429-N429/100*SQRT(R429)</f>
        <v>-0.17785240207999414</v>
      </c>
      <c r="Z429" s="20">
        <f ca="1">EXP(-P429)/(N429*L429/100*SQRT(P429))*_xlfn.NORM.S.DIST(X429,FALSE)</f>
        <v>1.0305807289326483E-2</v>
      </c>
      <c r="AA429" s="17">
        <f t="shared" ca="1" si="31"/>
        <v>5.6083387480412913E-3</v>
      </c>
      <c r="AB429" s="17"/>
      <c r="AC429" s="17"/>
      <c r="AD429" s="17"/>
    </row>
    <row r="430" spans="1:30" x14ac:dyDescent="0.25">
      <c r="A430" t="s">
        <v>106</v>
      </c>
      <c r="B430" t="s">
        <v>107</v>
      </c>
      <c r="C430" t="s">
        <v>108</v>
      </c>
      <c r="D430">
        <v>46759</v>
      </c>
      <c r="E430" t="s">
        <v>107</v>
      </c>
      <c r="F430" t="s">
        <v>110</v>
      </c>
      <c r="G430">
        <v>13</v>
      </c>
      <c r="H430">
        <v>4.577</v>
      </c>
      <c r="I430">
        <v>-0.30099999999999999</v>
      </c>
      <c r="J430" t="s">
        <v>84</v>
      </c>
      <c r="K430">
        <v>4172</v>
      </c>
      <c r="L430">
        <v>30.053799999999999</v>
      </c>
      <c r="M430">
        <v>-0.72438000000000002</v>
      </c>
      <c r="N430">
        <f>INDEX(jkm!$H:$H,MATCH(J430,jkm!$J:$J,0),1)</f>
        <v>8.9779999999999998</v>
      </c>
      <c r="O430" s="3">
        <f t="shared" ca="1" si="32"/>
        <v>819</v>
      </c>
      <c r="P430" s="3">
        <f t="shared" ca="1" si="33"/>
        <v>2.2438356164383562</v>
      </c>
      <c r="Q430" t="str" cm="1">
        <f t="array" ref="Q430:S430">_xlfn.TEXTSPLIT(J430,"/")</f>
        <v>6</v>
      </c>
      <c r="R430" s="1" t="str">
        <v>15</v>
      </c>
      <c r="S430" t="str">
        <v>2028</v>
      </c>
      <c r="T430" s="1">
        <f t="shared" si="34"/>
        <v>46919</v>
      </c>
      <c r="U430" s="19">
        <f t="shared" si="35"/>
        <v>3.6899999999999977</v>
      </c>
      <c r="V430" s="17">
        <f ca="1">(LN(N430/G430)+(L430/100)^2*P430/2)/(L430/100*SQRT(P430))</f>
        <v>-0.59716500200671252</v>
      </c>
      <c r="W430" s="17">
        <f ca="1">V430-L430/100*SQRT(P430)</f>
        <v>-1.047354034615454</v>
      </c>
      <c r="X430" s="17">
        <f ca="1">(LN(N430/G430)+P430*(U430/100+(L430/100)^2/2))/((L430/100*SQRT(P430)))</f>
        <v>-0.41324774003615161</v>
      </c>
      <c r="Y430" s="17">
        <f ca="1">X430-N430/100*SQRT(R430)</f>
        <v>-0.76096418485865347</v>
      </c>
      <c r="Z430" s="20">
        <f ca="1">EXP(-P430)/(N430*L430/100*SQRT(P430))*_xlfn.NORM.S.DIST(X430,FALSE)</f>
        <v>9.6109671090553149E-3</v>
      </c>
      <c r="AA430" s="17">
        <f t="shared" ca="1" si="31"/>
        <v>5.2241630412303928E-3</v>
      </c>
      <c r="AB430" s="17"/>
      <c r="AC430" s="17"/>
      <c r="AD430" s="17"/>
    </row>
    <row r="431" spans="1:30" x14ac:dyDescent="0.25">
      <c r="A431" t="s">
        <v>106</v>
      </c>
      <c r="B431" t="s">
        <v>107</v>
      </c>
      <c r="C431" t="s">
        <v>108</v>
      </c>
      <c r="D431">
        <v>46759</v>
      </c>
      <c r="E431" t="s">
        <v>107</v>
      </c>
      <c r="F431" t="s">
        <v>110</v>
      </c>
      <c r="G431">
        <v>15</v>
      </c>
      <c r="H431">
        <v>6.3479999999999999</v>
      </c>
      <c r="I431">
        <v>-0.26900000000000002</v>
      </c>
      <c r="J431" t="s">
        <v>84</v>
      </c>
      <c r="K431">
        <v>4172</v>
      </c>
      <c r="L431">
        <v>30.0444</v>
      </c>
      <c r="M431">
        <v>-0.81959000000000004</v>
      </c>
      <c r="N431">
        <f>INDEX(jkm!$H:$H,MATCH(J431,jkm!$J:$J,0),1)</f>
        <v>8.9779999999999998</v>
      </c>
      <c r="O431" s="3">
        <f t="shared" ca="1" si="32"/>
        <v>819</v>
      </c>
      <c r="P431" s="3">
        <f t="shared" ca="1" si="33"/>
        <v>2.2438356164383562</v>
      </c>
      <c r="Q431" t="str" cm="1">
        <f t="array" ref="Q431:S431">_xlfn.TEXTSPLIT(J431,"/")</f>
        <v>6</v>
      </c>
      <c r="R431" s="1" t="str">
        <v>15</v>
      </c>
      <c r="S431" t="str">
        <v>2028</v>
      </c>
      <c r="T431" s="1">
        <f t="shared" si="34"/>
        <v>46919</v>
      </c>
      <c r="U431" s="19">
        <f t="shared" si="35"/>
        <v>3.6899999999999977</v>
      </c>
      <c r="V431" s="17">
        <f ca="1">(LN(N431/G431)+(L431/100)^2*P431/2)/(L431/100*SQRT(P431))</f>
        <v>-0.91546046451298213</v>
      </c>
      <c r="W431" s="17">
        <f ca="1">V431-L431/100*SQRT(P431)</f>
        <v>-1.365508690404885</v>
      </c>
      <c r="X431" s="17">
        <f ca="1">(LN(N431/G431)+P431*(U431/100+(L431/100)^2/2))/((L431/100*SQRT(P431)))</f>
        <v>-0.73148566029619488</v>
      </c>
      <c r="Y431" s="17">
        <f ca="1">X431-N431/100*SQRT(R431)</f>
        <v>-1.0792021051186969</v>
      </c>
      <c r="Z431" s="20">
        <f ca="1">EXP(-P431)/(N431*L431/100*SQRT(P431))*_xlfn.NORM.S.DIST(X431,FALSE)</f>
        <v>8.0130293587659072E-3</v>
      </c>
      <c r="AA431" s="17">
        <f t="shared" ca="1" si="31"/>
        <v>4.3542214083763199E-3</v>
      </c>
      <c r="AB431" s="17"/>
      <c r="AC431" s="17"/>
      <c r="AD431" s="17"/>
    </row>
    <row r="432" spans="1:30" x14ac:dyDescent="0.25">
      <c r="A432" t="s">
        <v>106</v>
      </c>
      <c r="B432" t="s">
        <v>107</v>
      </c>
      <c r="C432" t="s">
        <v>108</v>
      </c>
      <c r="D432">
        <v>46760</v>
      </c>
      <c r="E432" t="s">
        <v>107</v>
      </c>
      <c r="F432" t="s">
        <v>109</v>
      </c>
      <c r="G432">
        <v>5</v>
      </c>
      <c r="H432">
        <v>4.1379999999999999</v>
      </c>
      <c r="I432">
        <v>-1.2E-2</v>
      </c>
      <c r="J432" t="s">
        <v>85</v>
      </c>
      <c r="K432">
        <v>4172</v>
      </c>
      <c r="L432">
        <v>30.5961</v>
      </c>
      <c r="M432">
        <v>0.93169999999999997</v>
      </c>
      <c r="N432">
        <f>INDEX(jkm!$H:$H,MATCH(J432,jkm!$J:$J,0),1)</f>
        <v>8.984</v>
      </c>
      <c r="O432" s="3">
        <f t="shared" ca="1" si="32"/>
        <v>848</v>
      </c>
      <c r="P432" s="3">
        <f t="shared" ca="1" si="33"/>
        <v>2.3232876712328765</v>
      </c>
      <c r="Q432" t="str" cm="1">
        <f t="array" ref="Q432:S432">_xlfn.TEXTSPLIT(J432,"/")</f>
        <v>7</v>
      </c>
      <c r="R432" s="1" t="str">
        <v>14</v>
      </c>
      <c r="S432" t="str">
        <v>2028</v>
      </c>
      <c r="T432" s="1">
        <f t="shared" si="34"/>
        <v>46948</v>
      </c>
      <c r="U432" s="19">
        <f t="shared" si="35"/>
        <v>3.6899999999999977</v>
      </c>
      <c r="V432" s="17">
        <f ca="1">(LN(N432/G432)+(L432/100)^2*P432/2)/(L432/100*SQRT(P432))</f>
        <v>1.4897444607023398</v>
      </c>
      <c r="W432" s="17">
        <f ca="1">V432-L432/100*SQRT(P432)</f>
        <v>1.0233884639711461</v>
      </c>
      <c r="X432" s="17">
        <f ca="1">(LN(N432/G432)+P432*(U432/100+(L432/100)^2/2))/((L432/100*SQRT(P432)))</f>
        <v>1.6735725140980102</v>
      </c>
      <c r="Y432" s="17">
        <f ca="1">X432-N432/100*SQRT(R432)</f>
        <v>1.3374220144702393</v>
      </c>
      <c r="Z432" s="20">
        <f ca="1">EXP(-P432)/(N432*L432/100*SQRT(P432))*_xlfn.NORM.S.DIST(X432,FALSE)</f>
        <v>2.2989841976093855E-3</v>
      </c>
      <c r="AA432" s="17">
        <f t="shared" ref="AA432:AA495" ca="1" si="36">(N432*EXP(-P432)*SQRT(P432)*_xlfn.NORM.S.DIST(X432,FALSE))/100</f>
        <v>1.318999199881652E-3</v>
      </c>
      <c r="AB432" s="17"/>
      <c r="AC432" s="17"/>
      <c r="AD432" s="17"/>
    </row>
    <row r="433" spans="1:30" x14ac:dyDescent="0.25">
      <c r="A433" t="s">
        <v>106</v>
      </c>
      <c r="B433" t="s">
        <v>107</v>
      </c>
      <c r="C433" t="s">
        <v>108</v>
      </c>
      <c r="D433">
        <v>46760</v>
      </c>
      <c r="E433" t="s">
        <v>107</v>
      </c>
      <c r="F433" t="s">
        <v>109</v>
      </c>
      <c r="G433">
        <v>7</v>
      </c>
      <c r="H433">
        <v>2.6579999999999999</v>
      </c>
      <c r="J433" t="s">
        <v>85</v>
      </c>
      <c r="K433">
        <v>4172</v>
      </c>
      <c r="L433">
        <v>30.355799999999999</v>
      </c>
      <c r="M433">
        <v>0.77944000000000002</v>
      </c>
      <c r="N433">
        <f>INDEX(jkm!$H:$H,MATCH(J433,jkm!$J:$J,0),1)</f>
        <v>8.984</v>
      </c>
      <c r="O433" s="3">
        <f t="shared" ca="1" si="32"/>
        <v>848</v>
      </c>
      <c r="P433" s="3">
        <f t="shared" ca="1" si="33"/>
        <v>2.3232876712328765</v>
      </c>
      <c r="Q433" t="str" cm="1">
        <f t="array" ref="Q433:S433">_xlfn.TEXTSPLIT(J433,"/")</f>
        <v>7</v>
      </c>
      <c r="R433" s="1" t="str">
        <v>14</v>
      </c>
      <c r="S433" t="str">
        <v>2028</v>
      </c>
      <c r="T433" s="1">
        <f t="shared" si="34"/>
        <v>46948</v>
      </c>
      <c r="U433" s="19">
        <f t="shared" si="35"/>
        <v>3.6899999999999977</v>
      </c>
      <c r="V433" s="17">
        <f ca="1">(LN(N433/G433)+(L433/100)^2*P433/2)/(L433/100*SQRT(P433))</f>
        <v>0.770656554766458</v>
      </c>
      <c r="W433" s="17">
        <f ca="1">V433-L433/100*SQRT(P433)</f>
        <v>0.30796329106380405</v>
      </c>
      <c r="X433" s="17">
        <f ca="1">(LN(N433/G433)+P433*(U433/100+(L433/100)^2/2))/((L433/100*SQRT(P433)))</f>
        <v>0.95593981215052559</v>
      </c>
      <c r="Y433" s="17">
        <f ca="1">X433-N433/100*SQRT(R433)</f>
        <v>0.61978931252275471</v>
      </c>
      <c r="Z433" s="20">
        <f ca="1">EXP(-P433)/(N433*L433/100*SQRT(P433))*_xlfn.NORM.S.DIST(X433,FALSE)</f>
        <v>5.9528157131929103E-3</v>
      </c>
      <c r="AA433" s="17">
        <f t="shared" ca="1" si="36"/>
        <v>3.3884930172443368E-3</v>
      </c>
      <c r="AB433" s="17"/>
      <c r="AC433" s="17"/>
      <c r="AD433" s="17"/>
    </row>
    <row r="434" spans="1:30" x14ac:dyDescent="0.25">
      <c r="A434" t="s">
        <v>106</v>
      </c>
      <c r="B434" t="s">
        <v>107</v>
      </c>
      <c r="C434" t="s">
        <v>108</v>
      </c>
      <c r="D434">
        <v>46760</v>
      </c>
      <c r="E434" t="s">
        <v>107</v>
      </c>
      <c r="F434" t="s">
        <v>109</v>
      </c>
      <c r="G434">
        <v>8</v>
      </c>
      <c r="H434">
        <v>2.09</v>
      </c>
      <c r="I434">
        <v>-0.17599999999999999</v>
      </c>
      <c r="J434" t="s">
        <v>85</v>
      </c>
      <c r="K434">
        <v>4172</v>
      </c>
      <c r="L434">
        <v>30.2605</v>
      </c>
      <c r="M434">
        <v>0.68513000000000002</v>
      </c>
      <c r="N434">
        <f>INDEX(jkm!$H:$H,MATCH(J434,jkm!$J:$J,0),1)</f>
        <v>8.984</v>
      </c>
      <c r="O434" s="3">
        <f t="shared" ca="1" si="32"/>
        <v>848</v>
      </c>
      <c r="P434" s="3">
        <f t="shared" ca="1" si="33"/>
        <v>2.3232876712328765</v>
      </c>
      <c r="Q434" t="str" cm="1">
        <f t="array" ref="Q434:S434">_xlfn.TEXTSPLIT(J434,"/")</f>
        <v>7</v>
      </c>
      <c r="R434" s="1" t="str">
        <v>14</v>
      </c>
      <c r="S434" t="str">
        <v>2028</v>
      </c>
      <c r="T434" s="1">
        <f t="shared" si="34"/>
        <v>46948</v>
      </c>
      <c r="U434" s="19">
        <f t="shared" si="35"/>
        <v>3.6899999999999977</v>
      </c>
      <c r="V434" s="17">
        <f ca="1">(LN(N434/G434)+(L434/100)^2*P434/2)/(L434/100*SQRT(P434))</f>
        <v>0.48212390638474761</v>
      </c>
      <c r="W434" s="17">
        <f ca="1">V434-L434/100*SQRT(P434)</f>
        <v>2.0883237179055048E-2</v>
      </c>
      <c r="X434" s="17">
        <f ca="1">(LN(N434/G434)+P434*(U434/100+(L434/100)^2/2))/((L434/100*SQRT(P434)))</f>
        <v>0.66799068005006301</v>
      </c>
      <c r="Y434" s="17">
        <f ca="1">X434-N434/100*SQRT(R434)</f>
        <v>0.33184018042229213</v>
      </c>
      <c r="Z434" s="20">
        <f ca="1">EXP(-P434)/(N434*L434/100*SQRT(P434))*_xlfn.NORM.S.DIST(X434,FALSE)</f>
        <v>7.5444590713220419E-3</v>
      </c>
      <c r="AA434" s="17">
        <f t="shared" ca="1" si="36"/>
        <v>4.2810143226131719E-3</v>
      </c>
      <c r="AB434" s="17"/>
      <c r="AC434" s="17"/>
      <c r="AD434" s="17"/>
    </row>
    <row r="435" spans="1:30" x14ac:dyDescent="0.25">
      <c r="A435" t="s">
        <v>106</v>
      </c>
      <c r="B435" t="s">
        <v>107</v>
      </c>
      <c r="C435" t="s">
        <v>108</v>
      </c>
      <c r="D435">
        <v>46760</v>
      </c>
      <c r="E435" t="s">
        <v>107</v>
      </c>
      <c r="F435" t="s">
        <v>109</v>
      </c>
      <c r="G435">
        <v>10</v>
      </c>
      <c r="H435">
        <v>1.264</v>
      </c>
      <c r="I435">
        <v>-0.222</v>
      </c>
      <c r="J435" t="s">
        <v>85</v>
      </c>
      <c r="K435">
        <v>4172</v>
      </c>
      <c r="L435">
        <v>30.1433</v>
      </c>
      <c r="M435">
        <v>0.49884000000000001</v>
      </c>
      <c r="N435">
        <f>INDEX(jkm!$H:$H,MATCH(J435,jkm!$J:$J,0),1)</f>
        <v>8.984</v>
      </c>
      <c r="O435" s="3">
        <f t="shared" ca="1" si="32"/>
        <v>848</v>
      </c>
      <c r="P435" s="3">
        <f t="shared" ca="1" si="33"/>
        <v>2.3232876712328765</v>
      </c>
      <c r="Q435" t="str" cm="1">
        <f t="array" ref="Q435:S435">_xlfn.TEXTSPLIT(J435,"/")</f>
        <v>7</v>
      </c>
      <c r="R435" s="1" t="str">
        <v>14</v>
      </c>
      <c r="S435" t="str">
        <v>2028</v>
      </c>
      <c r="T435" s="1">
        <f t="shared" si="34"/>
        <v>46948</v>
      </c>
      <c r="U435" s="19">
        <f t="shared" si="35"/>
        <v>3.6899999999999977</v>
      </c>
      <c r="V435" s="17">
        <f ca="1">(LN(N435/G435)+(L435/100)^2*P435/2)/(L435/100*SQRT(P435))</f>
        <v>-3.4622892243568975E-3</v>
      </c>
      <c r="W435" s="17">
        <f ca="1">V435-L435/100*SQRT(P435)</f>
        <v>-0.46291655680314608</v>
      </c>
      <c r="X435" s="17">
        <f ca="1">(LN(N435/G435)+P435*(U435/100+(L435/100)^2/2))/((L435/100*SQRT(P435)))</f>
        <v>0.18312715202790406</v>
      </c>
      <c r="Y435" s="17">
        <f ca="1">X435-N435/100*SQRT(R435)</f>
        <v>-0.15302334759986683</v>
      </c>
      <c r="Z435" s="20">
        <f ca="1">EXP(-P435)/(N435*L435/100*SQRT(P435))*_xlfn.NORM.S.DIST(X435,FALSE)</f>
        <v>9.3094680189152821E-3</v>
      </c>
      <c r="AA435" s="17">
        <f t="shared" ca="1" si="36"/>
        <v>5.2620883369575398E-3</v>
      </c>
      <c r="AB435" s="17"/>
      <c r="AC435" s="17"/>
      <c r="AD435" s="17"/>
    </row>
    <row r="436" spans="1:30" x14ac:dyDescent="0.25">
      <c r="A436" t="s">
        <v>106</v>
      </c>
      <c r="B436" t="s">
        <v>107</v>
      </c>
      <c r="C436" t="s">
        <v>108</v>
      </c>
      <c r="D436">
        <v>46760</v>
      </c>
      <c r="E436" t="s">
        <v>107</v>
      </c>
      <c r="F436" t="s">
        <v>109</v>
      </c>
      <c r="G436">
        <v>13</v>
      </c>
      <c r="H436">
        <v>0.58299999999999996</v>
      </c>
      <c r="I436">
        <v>-0.20799999999999999</v>
      </c>
      <c r="J436" t="s">
        <v>85</v>
      </c>
      <c r="K436">
        <v>4172</v>
      </c>
      <c r="L436">
        <v>30.107600000000001</v>
      </c>
      <c r="M436">
        <v>0.28281000000000001</v>
      </c>
      <c r="N436">
        <f>INDEX(jkm!$H:$H,MATCH(J436,jkm!$J:$J,0),1)</f>
        <v>8.984</v>
      </c>
      <c r="O436" s="3">
        <f t="shared" ca="1" si="32"/>
        <v>848</v>
      </c>
      <c r="P436" s="3">
        <f t="shared" ca="1" si="33"/>
        <v>2.3232876712328765</v>
      </c>
      <c r="Q436" t="str" cm="1">
        <f t="array" ref="Q436:S436">_xlfn.TEXTSPLIT(J436,"/")</f>
        <v>7</v>
      </c>
      <c r="R436" s="1" t="str">
        <v>14</v>
      </c>
      <c r="S436" t="str">
        <v>2028</v>
      </c>
      <c r="T436" s="1">
        <f t="shared" si="34"/>
        <v>46948</v>
      </c>
      <c r="U436" s="19">
        <f t="shared" si="35"/>
        <v>3.6899999999999977</v>
      </c>
      <c r="V436" s="17">
        <f ca="1">(LN(N436/G436)+(L436/100)^2*P436/2)/(L436/100*SQRT(P436))</f>
        <v>-0.57572252886202069</v>
      </c>
      <c r="W436" s="17">
        <f ca="1">V436-L436/100*SQRT(P436)</f>
        <v>-1.0346326450920007</v>
      </c>
      <c r="X436" s="17">
        <f ca="1">(LN(N436/G436)+P436*(U436/100+(L436/100)^2/2))/((L436/100*SQRT(P436)))</f>
        <v>-0.38891183971711107</v>
      </c>
      <c r="Y436" s="17">
        <f ca="1">X436-N436/100*SQRT(R436)</f>
        <v>-0.72506233934488196</v>
      </c>
      <c r="Z436" s="20">
        <f ca="1">EXP(-P436)/(N436*L436/100*SQRT(P436))*_xlfn.NORM.S.DIST(X436,FALSE)</f>
        <v>8.7877487226391254E-3</v>
      </c>
      <c r="AA436" s="17">
        <f t="shared" ca="1" si="36"/>
        <v>4.9613086048445063E-3</v>
      </c>
      <c r="AB436" s="17"/>
      <c r="AC436" s="17"/>
      <c r="AD436" s="17"/>
    </row>
    <row r="437" spans="1:30" x14ac:dyDescent="0.25">
      <c r="A437" t="s">
        <v>106</v>
      </c>
      <c r="B437" t="s">
        <v>107</v>
      </c>
      <c r="C437" t="s">
        <v>108</v>
      </c>
      <c r="D437">
        <v>46760</v>
      </c>
      <c r="E437" t="s">
        <v>107</v>
      </c>
      <c r="F437" t="s">
        <v>109</v>
      </c>
      <c r="G437">
        <v>15</v>
      </c>
      <c r="H437">
        <v>0.34799999999999998</v>
      </c>
      <c r="I437">
        <v>-0.17699999999999999</v>
      </c>
      <c r="J437" t="s">
        <v>85</v>
      </c>
      <c r="K437">
        <v>4172</v>
      </c>
      <c r="L437">
        <v>30.098500000000001</v>
      </c>
      <c r="M437">
        <v>0.18770999999999999</v>
      </c>
      <c r="N437">
        <f>INDEX(jkm!$H:$H,MATCH(J437,jkm!$J:$J,0),1)</f>
        <v>8.984</v>
      </c>
      <c r="O437" s="3">
        <f t="shared" ca="1" si="32"/>
        <v>848</v>
      </c>
      <c r="P437" s="3">
        <f t="shared" ca="1" si="33"/>
        <v>2.3232876712328765</v>
      </c>
      <c r="Q437" t="str" cm="1">
        <f t="array" ref="Q437:S437">_xlfn.TEXTSPLIT(J437,"/")</f>
        <v>7</v>
      </c>
      <c r="R437" s="1" t="str">
        <v>14</v>
      </c>
      <c r="S437" t="str">
        <v>2028</v>
      </c>
      <c r="T437" s="1">
        <f t="shared" si="34"/>
        <v>46948</v>
      </c>
      <c r="U437" s="19">
        <f t="shared" si="35"/>
        <v>3.6899999999999977</v>
      </c>
      <c r="V437" s="17">
        <f ca="1">(LN(N437/G437)+(L437/100)^2*P437/2)/(L437/100*SQRT(P437))</f>
        <v>-0.8879572051447514</v>
      </c>
      <c r="W437" s="17">
        <f ca="1">V437-L437/100*SQRT(P437)</f>
        <v>-1.3467286161289564</v>
      </c>
      <c r="X437" s="17">
        <f ca="1">(LN(N437/G437)+P437*(U437/100+(L437/100)^2/2))/((L437/100*SQRT(P437)))</f>
        <v>-0.70109003553499416</v>
      </c>
      <c r="Y437" s="17">
        <f ca="1">X437-N437/100*SQRT(R437)</f>
        <v>-1.0372405351627649</v>
      </c>
      <c r="Z437" s="20">
        <f ca="1">EXP(-P437)/(N437*L437/100*SQRT(P437))*_xlfn.NORM.S.DIST(X437,FALSE)</f>
        <v>7.4151369623408391E-3</v>
      </c>
      <c r="AA437" s="17">
        <f t="shared" ca="1" si="36"/>
        <v>4.1851064015989313E-3</v>
      </c>
      <c r="AB437" s="17"/>
      <c r="AC437" s="17"/>
      <c r="AD437" s="17"/>
    </row>
    <row r="438" spans="1:30" x14ac:dyDescent="0.25">
      <c r="A438" t="s">
        <v>106</v>
      </c>
      <c r="B438" t="s">
        <v>107</v>
      </c>
      <c r="C438" t="s">
        <v>108</v>
      </c>
      <c r="D438">
        <v>46760</v>
      </c>
      <c r="E438" t="s">
        <v>107</v>
      </c>
      <c r="F438" t="s">
        <v>110</v>
      </c>
      <c r="G438">
        <v>5</v>
      </c>
      <c r="H438">
        <v>0.154</v>
      </c>
      <c r="I438">
        <v>-0.108</v>
      </c>
      <c r="J438" t="s">
        <v>85</v>
      </c>
      <c r="K438">
        <v>4172</v>
      </c>
      <c r="L438">
        <v>30.5961</v>
      </c>
      <c r="M438">
        <v>-6.83E-2</v>
      </c>
      <c r="N438">
        <f>INDEX(jkm!$H:$H,MATCH(J438,jkm!$J:$J,0),1)</f>
        <v>8.984</v>
      </c>
      <c r="O438" s="3">
        <f t="shared" ca="1" si="32"/>
        <v>848</v>
      </c>
      <c r="P438" s="3">
        <f t="shared" ca="1" si="33"/>
        <v>2.3232876712328765</v>
      </c>
      <c r="Q438" t="str" cm="1">
        <f t="array" ref="Q438:S438">_xlfn.TEXTSPLIT(J438,"/")</f>
        <v>7</v>
      </c>
      <c r="R438" s="1" t="str">
        <v>14</v>
      </c>
      <c r="S438" t="str">
        <v>2028</v>
      </c>
      <c r="T438" s="1">
        <f t="shared" si="34"/>
        <v>46948</v>
      </c>
      <c r="U438" s="19">
        <f t="shared" si="35"/>
        <v>3.6899999999999977</v>
      </c>
      <c r="V438" s="17">
        <f ca="1">(LN(N438/G438)+(L438/100)^2*P438/2)/(L438/100*SQRT(P438))</f>
        <v>1.4897444607023398</v>
      </c>
      <c r="W438" s="17">
        <f ca="1">V438-L438/100*SQRT(P438)</f>
        <v>1.0233884639711461</v>
      </c>
      <c r="X438" s="17">
        <f ca="1">(LN(N438/G438)+P438*(U438/100+(L438/100)^2/2))/((L438/100*SQRT(P438)))</f>
        <v>1.6735725140980102</v>
      </c>
      <c r="Y438" s="17">
        <f ca="1">X438-N438/100*SQRT(R438)</f>
        <v>1.3374220144702393</v>
      </c>
      <c r="Z438" s="20">
        <f ca="1">EXP(-P438)/(N438*L438/100*SQRT(P438))*_xlfn.NORM.S.DIST(X438,FALSE)</f>
        <v>2.2989841976093855E-3</v>
      </c>
      <c r="AA438" s="17">
        <f t="shared" ca="1" si="36"/>
        <v>1.318999199881652E-3</v>
      </c>
      <c r="AB438" s="17"/>
      <c r="AC438" s="17"/>
      <c r="AD438" s="17"/>
    </row>
    <row r="439" spans="1:30" x14ac:dyDescent="0.25">
      <c r="A439" t="s">
        <v>106</v>
      </c>
      <c r="B439" t="s">
        <v>107</v>
      </c>
      <c r="C439" t="s">
        <v>108</v>
      </c>
      <c r="D439">
        <v>46760</v>
      </c>
      <c r="E439" t="s">
        <v>107</v>
      </c>
      <c r="F439" t="s">
        <v>110</v>
      </c>
      <c r="G439">
        <v>7</v>
      </c>
      <c r="H439">
        <v>0.67400000000000004</v>
      </c>
      <c r="J439" t="s">
        <v>85</v>
      </c>
      <c r="K439">
        <v>4172</v>
      </c>
      <c r="L439">
        <v>30.355799999999999</v>
      </c>
      <c r="M439">
        <v>-0.22056000000000001</v>
      </c>
      <c r="N439">
        <f>INDEX(jkm!$H:$H,MATCH(J439,jkm!$J:$J,0),1)</f>
        <v>8.984</v>
      </c>
      <c r="O439" s="3">
        <f t="shared" ca="1" si="32"/>
        <v>848</v>
      </c>
      <c r="P439" s="3">
        <f t="shared" ca="1" si="33"/>
        <v>2.3232876712328765</v>
      </c>
      <c r="Q439" t="str" cm="1">
        <f t="array" ref="Q439:S439">_xlfn.TEXTSPLIT(J439,"/")</f>
        <v>7</v>
      </c>
      <c r="R439" s="1" t="str">
        <v>14</v>
      </c>
      <c r="S439" t="str">
        <v>2028</v>
      </c>
      <c r="T439" s="1">
        <f t="shared" si="34"/>
        <v>46948</v>
      </c>
      <c r="U439" s="19">
        <f t="shared" si="35"/>
        <v>3.6899999999999977</v>
      </c>
      <c r="V439" s="17">
        <f ca="1">(LN(N439/G439)+(L439/100)^2*P439/2)/(L439/100*SQRT(P439))</f>
        <v>0.770656554766458</v>
      </c>
      <c r="W439" s="17">
        <f ca="1">V439-L439/100*SQRT(P439)</f>
        <v>0.30796329106380405</v>
      </c>
      <c r="X439" s="17">
        <f ca="1">(LN(N439/G439)+P439*(U439/100+(L439/100)^2/2))/((L439/100*SQRT(P439)))</f>
        <v>0.95593981215052559</v>
      </c>
      <c r="Y439" s="17">
        <f ca="1">X439-N439/100*SQRT(R439)</f>
        <v>0.61978931252275471</v>
      </c>
      <c r="Z439" s="20">
        <f ca="1">EXP(-P439)/(N439*L439/100*SQRT(P439))*_xlfn.NORM.S.DIST(X439,FALSE)</f>
        <v>5.9528157131929103E-3</v>
      </c>
      <c r="AA439" s="17">
        <f t="shared" ca="1" si="36"/>
        <v>3.3884930172443368E-3</v>
      </c>
      <c r="AB439" s="17"/>
      <c r="AC439" s="17"/>
      <c r="AD439" s="17"/>
    </row>
    <row r="440" spans="1:30" x14ac:dyDescent="0.25">
      <c r="A440" t="s">
        <v>106</v>
      </c>
      <c r="B440" t="s">
        <v>107</v>
      </c>
      <c r="C440" t="s">
        <v>108</v>
      </c>
      <c r="D440">
        <v>46760</v>
      </c>
      <c r="E440" t="s">
        <v>107</v>
      </c>
      <c r="F440" t="s">
        <v>110</v>
      </c>
      <c r="G440">
        <v>8</v>
      </c>
      <c r="H440">
        <v>1.1060000000000001</v>
      </c>
      <c r="I440">
        <v>-0.27200000000000002</v>
      </c>
      <c r="J440" t="s">
        <v>85</v>
      </c>
      <c r="K440">
        <v>4172</v>
      </c>
      <c r="L440">
        <v>30.2605</v>
      </c>
      <c r="M440">
        <v>-0.31486999999999998</v>
      </c>
      <c r="N440">
        <f>INDEX(jkm!$H:$H,MATCH(J440,jkm!$J:$J,0),1)</f>
        <v>8.984</v>
      </c>
      <c r="O440" s="3">
        <f t="shared" ca="1" si="32"/>
        <v>848</v>
      </c>
      <c r="P440" s="3">
        <f t="shared" ca="1" si="33"/>
        <v>2.3232876712328765</v>
      </c>
      <c r="Q440" t="str" cm="1">
        <f t="array" ref="Q440:S440">_xlfn.TEXTSPLIT(J440,"/")</f>
        <v>7</v>
      </c>
      <c r="R440" s="1" t="str">
        <v>14</v>
      </c>
      <c r="S440" t="str">
        <v>2028</v>
      </c>
      <c r="T440" s="1">
        <f t="shared" si="34"/>
        <v>46948</v>
      </c>
      <c r="U440" s="19">
        <f t="shared" si="35"/>
        <v>3.6899999999999977</v>
      </c>
      <c r="V440" s="17">
        <f ca="1">(LN(N440/G440)+(L440/100)^2*P440/2)/(L440/100*SQRT(P440))</f>
        <v>0.48212390638474761</v>
      </c>
      <c r="W440" s="17">
        <f ca="1">V440-L440/100*SQRT(P440)</f>
        <v>2.0883237179055048E-2</v>
      </c>
      <c r="X440" s="17">
        <f ca="1">(LN(N440/G440)+P440*(U440/100+(L440/100)^2/2))/((L440/100*SQRT(P440)))</f>
        <v>0.66799068005006301</v>
      </c>
      <c r="Y440" s="17">
        <f ca="1">X440-N440/100*SQRT(R440)</f>
        <v>0.33184018042229213</v>
      </c>
      <c r="Z440" s="20">
        <f ca="1">EXP(-P440)/(N440*L440/100*SQRT(P440))*_xlfn.NORM.S.DIST(X440,FALSE)</f>
        <v>7.5444590713220419E-3</v>
      </c>
      <c r="AA440" s="17">
        <f t="shared" ca="1" si="36"/>
        <v>4.2810143226131719E-3</v>
      </c>
      <c r="AB440" s="17"/>
      <c r="AC440" s="17"/>
      <c r="AD440" s="17"/>
    </row>
    <row r="441" spans="1:30" x14ac:dyDescent="0.25">
      <c r="A441" t="s">
        <v>106</v>
      </c>
      <c r="B441" t="s">
        <v>107</v>
      </c>
      <c r="C441" t="s">
        <v>108</v>
      </c>
      <c r="D441">
        <v>46760</v>
      </c>
      <c r="E441" t="s">
        <v>107</v>
      </c>
      <c r="F441" t="s">
        <v>110</v>
      </c>
      <c r="G441">
        <v>10</v>
      </c>
      <c r="H441">
        <v>2.2799999999999998</v>
      </c>
      <c r="I441">
        <v>-0.318</v>
      </c>
      <c r="J441" t="s">
        <v>85</v>
      </c>
      <c r="K441">
        <v>4172</v>
      </c>
      <c r="L441">
        <v>30.1433</v>
      </c>
      <c r="M441">
        <v>-0.50116000000000005</v>
      </c>
      <c r="N441">
        <f>INDEX(jkm!$H:$H,MATCH(J441,jkm!$J:$J,0),1)</f>
        <v>8.984</v>
      </c>
      <c r="O441" s="3">
        <f t="shared" ca="1" si="32"/>
        <v>848</v>
      </c>
      <c r="P441" s="3">
        <f t="shared" ca="1" si="33"/>
        <v>2.3232876712328765</v>
      </c>
      <c r="Q441" t="str" cm="1">
        <f t="array" ref="Q441:S441">_xlfn.TEXTSPLIT(J441,"/")</f>
        <v>7</v>
      </c>
      <c r="R441" s="1" t="str">
        <v>14</v>
      </c>
      <c r="S441" t="str">
        <v>2028</v>
      </c>
      <c r="T441" s="1">
        <f t="shared" si="34"/>
        <v>46948</v>
      </c>
      <c r="U441" s="19">
        <f t="shared" si="35"/>
        <v>3.6899999999999977</v>
      </c>
      <c r="V441" s="17">
        <f ca="1">(LN(N441/G441)+(L441/100)^2*P441/2)/(L441/100*SQRT(P441))</f>
        <v>-3.4622892243568975E-3</v>
      </c>
      <c r="W441" s="17">
        <f ca="1">V441-L441/100*SQRT(P441)</f>
        <v>-0.46291655680314608</v>
      </c>
      <c r="X441" s="17">
        <f ca="1">(LN(N441/G441)+P441*(U441/100+(L441/100)^2/2))/((L441/100*SQRT(P441)))</f>
        <v>0.18312715202790406</v>
      </c>
      <c r="Y441" s="17">
        <f ca="1">X441-N441/100*SQRT(R441)</f>
        <v>-0.15302334759986683</v>
      </c>
      <c r="Z441" s="20">
        <f ca="1">EXP(-P441)/(N441*L441/100*SQRT(P441))*_xlfn.NORM.S.DIST(X441,FALSE)</f>
        <v>9.3094680189152821E-3</v>
      </c>
      <c r="AA441" s="17">
        <f t="shared" ca="1" si="36"/>
        <v>5.2620883369575398E-3</v>
      </c>
      <c r="AB441" s="17"/>
      <c r="AC441" s="17"/>
      <c r="AD441" s="17"/>
    </row>
    <row r="442" spans="1:30" x14ac:dyDescent="0.25">
      <c r="A442" t="s">
        <v>106</v>
      </c>
      <c r="B442" t="s">
        <v>107</v>
      </c>
      <c r="C442" t="s">
        <v>108</v>
      </c>
      <c r="D442">
        <v>46760</v>
      </c>
      <c r="E442" t="s">
        <v>107</v>
      </c>
      <c r="F442" t="s">
        <v>110</v>
      </c>
      <c r="G442">
        <v>13</v>
      </c>
      <c r="H442">
        <v>4.5990000000000002</v>
      </c>
      <c r="I442">
        <v>-0.30399999999999999</v>
      </c>
      <c r="J442" t="s">
        <v>85</v>
      </c>
      <c r="K442">
        <v>4172</v>
      </c>
      <c r="L442">
        <v>30.107600000000001</v>
      </c>
      <c r="M442">
        <v>-0.71718999999999999</v>
      </c>
      <c r="N442">
        <f>INDEX(jkm!$H:$H,MATCH(J442,jkm!$J:$J,0),1)</f>
        <v>8.984</v>
      </c>
      <c r="O442" s="3">
        <f t="shared" ca="1" si="32"/>
        <v>848</v>
      </c>
      <c r="P442" s="3">
        <f t="shared" ca="1" si="33"/>
        <v>2.3232876712328765</v>
      </c>
      <c r="Q442" t="str" cm="1">
        <f t="array" ref="Q442:S442">_xlfn.TEXTSPLIT(J442,"/")</f>
        <v>7</v>
      </c>
      <c r="R442" s="1" t="str">
        <v>14</v>
      </c>
      <c r="S442" t="str">
        <v>2028</v>
      </c>
      <c r="T442" s="1">
        <f t="shared" si="34"/>
        <v>46948</v>
      </c>
      <c r="U442" s="19">
        <f t="shared" si="35"/>
        <v>3.6899999999999977</v>
      </c>
      <c r="V442" s="17">
        <f ca="1">(LN(N442/G442)+(L442/100)^2*P442/2)/(L442/100*SQRT(P442))</f>
        <v>-0.57572252886202069</v>
      </c>
      <c r="W442" s="17">
        <f ca="1">V442-L442/100*SQRT(P442)</f>
        <v>-1.0346326450920007</v>
      </c>
      <c r="X442" s="17">
        <f ca="1">(LN(N442/G442)+P442*(U442/100+(L442/100)^2/2))/((L442/100*SQRT(P442)))</f>
        <v>-0.38891183971711107</v>
      </c>
      <c r="Y442" s="17">
        <f ca="1">X442-N442/100*SQRT(R442)</f>
        <v>-0.72506233934488196</v>
      </c>
      <c r="Z442" s="20">
        <f ca="1">EXP(-P442)/(N442*L442/100*SQRT(P442))*_xlfn.NORM.S.DIST(X442,FALSE)</f>
        <v>8.7877487226391254E-3</v>
      </c>
      <c r="AA442" s="17">
        <f t="shared" ca="1" si="36"/>
        <v>4.9613086048445063E-3</v>
      </c>
      <c r="AB442" s="17"/>
      <c r="AC442" s="17"/>
      <c r="AD442" s="17"/>
    </row>
    <row r="443" spans="1:30" x14ac:dyDescent="0.25">
      <c r="A443" t="s">
        <v>106</v>
      </c>
      <c r="B443" t="s">
        <v>107</v>
      </c>
      <c r="C443" t="s">
        <v>108</v>
      </c>
      <c r="D443">
        <v>46760</v>
      </c>
      <c r="E443" t="s">
        <v>107</v>
      </c>
      <c r="F443" t="s">
        <v>110</v>
      </c>
      <c r="G443">
        <v>15</v>
      </c>
      <c r="H443">
        <v>6.3639999999999999</v>
      </c>
      <c r="I443">
        <v>-0.27300000000000002</v>
      </c>
      <c r="J443" t="s">
        <v>85</v>
      </c>
      <c r="K443">
        <v>4172</v>
      </c>
      <c r="L443">
        <v>30.098500000000001</v>
      </c>
      <c r="M443">
        <v>-0.81228999999999996</v>
      </c>
      <c r="N443">
        <f>INDEX(jkm!$H:$H,MATCH(J443,jkm!$J:$J,0),1)</f>
        <v>8.984</v>
      </c>
      <c r="O443" s="3">
        <f t="shared" ca="1" si="32"/>
        <v>848</v>
      </c>
      <c r="P443" s="3">
        <f t="shared" ca="1" si="33"/>
        <v>2.3232876712328765</v>
      </c>
      <c r="Q443" t="str" cm="1">
        <f t="array" ref="Q443:S443">_xlfn.TEXTSPLIT(J443,"/")</f>
        <v>7</v>
      </c>
      <c r="R443" s="1" t="str">
        <v>14</v>
      </c>
      <c r="S443" t="str">
        <v>2028</v>
      </c>
      <c r="T443" s="1">
        <f t="shared" si="34"/>
        <v>46948</v>
      </c>
      <c r="U443" s="19">
        <f t="shared" si="35"/>
        <v>3.6899999999999977</v>
      </c>
      <c r="V443" s="17">
        <f ca="1">(LN(N443/G443)+(L443/100)^2*P443/2)/(L443/100*SQRT(P443))</f>
        <v>-0.8879572051447514</v>
      </c>
      <c r="W443" s="17">
        <f ca="1">V443-L443/100*SQRT(P443)</f>
        <v>-1.3467286161289564</v>
      </c>
      <c r="X443" s="17">
        <f ca="1">(LN(N443/G443)+P443*(U443/100+(L443/100)^2/2))/((L443/100*SQRT(P443)))</f>
        <v>-0.70109003553499416</v>
      </c>
      <c r="Y443" s="17">
        <f ca="1">X443-N443/100*SQRT(R443)</f>
        <v>-1.0372405351627649</v>
      </c>
      <c r="Z443" s="20">
        <f ca="1">EXP(-P443)/(N443*L443/100*SQRT(P443))*_xlfn.NORM.S.DIST(X443,FALSE)</f>
        <v>7.4151369623408391E-3</v>
      </c>
      <c r="AA443" s="17">
        <f t="shared" ca="1" si="36"/>
        <v>4.1851064015989313E-3</v>
      </c>
      <c r="AB443" s="17"/>
      <c r="AC443" s="17"/>
      <c r="AD443" s="17"/>
    </row>
    <row r="444" spans="1:30" x14ac:dyDescent="0.25">
      <c r="A444" t="s">
        <v>106</v>
      </c>
      <c r="B444" t="s">
        <v>107</v>
      </c>
      <c r="C444" t="s">
        <v>108</v>
      </c>
      <c r="D444">
        <v>46761</v>
      </c>
      <c r="E444" t="s">
        <v>107</v>
      </c>
      <c r="F444" t="s">
        <v>109</v>
      </c>
      <c r="G444">
        <v>5</v>
      </c>
      <c r="H444">
        <v>4.1989999999999998</v>
      </c>
      <c r="I444">
        <v>-1.4E-2</v>
      </c>
      <c r="J444" t="s">
        <v>86</v>
      </c>
      <c r="K444">
        <v>4172</v>
      </c>
      <c r="L444">
        <v>30.573</v>
      </c>
      <c r="M444">
        <v>0.93103000000000002</v>
      </c>
      <c r="N444">
        <f>INDEX(jkm!$H:$H,MATCH(J444,jkm!$J:$J,0),1)</f>
        <v>9.0389999999999997</v>
      </c>
      <c r="O444" s="3">
        <f t="shared" ca="1" si="32"/>
        <v>880</v>
      </c>
      <c r="P444" s="3">
        <f t="shared" ca="1" si="33"/>
        <v>2.4109589041095889</v>
      </c>
      <c r="Q444" t="str" cm="1">
        <f t="array" ref="Q444:S444">_xlfn.TEXTSPLIT(J444,"/")</f>
        <v>8</v>
      </c>
      <c r="R444" s="1" t="str">
        <v>15</v>
      </c>
      <c r="S444" t="str">
        <v>2028</v>
      </c>
      <c r="T444" s="1">
        <f t="shared" si="34"/>
        <v>46980</v>
      </c>
      <c r="U444" s="19">
        <f t="shared" si="35"/>
        <v>3.6899999999999977</v>
      </c>
      <c r="V444" s="17">
        <f ca="1">(LN(N444/G444)+(L444/100)^2*P444/2)/(L444/100*SQRT(P444))</f>
        <v>1.484654573809713</v>
      </c>
      <c r="W444" s="17">
        <f ca="1">V444-L444/100*SQRT(P444)</f>
        <v>1.0099395678800558</v>
      </c>
      <c r="X444" s="17">
        <f ca="1">(LN(N444/G444)+P444*(U444/100+(L444/100)^2/2))/((L444/100*SQRT(P444)))</f>
        <v>1.6720604540755379</v>
      </c>
      <c r="Y444" s="17">
        <f ca="1">X444-N444/100*SQRT(R444)</f>
        <v>1.3219814894118496</v>
      </c>
      <c r="Z444" s="20">
        <f ca="1">EXP(-P444)/(N444*L444/100*SQRT(P444))*_xlfn.NORM.S.DIST(X444,FALSE)</f>
        <v>2.0615473762339233E-3</v>
      </c>
      <c r="AA444" s="17">
        <f t="shared" ca="1" si="36"/>
        <v>1.2415435456724919E-3</v>
      </c>
      <c r="AB444" s="17"/>
      <c r="AC444" s="17"/>
      <c r="AD444" s="17"/>
    </row>
    <row r="445" spans="1:30" x14ac:dyDescent="0.25">
      <c r="A445" t="s">
        <v>106</v>
      </c>
      <c r="B445" t="s">
        <v>107</v>
      </c>
      <c r="C445" t="s">
        <v>108</v>
      </c>
      <c r="D445">
        <v>46761</v>
      </c>
      <c r="E445" t="s">
        <v>107</v>
      </c>
      <c r="F445" t="s">
        <v>109</v>
      </c>
      <c r="G445">
        <v>7</v>
      </c>
      <c r="H445">
        <v>2.7250000000000001</v>
      </c>
      <c r="J445" t="s">
        <v>86</v>
      </c>
      <c r="K445">
        <v>4172</v>
      </c>
      <c r="L445">
        <v>30.3706</v>
      </c>
      <c r="M445">
        <v>0.78158000000000005</v>
      </c>
      <c r="N445">
        <f>INDEX(jkm!$H:$H,MATCH(J445,jkm!$J:$J,0),1)</f>
        <v>9.0389999999999997</v>
      </c>
      <c r="O445" s="3">
        <f t="shared" ca="1" si="32"/>
        <v>880</v>
      </c>
      <c r="P445" s="3">
        <f t="shared" ca="1" si="33"/>
        <v>2.4109589041095889</v>
      </c>
      <c r="Q445" t="str" cm="1">
        <f t="array" ref="Q445:S445">_xlfn.TEXTSPLIT(J445,"/")</f>
        <v>8</v>
      </c>
      <c r="R445" s="1" t="str">
        <v>15</v>
      </c>
      <c r="S445" t="str">
        <v>2028</v>
      </c>
      <c r="T445" s="1">
        <f t="shared" si="34"/>
        <v>46980</v>
      </c>
      <c r="U445" s="19">
        <f t="shared" si="35"/>
        <v>3.6899999999999977</v>
      </c>
      <c r="V445" s="17">
        <f ca="1">(LN(N445/G445)+(L445/100)^2*P445/2)/(L445/100*SQRT(P445))</f>
        <v>0.77788415587546633</v>
      </c>
      <c r="W445" s="17">
        <f ca="1">V445-L445/100*SQRT(P445)</f>
        <v>0.30631186793881476</v>
      </c>
      <c r="X445" s="17">
        <f ca="1">(LN(N445/G445)+P445*(U445/100+(L445/100)^2/2))/((L445/100*SQRT(P445)))</f>
        <v>0.96653897261820665</v>
      </c>
      <c r="Y445" s="17">
        <f ca="1">X445-N445/100*SQRT(R445)</f>
        <v>0.61646000795451816</v>
      </c>
      <c r="Z445" s="20">
        <f ca="1">EXP(-P445)/(N445*L445/100*SQRT(P445))*_xlfn.NORM.S.DIST(X445,FALSE)</f>
        <v>5.264011474879096E-3</v>
      </c>
      <c r="AA445" s="17">
        <f t="shared" ca="1" si="36"/>
        <v>3.1492038934145287E-3</v>
      </c>
      <c r="AB445" s="17"/>
      <c r="AC445" s="17"/>
      <c r="AD445" s="17"/>
    </row>
    <row r="446" spans="1:30" x14ac:dyDescent="0.25">
      <c r="A446" t="s">
        <v>106</v>
      </c>
      <c r="B446" t="s">
        <v>107</v>
      </c>
      <c r="C446" t="s">
        <v>108</v>
      </c>
      <c r="D446">
        <v>46761</v>
      </c>
      <c r="E446" t="s">
        <v>107</v>
      </c>
      <c r="F446" t="s">
        <v>109</v>
      </c>
      <c r="G446">
        <v>7.6</v>
      </c>
      <c r="H446">
        <v>2.37</v>
      </c>
      <c r="I446">
        <v>-0.16300000000000001</v>
      </c>
      <c r="J446" t="s">
        <v>86</v>
      </c>
      <c r="K446">
        <v>4172</v>
      </c>
      <c r="L446">
        <v>30.301100000000002</v>
      </c>
      <c r="M446">
        <v>0.72696000000000005</v>
      </c>
      <c r="N446">
        <f>INDEX(jkm!$H:$H,MATCH(J446,jkm!$J:$J,0),1)</f>
        <v>9.0389999999999997</v>
      </c>
      <c r="O446" s="3">
        <f t="shared" ca="1" si="32"/>
        <v>880</v>
      </c>
      <c r="P446" s="3">
        <f t="shared" ca="1" si="33"/>
        <v>2.4109589041095889</v>
      </c>
      <c r="Q446" t="str" cm="1">
        <f t="array" ref="Q446:S446">_xlfn.TEXTSPLIT(J446,"/")</f>
        <v>8</v>
      </c>
      <c r="R446" s="1" t="str">
        <v>15</v>
      </c>
      <c r="S446" t="str">
        <v>2028</v>
      </c>
      <c r="T446" s="1">
        <f t="shared" si="34"/>
        <v>46980</v>
      </c>
      <c r="U446" s="19">
        <f t="shared" si="35"/>
        <v>3.6899999999999977</v>
      </c>
      <c r="V446" s="17">
        <f ca="1">(LN(N446/G446)+(L446/100)^2*P446/2)/(L446/100*SQRT(P446))</f>
        <v>0.60379668552612076</v>
      </c>
      <c r="W446" s="17">
        <f ca="1">V446-L446/100*SQRT(P446)</f>
        <v>0.13330354235485398</v>
      </c>
      <c r="X446" s="17">
        <f ca="1">(LN(N446/G446)+P446*(U446/100+(L446/100)^2/2))/((L446/100*SQRT(P446)))</f>
        <v>0.792884209654521</v>
      </c>
      <c r="Y446" s="17">
        <f ca="1">X446-N446/100*SQRT(R446)</f>
        <v>0.44280524499083257</v>
      </c>
      <c r="Z446" s="20">
        <f ca="1">EXP(-P446)/(N446*L446/100*SQRT(P446))*_xlfn.NORM.S.DIST(X446,FALSE)</f>
        <v>6.1469160542120191E-3</v>
      </c>
      <c r="AA446" s="17">
        <f t="shared" ca="1" si="36"/>
        <v>3.6689877129360317E-3</v>
      </c>
      <c r="AB446" s="17"/>
      <c r="AC446" s="17"/>
      <c r="AD446" s="17"/>
    </row>
    <row r="447" spans="1:30" x14ac:dyDescent="0.25">
      <c r="A447" t="s">
        <v>106</v>
      </c>
      <c r="B447" t="s">
        <v>107</v>
      </c>
      <c r="C447" t="s">
        <v>108</v>
      </c>
      <c r="D447">
        <v>46761</v>
      </c>
      <c r="E447" t="s">
        <v>107</v>
      </c>
      <c r="F447" t="s">
        <v>109</v>
      </c>
      <c r="G447">
        <v>8</v>
      </c>
      <c r="H447">
        <v>2.1549999999999998</v>
      </c>
      <c r="I447">
        <v>-0.17899999999999999</v>
      </c>
      <c r="J447" t="s">
        <v>86</v>
      </c>
      <c r="K447">
        <v>4172</v>
      </c>
      <c r="L447">
        <v>30.255700000000001</v>
      </c>
      <c r="M447">
        <v>0.68962000000000001</v>
      </c>
      <c r="N447">
        <f>INDEX(jkm!$H:$H,MATCH(J447,jkm!$J:$J,0),1)</f>
        <v>9.0389999999999997</v>
      </c>
      <c r="O447" s="3">
        <f t="shared" ca="1" si="32"/>
        <v>880</v>
      </c>
      <c r="P447" s="3">
        <f t="shared" ca="1" si="33"/>
        <v>2.4109589041095889</v>
      </c>
      <c r="Q447" t="str" cm="1">
        <f t="array" ref="Q447:S447">_xlfn.TEXTSPLIT(J447,"/")</f>
        <v>8</v>
      </c>
      <c r="R447" s="1" t="str">
        <v>15</v>
      </c>
      <c r="S447" t="str">
        <v>2028</v>
      </c>
      <c r="T447" s="1">
        <f t="shared" si="34"/>
        <v>46980</v>
      </c>
      <c r="U447" s="19">
        <f t="shared" si="35"/>
        <v>3.6899999999999977</v>
      </c>
      <c r="V447" s="17">
        <f ca="1">(LN(N447/G447)+(L447/100)^2*P447/2)/(L447/100*SQRT(P447))</f>
        <v>0.4948133721322292</v>
      </c>
      <c r="W447" s="17">
        <f ca="1">V447-L447/100*SQRT(P447)</f>
        <v>2.5025166692595135E-2</v>
      </c>
      <c r="X447" s="17">
        <f ca="1">(LN(N447/G447)+P447*(U447/100+(L447/100)^2/2))/((L447/100*SQRT(P447)))</f>
        <v>0.68418463035355848</v>
      </c>
      <c r="Y447" s="17">
        <f ca="1">X447-N447/100*SQRT(R447)</f>
        <v>0.33410566568987005</v>
      </c>
      <c r="Z447" s="20">
        <f ca="1">EXP(-P447)/(N447*L447/100*SQRT(P447))*_xlfn.NORM.S.DIST(X447,FALSE)</f>
        <v>6.6707233425770118E-3</v>
      </c>
      <c r="AA447" s="17">
        <f t="shared" ca="1" si="36"/>
        <v>3.9756735378431388E-3</v>
      </c>
      <c r="AB447" s="17"/>
      <c r="AC447" s="17"/>
      <c r="AD447" s="17"/>
    </row>
    <row r="448" spans="1:30" x14ac:dyDescent="0.25">
      <c r="A448" t="s">
        <v>106</v>
      </c>
      <c r="B448" t="s">
        <v>107</v>
      </c>
      <c r="C448" t="s">
        <v>108</v>
      </c>
      <c r="D448">
        <v>46761</v>
      </c>
      <c r="E448" t="s">
        <v>107</v>
      </c>
      <c r="F448" t="s">
        <v>109</v>
      </c>
      <c r="G448">
        <v>10</v>
      </c>
      <c r="H448">
        <v>1.321</v>
      </c>
      <c r="I448">
        <v>-0.22600000000000001</v>
      </c>
      <c r="J448" t="s">
        <v>86</v>
      </c>
      <c r="K448">
        <v>4172</v>
      </c>
      <c r="L448">
        <v>30.113399999999999</v>
      </c>
      <c r="M448">
        <v>0.50727</v>
      </c>
      <c r="N448">
        <f>INDEX(jkm!$H:$H,MATCH(J448,jkm!$J:$J,0),1)</f>
        <v>9.0389999999999997</v>
      </c>
      <c r="O448" s="3">
        <f t="shared" ca="1" si="32"/>
        <v>880</v>
      </c>
      <c r="P448" s="3">
        <f t="shared" ca="1" si="33"/>
        <v>2.4109589041095889</v>
      </c>
      <c r="Q448" t="str" cm="1">
        <f t="array" ref="Q448:S448">_xlfn.TEXTSPLIT(J448,"/")</f>
        <v>8</v>
      </c>
      <c r="R448" s="1" t="str">
        <v>15</v>
      </c>
      <c r="S448" t="str">
        <v>2028</v>
      </c>
      <c r="T448" s="1">
        <f t="shared" si="34"/>
        <v>46980</v>
      </c>
      <c r="U448" s="19">
        <f t="shared" si="35"/>
        <v>3.6899999999999977</v>
      </c>
      <c r="V448" s="17">
        <f ca="1">(LN(N448/G448)+(L448/100)^2*P448/2)/(L448/100*SQRT(P448))</f>
        <v>1.7704752902174988E-2</v>
      </c>
      <c r="W448" s="17">
        <f ca="1">V448-L448/100*SQRT(P448)</f>
        <v>-0.44987392303941209</v>
      </c>
      <c r="X448" s="17">
        <f ca="1">(LN(N448/G448)+P448*(U448/100+(L448/100)^2/2))/((L448/100*SQRT(P448)))</f>
        <v>0.20797087952245263</v>
      </c>
      <c r="Y448" s="17">
        <f ca="1">X448-N448/100*SQRT(R448)</f>
        <v>-0.1421080851412358</v>
      </c>
      <c r="Z448" s="20">
        <f ca="1">EXP(-P448)/(N448*L448/100*SQRT(P448))*_xlfn.NORM.S.DIST(X448,FALSE)</f>
        <v>8.2885165043487027E-3</v>
      </c>
      <c r="AA448" s="17">
        <f t="shared" ca="1" si="36"/>
        <v>4.9166260746304254E-3</v>
      </c>
      <c r="AB448" s="17"/>
      <c r="AC448" s="17"/>
      <c r="AD448" s="17"/>
    </row>
    <row r="449" spans="1:30" x14ac:dyDescent="0.25">
      <c r="A449" t="s">
        <v>106</v>
      </c>
      <c r="B449" t="s">
        <v>107</v>
      </c>
      <c r="C449" t="s">
        <v>108</v>
      </c>
      <c r="D449">
        <v>46761</v>
      </c>
      <c r="E449" t="s">
        <v>107</v>
      </c>
      <c r="F449" t="s">
        <v>109</v>
      </c>
      <c r="G449">
        <v>13</v>
      </c>
      <c r="H449">
        <v>0.624</v>
      </c>
      <c r="I449">
        <v>-0.216</v>
      </c>
      <c r="J449" t="s">
        <v>86</v>
      </c>
      <c r="K449">
        <v>4172</v>
      </c>
      <c r="L449">
        <v>30.077000000000002</v>
      </c>
      <c r="M449">
        <v>0.29339999999999999</v>
      </c>
      <c r="N449">
        <f>INDEX(jkm!$H:$H,MATCH(J449,jkm!$J:$J,0),1)</f>
        <v>9.0389999999999997</v>
      </c>
      <c r="O449" s="3">
        <f t="shared" ca="1" si="32"/>
        <v>880</v>
      </c>
      <c r="P449" s="3">
        <f t="shared" ca="1" si="33"/>
        <v>2.4109589041095889</v>
      </c>
      <c r="Q449" t="str" cm="1">
        <f t="array" ref="Q449:S449">_xlfn.TEXTSPLIT(J449,"/")</f>
        <v>8</v>
      </c>
      <c r="R449" s="1" t="str">
        <v>15</v>
      </c>
      <c r="S449" t="str">
        <v>2028</v>
      </c>
      <c r="T449" s="1">
        <f t="shared" si="34"/>
        <v>46980</v>
      </c>
      <c r="U449" s="19">
        <f t="shared" si="35"/>
        <v>3.6899999999999977</v>
      </c>
      <c r="V449" s="17">
        <f ca="1">(LN(N449/G449)+(L449/100)^2*P449/2)/(L449/100*SQRT(P449))</f>
        <v>-0.54463098105330854</v>
      </c>
      <c r="W449" s="17">
        <f ca="1">V449-L449/100*SQRT(P449)</f>
        <v>-1.0116444646285645</v>
      </c>
      <c r="X449" s="17">
        <f ca="1">(LN(N449/G449)+P449*(U449/100+(L449/100)^2/2))/((L449/100*SQRT(P449)))</f>
        <v>-0.35413458921346186</v>
      </c>
      <c r="Y449" s="17">
        <f ca="1">X449-N449/100*SQRT(R449)</f>
        <v>-0.70421355387715034</v>
      </c>
      <c r="Z449" s="20">
        <f ca="1">EXP(-P449)/(N449*L449/100*SQRT(P449))*_xlfn.NORM.S.DIST(X449,FALSE)</f>
        <v>7.9645527366195151E-3</v>
      </c>
      <c r="AA449" s="17">
        <f t="shared" ca="1" si="36"/>
        <v>4.718744780060514E-3</v>
      </c>
      <c r="AB449" s="17"/>
      <c r="AC449" s="17"/>
      <c r="AD449" s="17"/>
    </row>
    <row r="450" spans="1:30" x14ac:dyDescent="0.25">
      <c r="A450" t="s">
        <v>106</v>
      </c>
      <c r="B450" t="s">
        <v>107</v>
      </c>
      <c r="C450" t="s">
        <v>108</v>
      </c>
      <c r="D450">
        <v>46761</v>
      </c>
      <c r="E450" t="s">
        <v>107</v>
      </c>
      <c r="F450" t="s">
        <v>109</v>
      </c>
      <c r="G450">
        <v>15</v>
      </c>
      <c r="H450">
        <v>0.379</v>
      </c>
      <c r="I450">
        <v>-0.185</v>
      </c>
      <c r="J450" t="s">
        <v>86</v>
      </c>
      <c r="K450">
        <v>4172</v>
      </c>
      <c r="L450">
        <v>30.067299999999999</v>
      </c>
      <c r="M450">
        <v>0.19767000000000001</v>
      </c>
      <c r="N450">
        <f>INDEX(jkm!$H:$H,MATCH(J450,jkm!$J:$J,0),1)</f>
        <v>9.0389999999999997</v>
      </c>
      <c r="O450" s="3">
        <f t="shared" ref="O450:O511" ca="1" si="37">T450-TODAY()</f>
        <v>880</v>
      </c>
      <c r="P450" s="3">
        <f t="shared" ca="1" si="33"/>
        <v>2.4109589041095889</v>
      </c>
      <c r="Q450" t="str" cm="1">
        <f t="array" ref="Q450:S450">_xlfn.TEXTSPLIT(J450,"/")</f>
        <v>8</v>
      </c>
      <c r="R450" s="1" t="str">
        <v>15</v>
      </c>
      <c r="S450" t="str">
        <v>2028</v>
      </c>
      <c r="T450" s="1">
        <f t="shared" si="34"/>
        <v>46980</v>
      </c>
      <c r="U450" s="19">
        <f t="shared" si="35"/>
        <v>3.6899999999999977</v>
      </c>
      <c r="V450" s="17">
        <f ca="1">(LN(N450/G450)+(L450/100)^2*P450/2)/(L450/100*SQRT(P450))</f>
        <v>-0.85147311831815042</v>
      </c>
      <c r="W450" s="17">
        <f ca="1">V450-L450/100*SQRT(P450)</f>
        <v>-1.3183359874441369</v>
      </c>
      <c r="X450" s="17">
        <f ca="1">(LN(N450/G450)+P450*(U450/100+(L450/100)^2/2))/((L450/100*SQRT(P450)))</f>
        <v>-0.66091527051116183</v>
      </c>
      <c r="Y450" s="17">
        <f ca="1">X450-N450/100*SQRT(R450)</f>
        <v>-1.0109942351748502</v>
      </c>
      <c r="Z450" s="20">
        <f ca="1">EXP(-P450)/(N450*L450/100*SQRT(P450))*_xlfn.NORM.S.DIST(X450,FALSE)</f>
        <v>6.8183976939579826E-3</v>
      </c>
      <c r="AA450" s="17">
        <f t="shared" ca="1" si="36"/>
        <v>4.0383814642663603E-3</v>
      </c>
      <c r="AB450" s="17"/>
      <c r="AC450" s="17"/>
      <c r="AD450" s="17"/>
    </row>
    <row r="451" spans="1:30" x14ac:dyDescent="0.25">
      <c r="A451" t="s">
        <v>106</v>
      </c>
      <c r="B451" t="s">
        <v>107</v>
      </c>
      <c r="C451" t="s">
        <v>108</v>
      </c>
      <c r="D451">
        <v>46761</v>
      </c>
      <c r="E451" t="s">
        <v>107</v>
      </c>
      <c r="F451" t="s">
        <v>110</v>
      </c>
      <c r="G451">
        <v>5</v>
      </c>
      <c r="H451">
        <v>0.16</v>
      </c>
      <c r="I451">
        <v>-0.111</v>
      </c>
      <c r="J451" t="s">
        <v>86</v>
      </c>
      <c r="K451">
        <v>4172</v>
      </c>
      <c r="L451">
        <v>30.573</v>
      </c>
      <c r="M451">
        <v>-6.8970000000000004E-2</v>
      </c>
      <c r="N451">
        <f>INDEX(jkm!$H:$H,MATCH(J451,jkm!$J:$J,0),1)</f>
        <v>9.0389999999999997</v>
      </c>
      <c r="O451" s="3">
        <f t="shared" ca="1" si="37"/>
        <v>880</v>
      </c>
      <c r="P451" s="3">
        <f t="shared" ref="P451:P511" ca="1" si="38">O451/365</f>
        <v>2.4109589041095889</v>
      </c>
      <c r="Q451" t="str" cm="1">
        <f t="array" ref="Q451:S451">_xlfn.TEXTSPLIT(J451,"/")</f>
        <v>8</v>
      </c>
      <c r="R451" s="1" t="str">
        <v>15</v>
      </c>
      <c r="S451" t="str">
        <v>2028</v>
      </c>
      <c r="T451" s="1">
        <f t="shared" ref="T451:T511" si="39">DATE(S451,Q451,R451)</f>
        <v>46980</v>
      </c>
      <c r="U451" s="19">
        <f t="shared" si="35"/>
        <v>3.6899999999999977</v>
      </c>
      <c r="V451" s="17">
        <f ca="1">(LN(N451/G451)+(L451/100)^2*P451/2)/(L451/100*SQRT(P451))</f>
        <v>1.484654573809713</v>
      </c>
      <c r="W451" s="17">
        <f ca="1">V451-L451/100*SQRT(P451)</f>
        <v>1.0099395678800558</v>
      </c>
      <c r="X451" s="17">
        <f ca="1">(LN(N451/G451)+P451*(U451/100+(L451/100)^2/2))/((L451/100*SQRT(P451)))</f>
        <v>1.6720604540755379</v>
      </c>
      <c r="Y451" s="17">
        <f ca="1">X451-N451/100*SQRT(R451)</f>
        <v>1.3219814894118496</v>
      </c>
      <c r="Z451" s="20">
        <f ca="1">EXP(-P451)/(N451*L451/100*SQRT(P451))*_xlfn.NORM.S.DIST(X451,FALSE)</f>
        <v>2.0615473762339233E-3</v>
      </c>
      <c r="AA451" s="17">
        <f t="shared" ca="1" si="36"/>
        <v>1.2415435456724919E-3</v>
      </c>
      <c r="AB451" s="17"/>
      <c r="AC451" s="17"/>
      <c r="AD451" s="17"/>
    </row>
    <row r="452" spans="1:30" x14ac:dyDescent="0.25">
      <c r="A452" t="s">
        <v>106</v>
      </c>
      <c r="B452" t="s">
        <v>107</v>
      </c>
      <c r="C452" t="s">
        <v>108</v>
      </c>
      <c r="D452">
        <v>46761</v>
      </c>
      <c r="E452" t="s">
        <v>107</v>
      </c>
      <c r="F452" t="s">
        <v>110</v>
      </c>
      <c r="G452">
        <v>7</v>
      </c>
      <c r="H452">
        <v>0.68600000000000005</v>
      </c>
      <c r="J452" t="s">
        <v>86</v>
      </c>
      <c r="K452">
        <v>4172</v>
      </c>
      <c r="L452">
        <v>30.3706</v>
      </c>
      <c r="M452">
        <v>-0.21842</v>
      </c>
      <c r="N452">
        <f>INDEX(jkm!$H:$H,MATCH(J452,jkm!$J:$J,0),1)</f>
        <v>9.0389999999999997</v>
      </c>
      <c r="O452" s="3">
        <f t="shared" ca="1" si="37"/>
        <v>880</v>
      </c>
      <c r="P452" s="3">
        <f t="shared" ca="1" si="38"/>
        <v>2.4109589041095889</v>
      </c>
      <c r="Q452" t="str" cm="1">
        <f t="array" ref="Q452:S452">_xlfn.TEXTSPLIT(J452,"/")</f>
        <v>8</v>
      </c>
      <c r="R452" s="1" t="str">
        <v>15</v>
      </c>
      <c r="S452" t="str">
        <v>2028</v>
      </c>
      <c r="T452" s="1">
        <f t="shared" si="39"/>
        <v>46980</v>
      </c>
      <c r="U452" s="19">
        <f t="shared" ref="U452:U511" si="40">U451</f>
        <v>3.6899999999999977</v>
      </c>
      <c r="V452" s="17">
        <f ca="1">(LN(N452/G452)+(L452/100)^2*P452/2)/(L452/100*SQRT(P452))</f>
        <v>0.77788415587546633</v>
      </c>
      <c r="W452" s="17">
        <f ca="1">V452-L452/100*SQRT(P452)</f>
        <v>0.30631186793881476</v>
      </c>
      <c r="X452" s="17">
        <f ca="1">(LN(N452/G452)+P452*(U452/100+(L452/100)^2/2))/((L452/100*SQRT(P452)))</f>
        <v>0.96653897261820665</v>
      </c>
      <c r="Y452" s="17">
        <f ca="1">X452-N452/100*SQRT(R452)</f>
        <v>0.61646000795451816</v>
      </c>
      <c r="Z452" s="20">
        <f ca="1">EXP(-P452)/(N452*L452/100*SQRT(P452))*_xlfn.NORM.S.DIST(X452,FALSE)</f>
        <v>5.264011474879096E-3</v>
      </c>
      <c r="AA452" s="17">
        <f t="shared" ca="1" si="36"/>
        <v>3.1492038934145287E-3</v>
      </c>
      <c r="AB452" s="17"/>
      <c r="AC452" s="17"/>
      <c r="AD452" s="17"/>
    </row>
    <row r="453" spans="1:30" x14ac:dyDescent="0.25">
      <c r="A453" t="s">
        <v>106</v>
      </c>
      <c r="B453" t="s">
        <v>107</v>
      </c>
      <c r="C453" t="s">
        <v>108</v>
      </c>
      <c r="D453">
        <v>46761</v>
      </c>
      <c r="E453" t="s">
        <v>107</v>
      </c>
      <c r="F453" t="s">
        <v>110</v>
      </c>
      <c r="G453">
        <v>7.6</v>
      </c>
      <c r="H453">
        <v>0.93100000000000005</v>
      </c>
      <c r="I453">
        <v>-0.26</v>
      </c>
      <c r="J453" t="s">
        <v>86</v>
      </c>
      <c r="K453">
        <v>4172</v>
      </c>
      <c r="L453">
        <v>30.301100000000002</v>
      </c>
      <c r="M453">
        <v>-0.27304</v>
      </c>
      <c r="N453">
        <f>INDEX(jkm!$H:$H,MATCH(J453,jkm!$J:$J,0),1)</f>
        <v>9.0389999999999997</v>
      </c>
      <c r="O453" s="3">
        <f t="shared" ca="1" si="37"/>
        <v>880</v>
      </c>
      <c r="P453" s="3">
        <f t="shared" ca="1" si="38"/>
        <v>2.4109589041095889</v>
      </c>
      <c r="Q453" t="str" cm="1">
        <f t="array" ref="Q453:S453">_xlfn.TEXTSPLIT(J453,"/")</f>
        <v>8</v>
      </c>
      <c r="R453" s="1" t="str">
        <v>15</v>
      </c>
      <c r="S453" t="str">
        <v>2028</v>
      </c>
      <c r="T453" s="1">
        <f t="shared" si="39"/>
        <v>46980</v>
      </c>
      <c r="U453" s="19">
        <f t="shared" si="40"/>
        <v>3.6899999999999977</v>
      </c>
      <c r="V453" s="17">
        <f ca="1">(LN(N453/G453)+(L453/100)^2*P453/2)/(L453/100*SQRT(P453))</f>
        <v>0.60379668552612076</v>
      </c>
      <c r="W453" s="17">
        <f ca="1">V453-L453/100*SQRT(P453)</f>
        <v>0.13330354235485398</v>
      </c>
      <c r="X453" s="17">
        <f ca="1">(LN(N453/G453)+P453*(U453/100+(L453/100)^2/2))/((L453/100*SQRT(P453)))</f>
        <v>0.792884209654521</v>
      </c>
      <c r="Y453" s="17">
        <f ca="1">X453-N453/100*SQRT(R453)</f>
        <v>0.44280524499083257</v>
      </c>
      <c r="Z453" s="20">
        <f ca="1">EXP(-P453)/(N453*L453/100*SQRT(P453))*_xlfn.NORM.S.DIST(X453,FALSE)</f>
        <v>6.1469160542120191E-3</v>
      </c>
      <c r="AA453" s="17">
        <f t="shared" ca="1" si="36"/>
        <v>3.6689877129360317E-3</v>
      </c>
      <c r="AB453" s="17"/>
      <c r="AC453" s="17"/>
      <c r="AD453" s="17"/>
    </row>
    <row r="454" spans="1:30" x14ac:dyDescent="0.25">
      <c r="A454" t="s">
        <v>106</v>
      </c>
      <c r="B454" t="s">
        <v>107</v>
      </c>
      <c r="C454" t="s">
        <v>108</v>
      </c>
      <c r="D454">
        <v>46761</v>
      </c>
      <c r="E454" t="s">
        <v>107</v>
      </c>
      <c r="F454" t="s">
        <v>110</v>
      </c>
      <c r="G454">
        <v>8</v>
      </c>
      <c r="H454">
        <v>1.1160000000000001</v>
      </c>
      <c r="I454">
        <v>-0.27600000000000002</v>
      </c>
      <c r="J454" t="s">
        <v>86</v>
      </c>
      <c r="K454">
        <v>4172</v>
      </c>
      <c r="L454">
        <v>30.255700000000001</v>
      </c>
      <c r="M454">
        <v>-0.31037999999999999</v>
      </c>
      <c r="N454">
        <f>INDEX(jkm!$H:$H,MATCH(J454,jkm!$J:$J,0),1)</f>
        <v>9.0389999999999997</v>
      </c>
      <c r="O454" s="3">
        <f t="shared" ca="1" si="37"/>
        <v>880</v>
      </c>
      <c r="P454" s="3">
        <f t="shared" ca="1" si="38"/>
        <v>2.4109589041095889</v>
      </c>
      <c r="Q454" t="str" cm="1">
        <f t="array" ref="Q454:S454">_xlfn.TEXTSPLIT(J454,"/")</f>
        <v>8</v>
      </c>
      <c r="R454" s="1" t="str">
        <v>15</v>
      </c>
      <c r="S454" t="str">
        <v>2028</v>
      </c>
      <c r="T454" s="1">
        <f t="shared" si="39"/>
        <v>46980</v>
      </c>
      <c r="U454" s="19">
        <f t="shared" si="40"/>
        <v>3.6899999999999977</v>
      </c>
      <c r="V454" s="17">
        <f ca="1">(LN(N454/G454)+(L454/100)^2*P454/2)/(L454/100*SQRT(P454))</f>
        <v>0.4948133721322292</v>
      </c>
      <c r="W454" s="17">
        <f ca="1">V454-L454/100*SQRT(P454)</f>
        <v>2.5025166692595135E-2</v>
      </c>
      <c r="X454" s="17">
        <f ca="1">(LN(N454/G454)+P454*(U454/100+(L454/100)^2/2))/((L454/100*SQRT(P454)))</f>
        <v>0.68418463035355848</v>
      </c>
      <c r="Y454" s="17">
        <f ca="1">X454-N454/100*SQRT(R454)</f>
        <v>0.33410566568987005</v>
      </c>
      <c r="Z454" s="20">
        <f ca="1">EXP(-P454)/(N454*L454/100*SQRT(P454))*_xlfn.NORM.S.DIST(X454,FALSE)</f>
        <v>6.6707233425770118E-3</v>
      </c>
      <c r="AA454" s="17">
        <f t="shared" ca="1" si="36"/>
        <v>3.9756735378431388E-3</v>
      </c>
      <c r="AB454" s="17"/>
      <c r="AC454" s="17"/>
      <c r="AD454" s="17"/>
    </row>
    <row r="455" spans="1:30" x14ac:dyDescent="0.25">
      <c r="A455" t="s">
        <v>106</v>
      </c>
      <c r="B455" t="s">
        <v>107</v>
      </c>
      <c r="C455" t="s">
        <v>108</v>
      </c>
      <c r="D455">
        <v>46761</v>
      </c>
      <c r="E455" t="s">
        <v>107</v>
      </c>
      <c r="F455" t="s">
        <v>110</v>
      </c>
      <c r="G455">
        <v>10</v>
      </c>
      <c r="H455">
        <v>2.282</v>
      </c>
      <c r="I455">
        <v>-0.32300000000000001</v>
      </c>
      <c r="J455" t="s">
        <v>86</v>
      </c>
      <c r="K455">
        <v>4172</v>
      </c>
      <c r="L455">
        <v>30.113399999999999</v>
      </c>
      <c r="M455">
        <v>-0.49273</v>
      </c>
      <c r="N455">
        <f>INDEX(jkm!$H:$H,MATCH(J455,jkm!$J:$J,0),1)</f>
        <v>9.0389999999999997</v>
      </c>
      <c r="O455" s="3">
        <f t="shared" ca="1" si="37"/>
        <v>880</v>
      </c>
      <c r="P455" s="3">
        <f t="shared" ca="1" si="38"/>
        <v>2.4109589041095889</v>
      </c>
      <c r="Q455" t="str" cm="1">
        <f t="array" ref="Q455:S455">_xlfn.TEXTSPLIT(J455,"/")</f>
        <v>8</v>
      </c>
      <c r="R455" s="1" t="str">
        <v>15</v>
      </c>
      <c r="S455" t="str">
        <v>2028</v>
      </c>
      <c r="T455" s="1">
        <f t="shared" si="39"/>
        <v>46980</v>
      </c>
      <c r="U455" s="19">
        <f t="shared" si="40"/>
        <v>3.6899999999999977</v>
      </c>
      <c r="V455" s="17">
        <f ca="1">(LN(N455/G455)+(L455/100)^2*P455/2)/(L455/100*SQRT(P455))</f>
        <v>1.7704752902174988E-2</v>
      </c>
      <c r="W455" s="17">
        <f ca="1">V455-L455/100*SQRT(P455)</f>
        <v>-0.44987392303941209</v>
      </c>
      <c r="X455" s="17">
        <f ca="1">(LN(N455/G455)+P455*(U455/100+(L455/100)^2/2))/((L455/100*SQRT(P455)))</f>
        <v>0.20797087952245263</v>
      </c>
      <c r="Y455" s="17">
        <f ca="1">X455-N455/100*SQRT(R455)</f>
        <v>-0.1421080851412358</v>
      </c>
      <c r="Z455" s="20">
        <f ca="1">EXP(-P455)/(N455*L455/100*SQRT(P455))*_xlfn.NORM.S.DIST(X455,FALSE)</f>
        <v>8.2885165043487027E-3</v>
      </c>
      <c r="AA455" s="17">
        <f t="shared" ca="1" si="36"/>
        <v>4.9166260746304254E-3</v>
      </c>
      <c r="AB455" s="17"/>
      <c r="AC455" s="17"/>
      <c r="AD455" s="17"/>
    </row>
    <row r="456" spans="1:30" x14ac:dyDescent="0.25">
      <c r="A456" t="s">
        <v>106</v>
      </c>
      <c r="B456" t="s">
        <v>107</v>
      </c>
      <c r="C456" t="s">
        <v>108</v>
      </c>
      <c r="D456">
        <v>46761</v>
      </c>
      <c r="E456" t="s">
        <v>107</v>
      </c>
      <c r="F456" t="s">
        <v>110</v>
      </c>
      <c r="G456">
        <v>13</v>
      </c>
      <c r="H456">
        <v>4.585</v>
      </c>
      <c r="I456">
        <v>-0.313</v>
      </c>
      <c r="J456" t="s">
        <v>86</v>
      </c>
      <c r="K456">
        <v>4172</v>
      </c>
      <c r="L456">
        <v>30.077000000000002</v>
      </c>
      <c r="M456">
        <v>-0.70660000000000001</v>
      </c>
      <c r="N456">
        <f>INDEX(jkm!$H:$H,MATCH(J456,jkm!$J:$J,0),1)</f>
        <v>9.0389999999999997</v>
      </c>
      <c r="O456" s="3">
        <f t="shared" ca="1" si="37"/>
        <v>880</v>
      </c>
      <c r="P456" s="3">
        <f t="shared" ca="1" si="38"/>
        <v>2.4109589041095889</v>
      </c>
      <c r="Q456" t="str" cm="1">
        <f t="array" ref="Q456:S456">_xlfn.TEXTSPLIT(J456,"/")</f>
        <v>8</v>
      </c>
      <c r="R456" s="1" t="str">
        <v>15</v>
      </c>
      <c r="S456" t="str">
        <v>2028</v>
      </c>
      <c r="T456" s="1">
        <f t="shared" si="39"/>
        <v>46980</v>
      </c>
      <c r="U456" s="19">
        <f t="shared" si="40"/>
        <v>3.6899999999999977</v>
      </c>
      <c r="V456" s="17">
        <f ca="1">(LN(N456/G456)+(L456/100)^2*P456/2)/(L456/100*SQRT(P456))</f>
        <v>-0.54463098105330854</v>
      </c>
      <c r="W456" s="17">
        <f ca="1">V456-L456/100*SQRT(P456)</f>
        <v>-1.0116444646285645</v>
      </c>
      <c r="X456" s="17">
        <f ca="1">(LN(N456/G456)+P456*(U456/100+(L456/100)^2/2))/((L456/100*SQRT(P456)))</f>
        <v>-0.35413458921346186</v>
      </c>
      <c r="Y456" s="17">
        <f ca="1">X456-N456/100*SQRT(R456)</f>
        <v>-0.70421355387715034</v>
      </c>
      <c r="Z456" s="20">
        <f ca="1">EXP(-P456)/(N456*L456/100*SQRT(P456))*_xlfn.NORM.S.DIST(X456,FALSE)</f>
        <v>7.9645527366195151E-3</v>
      </c>
      <c r="AA456" s="17">
        <f t="shared" ca="1" si="36"/>
        <v>4.718744780060514E-3</v>
      </c>
      <c r="AB456" s="17"/>
      <c r="AC456" s="17"/>
      <c r="AD456" s="17"/>
    </row>
    <row r="457" spans="1:30" x14ac:dyDescent="0.25">
      <c r="A457" t="s">
        <v>106</v>
      </c>
      <c r="B457" t="s">
        <v>107</v>
      </c>
      <c r="C457" t="s">
        <v>108</v>
      </c>
      <c r="D457">
        <v>46761</v>
      </c>
      <c r="E457" t="s">
        <v>107</v>
      </c>
      <c r="F457" t="s">
        <v>110</v>
      </c>
      <c r="G457">
        <v>15</v>
      </c>
      <c r="H457">
        <v>6.34</v>
      </c>
      <c r="I457">
        <v>-0.28199999999999997</v>
      </c>
      <c r="J457" t="s">
        <v>86</v>
      </c>
      <c r="K457">
        <v>4172</v>
      </c>
      <c r="L457">
        <v>30.067299999999999</v>
      </c>
      <c r="M457">
        <v>-0.80232999999999999</v>
      </c>
      <c r="N457">
        <f>INDEX(jkm!$H:$H,MATCH(J457,jkm!$J:$J,0),1)</f>
        <v>9.0389999999999997</v>
      </c>
      <c r="O457" s="3">
        <f t="shared" ca="1" si="37"/>
        <v>880</v>
      </c>
      <c r="P457" s="3">
        <f t="shared" ca="1" si="38"/>
        <v>2.4109589041095889</v>
      </c>
      <c r="Q457" t="str" cm="1">
        <f t="array" ref="Q457:S457">_xlfn.TEXTSPLIT(J457,"/")</f>
        <v>8</v>
      </c>
      <c r="R457" s="1" t="str">
        <v>15</v>
      </c>
      <c r="S457" t="str">
        <v>2028</v>
      </c>
      <c r="T457" s="1">
        <f t="shared" si="39"/>
        <v>46980</v>
      </c>
      <c r="U457" s="19">
        <f t="shared" si="40"/>
        <v>3.6899999999999977</v>
      </c>
      <c r="V457" s="17">
        <f ca="1">(LN(N457/G457)+(L457/100)^2*P457/2)/(L457/100*SQRT(P457))</f>
        <v>-0.85147311831815042</v>
      </c>
      <c r="W457" s="17">
        <f ca="1">V457-L457/100*SQRT(P457)</f>
        <v>-1.3183359874441369</v>
      </c>
      <c r="X457" s="17">
        <f ca="1">(LN(N457/G457)+P457*(U457/100+(L457/100)^2/2))/((L457/100*SQRT(P457)))</f>
        <v>-0.66091527051116183</v>
      </c>
      <c r="Y457" s="17">
        <f ca="1">X457-N457/100*SQRT(R457)</f>
        <v>-1.0109942351748502</v>
      </c>
      <c r="Z457" s="20">
        <f ca="1">EXP(-P457)/(N457*L457/100*SQRT(P457))*_xlfn.NORM.S.DIST(X457,FALSE)</f>
        <v>6.8183976939579826E-3</v>
      </c>
      <c r="AA457" s="17">
        <f t="shared" ca="1" si="36"/>
        <v>4.0383814642663603E-3</v>
      </c>
      <c r="AB457" s="17"/>
      <c r="AC457" s="17"/>
      <c r="AD457" s="17"/>
    </row>
    <row r="458" spans="1:30" x14ac:dyDescent="0.25">
      <c r="A458" t="s">
        <v>106</v>
      </c>
      <c r="B458" t="s">
        <v>107</v>
      </c>
      <c r="C458" t="s">
        <v>108</v>
      </c>
      <c r="D458">
        <v>46762</v>
      </c>
      <c r="E458" t="s">
        <v>107</v>
      </c>
      <c r="F458" t="s">
        <v>109</v>
      </c>
      <c r="G458">
        <v>5</v>
      </c>
      <c r="H458">
        <v>4.375</v>
      </c>
      <c r="I458">
        <v>0.13100000000000001</v>
      </c>
      <c r="J458" t="s">
        <v>87</v>
      </c>
      <c r="K458">
        <v>4172</v>
      </c>
      <c r="L458">
        <v>35.529299999999999</v>
      </c>
      <c r="M458">
        <v>0.91108</v>
      </c>
      <c r="N458">
        <f>INDEX(jkm!$H:$H,MATCH(J458,jkm!$J:$J,0),1)</f>
        <v>9.1039999999999992</v>
      </c>
      <c r="O458" s="3">
        <f t="shared" ca="1" si="37"/>
        <v>911</v>
      </c>
      <c r="P458" s="3">
        <f t="shared" ca="1" si="38"/>
        <v>2.495890410958904</v>
      </c>
      <c r="Q458" t="str" cm="1">
        <f t="array" ref="Q458:S458">_xlfn.TEXTSPLIT(J458,"/")</f>
        <v>9</v>
      </c>
      <c r="R458" s="1" t="str">
        <v>15</v>
      </c>
      <c r="S458" t="str">
        <v>2028</v>
      </c>
      <c r="T458" s="1">
        <f t="shared" si="39"/>
        <v>47011</v>
      </c>
      <c r="U458" s="19">
        <f t="shared" si="40"/>
        <v>3.6899999999999977</v>
      </c>
      <c r="V458" s="17">
        <f ca="1">(LN(N458/G458)+(L458/100)^2*P458/2)/(L458/100*SQRT(P458))</f>
        <v>1.3482992516657906</v>
      </c>
      <c r="W458" s="17">
        <f ca="1">V458-L458/100*SQRT(P458)</f>
        <v>0.78699360997582546</v>
      </c>
      <c r="X458" s="17">
        <f ca="1">(LN(N458/G458)+P458*(U458/100+(L458/100)^2/2))/((L458/100*SQRT(P458)))</f>
        <v>1.5123780517417991</v>
      </c>
      <c r="Y458" s="17">
        <f ca="1">X458-N458/100*SQRT(R458)</f>
        <v>1.1597816479030758</v>
      </c>
      <c r="Z458" s="20">
        <f ca="1">EXP(-P458)/(N458*L458/100*SQRT(P458))*_xlfn.NORM.S.DIST(X458,FALSE)</f>
        <v>2.0504483523704517E-3</v>
      </c>
      <c r="AA458" s="17">
        <f t="shared" ca="1" si="36"/>
        <v>1.5070424870183938E-3</v>
      </c>
      <c r="AB458" s="17"/>
      <c r="AC458" s="17"/>
      <c r="AD458" s="17"/>
    </row>
    <row r="459" spans="1:30" x14ac:dyDescent="0.25">
      <c r="A459" t="s">
        <v>106</v>
      </c>
      <c r="B459" t="s">
        <v>107</v>
      </c>
      <c r="C459" t="s">
        <v>108</v>
      </c>
      <c r="D459">
        <v>46762</v>
      </c>
      <c r="E459" t="s">
        <v>107</v>
      </c>
      <c r="F459" t="s">
        <v>109</v>
      </c>
      <c r="G459">
        <v>8</v>
      </c>
      <c r="H459">
        <v>2.476</v>
      </c>
      <c r="I459">
        <v>9.9000000000000005E-2</v>
      </c>
      <c r="J459" t="s">
        <v>87</v>
      </c>
      <c r="K459">
        <v>4172</v>
      </c>
      <c r="L459">
        <v>35.195799999999998</v>
      </c>
      <c r="M459">
        <v>0.69516999999999995</v>
      </c>
      <c r="N459">
        <f>INDEX(jkm!$H:$H,MATCH(J459,jkm!$J:$J,0),1)</f>
        <v>9.1039999999999992</v>
      </c>
      <c r="O459" s="3">
        <f t="shared" ca="1" si="37"/>
        <v>911</v>
      </c>
      <c r="P459" s="3">
        <f t="shared" ca="1" si="38"/>
        <v>2.495890410958904</v>
      </c>
      <c r="Q459" t="str" cm="1">
        <f t="array" ref="Q459:S459">_xlfn.TEXTSPLIT(J459,"/")</f>
        <v>9</v>
      </c>
      <c r="R459" s="1" t="str">
        <v>15</v>
      </c>
      <c r="S459" t="str">
        <v>2028</v>
      </c>
      <c r="T459" s="1">
        <f t="shared" si="39"/>
        <v>47011</v>
      </c>
      <c r="U459" s="19">
        <f t="shared" si="40"/>
        <v>3.6899999999999977</v>
      </c>
      <c r="V459" s="17">
        <f ca="1">(LN(N459/G459)+(L459/100)^2*P459/2)/(L459/100*SQRT(P459))</f>
        <v>0.51050721966983093</v>
      </c>
      <c r="W459" s="17">
        <f ca="1">V459-L459/100*SQRT(P459)</f>
        <v>-4.5529659857535987E-2</v>
      </c>
      <c r="X459" s="17">
        <f ca="1">(LN(N459/G459)+P459*(U459/100+(L459/100)^2/2))/((L459/100*SQRT(P459)))</f>
        <v>0.67614075865858903</v>
      </c>
      <c r="Y459" s="17">
        <f ca="1">X459-N459/100*SQRT(R459)</f>
        <v>0.32354435481986582</v>
      </c>
      <c r="Z459" s="20">
        <f ca="1">EXP(-P459)/(N459*L459/100*SQRT(P459))*_xlfn.NORM.S.DIST(X459,FALSE)</f>
        <v>5.168331718935837E-3</v>
      </c>
      <c r="AA459" s="17">
        <f t="shared" ca="1" si="36"/>
        <v>3.7629741245049746E-3</v>
      </c>
      <c r="AB459" s="17"/>
      <c r="AC459" s="17"/>
      <c r="AD459" s="17"/>
    </row>
    <row r="460" spans="1:30" x14ac:dyDescent="0.25">
      <c r="A460" t="s">
        <v>106</v>
      </c>
      <c r="B460" t="s">
        <v>107</v>
      </c>
      <c r="C460" t="s">
        <v>108</v>
      </c>
      <c r="D460">
        <v>46762</v>
      </c>
      <c r="E460" t="s">
        <v>107</v>
      </c>
      <c r="F460" t="s">
        <v>109</v>
      </c>
      <c r="G460">
        <v>10</v>
      </c>
      <c r="H460">
        <v>1.669</v>
      </c>
      <c r="I460">
        <v>7.6999999999999999E-2</v>
      </c>
      <c r="J460" t="s">
        <v>87</v>
      </c>
      <c r="K460">
        <v>4172</v>
      </c>
      <c r="L460">
        <v>35.0809</v>
      </c>
      <c r="M460">
        <v>0.54308999999999996</v>
      </c>
      <c r="N460">
        <f>INDEX(jkm!$H:$H,MATCH(J460,jkm!$J:$J,0),1)</f>
        <v>9.1039999999999992</v>
      </c>
      <c r="O460" s="3">
        <f t="shared" ca="1" si="37"/>
        <v>911</v>
      </c>
      <c r="P460" s="3">
        <f t="shared" ca="1" si="38"/>
        <v>2.495890410958904</v>
      </c>
      <c r="Q460" t="str" cm="1">
        <f t="array" ref="Q460:S460">_xlfn.TEXTSPLIT(J460,"/")</f>
        <v>9</v>
      </c>
      <c r="R460" s="1" t="str">
        <v>15</v>
      </c>
      <c r="S460" t="str">
        <v>2028</v>
      </c>
      <c r="T460" s="1">
        <f t="shared" si="39"/>
        <v>47011</v>
      </c>
      <c r="U460" s="19">
        <f t="shared" si="40"/>
        <v>3.6899999999999977</v>
      </c>
      <c r="V460" s="17">
        <f ca="1">(LN(N460/G460)+(L460/100)^2*P460/2)/(L460/100*SQRT(P460))</f>
        <v>0.10773595860923203</v>
      </c>
      <c r="W460" s="17">
        <f ca="1">V460-L460/100*SQRT(P460)</f>
        <v>-0.4464856862180373</v>
      </c>
      <c r="X460" s="17">
        <f ca="1">(LN(N460/G460)+P460*(U460/100+(L460/100)^2/2))/((L460/100*SQRT(P460)))</f>
        <v>0.27391199490079043</v>
      </c>
      <c r="Y460" s="17">
        <f ca="1">X460-N460/100*SQRT(R460)</f>
        <v>-7.868440893793277E-2</v>
      </c>
      <c r="Z460" s="20">
        <f ca="1">EXP(-P460)/(N460*L460/100*SQRT(P460))*_xlfn.NORM.S.DIST(X460,FALSE)</f>
        <v>6.2769811624635271E-3</v>
      </c>
      <c r="AA460" s="17">
        <f t="shared" ca="1" si="36"/>
        <v>4.5552431381135046E-3</v>
      </c>
      <c r="AB460" s="17"/>
      <c r="AC460" s="17"/>
      <c r="AD460" s="17"/>
    </row>
    <row r="461" spans="1:30" x14ac:dyDescent="0.25">
      <c r="A461" t="s">
        <v>106</v>
      </c>
      <c r="B461" t="s">
        <v>107</v>
      </c>
      <c r="C461" t="s">
        <v>108</v>
      </c>
      <c r="D461">
        <v>46762</v>
      </c>
      <c r="E461" t="s">
        <v>107</v>
      </c>
      <c r="F461" t="s">
        <v>109</v>
      </c>
      <c r="G461">
        <v>13</v>
      </c>
      <c r="H461">
        <v>0.92800000000000005</v>
      </c>
      <c r="I461">
        <v>4.9000000000000002E-2</v>
      </c>
      <c r="J461" t="s">
        <v>87</v>
      </c>
      <c r="K461">
        <v>4172</v>
      </c>
      <c r="L461">
        <v>35.042099999999998</v>
      </c>
      <c r="M461">
        <v>0.35731000000000002</v>
      </c>
      <c r="N461">
        <f>INDEX(jkm!$H:$H,MATCH(J461,jkm!$J:$J,0),1)</f>
        <v>9.1039999999999992</v>
      </c>
      <c r="O461" s="3">
        <f t="shared" ca="1" si="37"/>
        <v>911</v>
      </c>
      <c r="P461" s="3">
        <f t="shared" ca="1" si="38"/>
        <v>2.495890410958904</v>
      </c>
      <c r="Q461" t="str" cm="1">
        <f t="array" ref="Q461:S461">_xlfn.TEXTSPLIT(J461,"/")</f>
        <v>9</v>
      </c>
      <c r="R461" s="1" t="str">
        <v>15</v>
      </c>
      <c r="S461" t="str">
        <v>2028</v>
      </c>
      <c r="T461" s="1">
        <f t="shared" si="39"/>
        <v>47011</v>
      </c>
      <c r="U461" s="19">
        <f t="shared" si="40"/>
        <v>3.6899999999999977</v>
      </c>
      <c r="V461" s="17">
        <f ca="1">(LN(N461/G461)+(L461/100)^2*P461/2)/(L461/100*SQRT(P461))</f>
        <v>-0.36667453694407925</v>
      </c>
      <c r="W461" s="17">
        <f ca="1">V461-L461/100*SQRT(P461)</f>
        <v>-0.92028320434433564</v>
      </c>
      <c r="X461" s="17">
        <f ca="1">(LN(N461/G461)+P461*(U461/100+(L461/100)^2/2))/((L461/100*SQRT(P461)))</f>
        <v>-0.20031450396830067</v>
      </c>
      <c r="Y461" s="17">
        <f ca="1">X461-N461/100*SQRT(R461)</f>
        <v>-0.5529109078070239</v>
      </c>
      <c r="Z461" s="20">
        <f ca="1">EXP(-P461)/(N461*L461/100*SQRT(P461))*_xlfn.NORM.S.DIST(X461,FALSE)</f>
        <v>6.3945542234378518E-3</v>
      </c>
      <c r="AA461" s="17">
        <f t="shared" ca="1" si="36"/>
        <v>4.6354340824453152E-3</v>
      </c>
      <c r="AB461" s="17"/>
      <c r="AC461" s="17"/>
      <c r="AD461" s="17"/>
    </row>
    <row r="462" spans="1:30" x14ac:dyDescent="0.25">
      <c r="A462" t="s">
        <v>106</v>
      </c>
      <c r="B462" t="s">
        <v>107</v>
      </c>
      <c r="C462" t="s">
        <v>108</v>
      </c>
      <c r="D462">
        <v>46762</v>
      </c>
      <c r="E462" t="s">
        <v>107</v>
      </c>
      <c r="F462" t="s">
        <v>109</v>
      </c>
      <c r="G462">
        <v>15</v>
      </c>
      <c r="H462">
        <v>0.63400000000000001</v>
      </c>
      <c r="I462">
        <v>3.6999999999999998E-2</v>
      </c>
      <c r="J462" t="s">
        <v>87</v>
      </c>
      <c r="K462">
        <v>4172</v>
      </c>
      <c r="L462">
        <v>35.032499999999999</v>
      </c>
      <c r="M462">
        <v>0.26624999999999999</v>
      </c>
      <c r="N462">
        <f>INDEX(jkm!$H:$H,MATCH(J462,jkm!$J:$J,0),1)</f>
        <v>9.1039999999999992</v>
      </c>
      <c r="O462" s="3">
        <f t="shared" ca="1" si="37"/>
        <v>911</v>
      </c>
      <c r="P462" s="3">
        <f t="shared" ca="1" si="38"/>
        <v>2.495890410958904</v>
      </c>
      <c r="Q462" t="str" cm="1">
        <f t="array" ref="Q462:S462">_xlfn.TEXTSPLIT(J462,"/")</f>
        <v>9</v>
      </c>
      <c r="R462" s="1" t="str">
        <v>15</v>
      </c>
      <c r="S462" t="str">
        <v>2028</v>
      </c>
      <c r="T462" s="1">
        <f t="shared" si="39"/>
        <v>47011</v>
      </c>
      <c r="U462" s="19">
        <f t="shared" si="40"/>
        <v>3.6899999999999977</v>
      </c>
      <c r="V462" s="17">
        <f ca="1">(LN(N462/G462)+(L462/100)^2*P462/2)/(L462/100*SQRT(P462))</f>
        <v>-0.62548489746403124</v>
      </c>
      <c r="W462" s="17">
        <f ca="1">V462-L462/100*SQRT(P462)</f>
        <v>-1.1789419003462638</v>
      </c>
      <c r="X462" s="17">
        <f ca="1">(LN(N462/G462)+P462*(U462/100+(L462/100)^2/2))/((L462/100*SQRT(P462)))</f>
        <v>-0.45907927663935322</v>
      </c>
      <c r="Y462" s="17">
        <f ca="1">X462-N462/100*SQRT(R462)</f>
        <v>-0.81167568047807648</v>
      </c>
      <c r="Z462" s="20">
        <f ca="1">EXP(-P462)/(N462*L462/100*SQRT(P462))*_xlfn.NORM.S.DIST(X462,FALSE)</f>
        <v>5.8732419835174606E-3</v>
      </c>
      <c r="AA462" s="17">
        <f t="shared" ca="1" si="36"/>
        <v>4.2563666910246586E-3</v>
      </c>
      <c r="AB462" s="17"/>
      <c r="AC462" s="17"/>
      <c r="AD462" s="17"/>
    </row>
    <row r="463" spans="1:30" x14ac:dyDescent="0.25">
      <c r="A463" t="s">
        <v>106</v>
      </c>
      <c r="B463" t="s">
        <v>107</v>
      </c>
      <c r="C463" t="s">
        <v>108</v>
      </c>
      <c r="D463">
        <v>46762</v>
      </c>
      <c r="E463" t="s">
        <v>107</v>
      </c>
      <c r="F463" t="s">
        <v>110</v>
      </c>
      <c r="G463">
        <v>5</v>
      </c>
      <c r="H463">
        <v>0.27100000000000002</v>
      </c>
      <c r="I463">
        <v>-1.2999999999999999E-2</v>
      </c>
      <c r="J463" t="s">
        <v>87</v>
      </c>
      <c r="K463">
        <v>4172</v>
      </c>
      <c r="L463">
        <v>35.529299999999999</v>
      </c>
      <c r="M463">
        <v>-8.8919999999999999E-2</v>
      </c>
      <c r="N463">
        <f>INDEX(jkm!$H:$H,MATCH(J463,jkm!$J:$J,0),1)</f>
        <v>9.1039999999999992</v>
      </c>
      <c r="O463" s="3">
        <f t="shared" ca="1" si="37"/>
        <v>911</v>
      </c>
      <c r="P463" s="3">
        <f t="shared" ca="1" si="38"/>
        <v>2.495890410958904</v>
      </c>
      <c r="Q463" t="str" cm="1">
        <f t="array" ref="Q463:S463">_xlfn.TEXTSPLIT(J463,"/")</f>
        <v>9</v>
      </c>
      <c r="R463" s="1" t="str">
        <v>15</v>
      </c>
      <c r="S463" t="str">
        <v>2028</v>
      </c>
      <c r="T463" s="1">
        <f t="shared" si="39"/>
        <v>47011</v>
      </c>
      <c r="U463" s="19">
        <f t="shared" si="40"/>
        <v>3.6899999999999977</v>
      </c>
      <c r="V463" s="17">
        <f ca="1">(LN(N463/G463)+(L463/100)^2*P463/2)/(L463/100*SQRT(P463))</f>
        <v>1.3482992516657906</v>
      </c>
      <c r="W463" s="17">
        <f ca="1">V463-L463/100*SQRT(P463)</f>
        <v>0.78699360997582546</v>
      </c>
      <c r="X463" s="17">
        <f ca="1">(LN(N463/G463)+P463*(U463/100+(L463/100)^2/2))/((L463/100*SQRT(P463)))</f>
        <v>1.5123780517417991</v>
      </c>
      <c r="Y463" s="17">
        <f ca="1">X463-N463/100*SQRT(R463)</f>
        <v>1.1597816479030758</v>
      </c>
      <c r="Z463" s="20">
        <f ca="1">EXP(-P463)/(N463*L463/100*SQRT(P463))*_xlfn.NORM.S.DIST(X463,FALSE)</f>
        <v>2.0504483523704517E-3</v>
      </c>
      <c r="AA463" s="17">
        <f t="shared" ca="1" si="36"/>
        <v>1.5070424870183938E-3</v>
      </c>
      <c r="AB463" s="17"/>
      <c r="AC463" s="17"/>
      <c r="AD463" s="17"/>
    </row>
    <row r="464" spans="1:30" x14ac:dyDescent="0.25">
      <c r="A464" t="s">
        <v>106</v>
      </c>
      <c r="B464" t="s">
        <v>107</v>
      </c>
      <c r="C464" t="s">
        <v>108</v>
      </c>
      <c r="D464">
        <v>46762</v>
      </c>
      <c r="E464" t="s">
        <v>107</v>
      </c>
      <c r="F464" t="s">
        <v>110</v>
      </c>
      <c r="G464">
        <v>8</v>
      </c>
      <c r="H464">
        <v>1.3720000000000001</v>
      </c>
      <c r="I464">
        <v>-4.4999999999999998E-2</v>
      </c>
      <c r="J464" t="s">
        <v>87</v>
      </c>
      <c r="K464">
        <v>4172</v>
      </c>
      <c r="L464">
        <v>35.195799999999998</v>
      </c>
      <c r="M464">
        <v>-0.30482999999999999</v>
      </c>
      <c r="N464">
        <f>INDEX(jkm!$H:$H,MATCH(J464,jkm!$J:$J,0),1)</f>
        <v>9.1039999999999992</v>
      </c>
      <c r="O464" s="3">
        <f t="shared" ca="1" si="37"/>
        <v>911</v>
      </c>
      <c r="P464" s="3">
        <f t="shared" ca="1" si="38"/>
        <v>2.495890410958904</v>
      </c>
      <c r="Q464" t="str" cm="1">
        <f t="array" ref="Q464:S464">_xlfn.TEXTSPLIT(J464,"/")</f>
        <v>9</v>
      </c>
      <c r="R464" s="1" t="str">
        <v>15</v>
      </c>
      <c r="S464" t="str">
        <v>2028</v>
      </c>
      <c r="T464" s="1">
        <f t="shared" si="39"/>
        <v>47011</v>
      </c>
      <c r="U464" s="19">
        <f t="shared" si="40"/>
        <v>3.6899999999999977</v>
      </c>
      <c r="V464" s="17">
        <f ca="1">(LN(N464/G464)+(L464/100)^2*P464/2)/(L464/100*SQRT(P464))</f>
        <v>0.51050721966983093</v>
      </c>
      <c r="W464" s="17">
        <f ca="1">V464-L464/100*SQRT(P464)</f>
        <v>-4.5529659857535987E-2</v>
      </c>
      <c r="X464" s="17">
        <f ca="1">(LN(N464/G464)+P464*(U464/100+(L464/100)^2/2))/((L464/100*SQRT(P464)))</f>
        <v>0.67614075865858903</v>
      </c>
      <c r="Y464" s="17">
        <f ca="1">X464-N464/100*SQRT(R464)</f>
        <v>0.32354435481986582</v>
      </c>
      <c r="Z464" s="20">
        <f ca="1">EXP(-P464)/(N464*L464/100*SQRT(P464))*_xlfn.NORM.S.DIST(X464,FALSE)</f>
        <v>5.168331718935837E-3</v>
      </c>
      <c r="AA464" s="17">
        <f t="shared" ca="1" si="36"/>
        <v>3.7629741245049746E-3</v>
      </c>
      <c r="AB464" s="17"/>
      <c r="AC464" s="17"/>
      <c r="AD464" s="17"/>
    </row>
    <row r="465" spans="1:30" x14ac:dyDescent="0.25">
      <c r="A465" t="s">
        <v>106</v>
      </c>
      <c r="B465" t="s">
        <v>107</v>
      </c>
      <c r="C465" t="s">
        <v>108</v>
      </c>
      <c r="D465">
        <v>46762</v>
      </c>
      <c r="E465" t="s">
        <v>107</v>
      </c>
      <c r="F465" t="s">
        <v>110</v>
      </c>
      <c r="G465">
        <v>10</v>
      </c>
      <c r="H465">
        <v>2.5649999999999999</v>
      </c>
      <c r="I465">
        <v>-6.7000000000000004E-2</v>
      </c>
      <c r="J465" t="s">
        <v>87</v>
      </c>
      <c r="K465">
        <v>4172</v>
      </c>
      <c r="L465">
        <v>35.0809</v>
      </c>
      <c r="M465">
        <v>-0.45690999999999998</v>
      </c>
      <c r="N465">
        <f>INDEX(jkm!$H:$H,MATCH(J465,jkm!$J:$J,0),1)</f>
        <v>9.1039999999999992</v>
      </c>
      <c r="O465" s="3">
        <f t="shared" ca="1" si="37"/>
        <v>911</v>
      </c>
      <c r="P465" s="3">
        <f t="shared" ca="1" si="38"/>
        <v>2.495890410958904</v>
      </c>
      <c r="Q465" t="str" cm="1">
        <f t="array" ref="Q465:S465">_xlfn.TEXTSPLIT(J465,"/")</f>
        <v>9</v>
      </c>
      <c r="R465" s="1" t="str">
        <v>15</v>
      </c>
      <c r="S465" t="str">
        <v>2028</v>
      </c>
      <c r="T465" s="1">
        <f t="shared" si="39"/>
        <v>47011</v>
      </c>
      <c r="U465" s="19">
        <f t="shared" si="40"/>
        <v>3.6899999999999977</v>
      </c>
      <c r="V465" s="17">
        <f ca="1">(LN(N465/G465)+(L465/100)^2*P465/2)/(L465/100*SQRT(P465))</f>
        <v>0.10773595860923203</v>
      </c>
      <c r="W465" s="17">
        <f ca="1">V465-L465/100*SQRT(P465)</f>
        <v>-0.4464856862180373</v>
      </c>
      <c r="X465" s="17">
        <f ca="1">(LN(N465/G465)+P465*(U465/100+(L465/100)^2/2))/((L465/100*SQRT(P465)))</f>
        <v>0.27391199490079043</v>
      </c>
      <c r="Y465" s="17">
        <f ca="1">X465-N465/100*SQRT(R465)</f>
        <v>-7.868440893793277E-2</v>
      </c>
      <c r="Z465" s="20">
        <f ca="1">EXP(-P465)/(N465*L465/100*SQRT(P465))*_xlfn.NORM.S.DIST(X465,FALSE)</f>
        <v>6.2769811624635271E-3</v>
      </c>
      <c r="AA465" s="17">
        <f t="shared" ca="1" si="36"/>
        <v>4.5552431381135046E-3</v>
      </c>
      <c r="AB465" s="17"/>
      <c r="AC465" s="17"/>
      <c r="AD465" s="17"/>
    </row>
    <row r="466" spans="1:30" x14ac:dyDescent="0.25">
      <c r="A466" t="s">
        <v>106</v>
      </c>
      <c r="B466" t="s">
        <v>107</v>
      </c>
      <c r="C466" t="s">
        <v>108</v>
      </c>
      <c r="D466">
        <v>46762</v>
      </c>
      <c r="E466" t="s">
        <v>107</v>
      </c>
      <c r="F466" t="s">
        <v>110</v>
      </c>
      <c r="G466">
        <v>13</v>
      </c>
      <c r="H466">
        <v>4.8239999999999998</v>
      </c>
      <c r="I466">
        <v>-9.5000000000000001E-2</v>
      </c>
      <c r="J466" t="s">
        <v>87</v>
      </c>
      <c r="K466">
        <v>4172</v>
      </c>
      <c r="L466">
        <v>35.042099999999998</v>
      </c>
      <c r="M466">
        <v>-0.64268999999999998</v>
      </c>
      <c r="N466">
        <f>INDEX(jkm!$H:$H,MATCH(J466,jkm!$J:$J,0),1)</f>
        <v>9.1039999999999992</v>
      </c>
      <c r="O466" s="3">
        <f t="shared" ca="1" si="37"/>
        <v>911</v>
      </c>
      <c r="P466" s="3">
        <f t="shared" ca="1" si="38"/>
        <v>2.495890410958904</v>
      </c>
      <c r="Q466" t="str" cm="1">
        <f t="array" ref="Q466:S466">_xlfn.TEXTSPLIT(J466,"/")</f>
        <v>9</v>
      </c>
      <c r="R466" s="1" t="str">
        <v>15</v>
      </c>
      <c r="S466" t="str">
        <v>2028</v>
      </c>
      <c r="T466" s="1">
        <f t="shared" si="39"/>
        <v>47011</v>
      </c>
      <c r="U466" s="19">
        <f t="shared" si="40"/>
        <v>3.6899999999999977</v>
      </c>
      <c r="V466" s="17">
        <f ca="1">(LN(N466/G466)+(L466/100)^2*P466/2)/(L466/100*SQRT(P466))</f>
        <v>-0.36667453694407925</v>
      </c>
      <c r="W466" s="17">
        <f ca="1">V466-L466/100*SQRT(P466)</f>
        <v>-0.92028320434433564</v>
      </c>
      <c r="X466" s="17">
        <f ca="1">(LN(N466/G466)+P466*(U466/100+(L466/100)^2/2))/((L466/100*SQRT(P466)))</f>
        <v>-0.20031450396830067</v>
      </c>
      <c r="Y466" s="17">
        <f ca="1">X466-N466/100*SQRT(R466)</f>
        <v>-0.5529109078070239</v>
      </c>
      <c r="Z466" s="20">
        <f ca="1">EXP(-P466)/(N466*L466/100*SQRT(P466))*_xlfn.NORM.S.DIST(X466,FALSE)</f>
        <v>6.3945542234378518E-3</v>
      </c>
      <c r="AA466" s="17">
        <f t="shared" ca="1" si="36"/>
        <v>4.6354340824453152E-3</v>
      </c>
      <c r="AB466" s="17"/>
      <c r="AC466" s="17"/>
      <c r="AD466" s="17"/>
    </row>
    <row r="467" spans="1:30" x14ac:dyDescent="0.25">
      <c r="A467" t="s">
        <v>106</v>
      </c>
      <c r="B467" t="s">
        <v>107</v>
      </c>
      <c r="C467" t="s">
        <v>108</v>
      </c>
      <c r="D467">
        <v>46762</v>
      </c>
      <c r="E467" t="s">
        <v>107</v>
      </c>
      <c r="F467" t="s">
        <v>110</v>
      </c>
      <c r="G467">
        <v>15</v>
      </c>
      <c r="H467">
        <v>6.53</v>
      </c>
      <c r="I467">
        <v>-0.107</v>
      </c>
      <c r="J467" t="s">
        <v>87</v>
      </c>
      <c r="K467">
        <v>4172</v>
      </c>
      <c r="L467">
        <v>35.032499999999999</v>
      </c>
      <c r="M467">
        <v>-0.73375000000000001</v>
      </c>
      <c r="N467">
        <f>INDEX(jkm!$H:$H,MATCH(J467,jkm!$J:$J,0),1)</f>
        <v>9.1039999999999992</v>
      </c>
      <c r="O467" s="3">
        <f t="shared" ca="1" si="37"/>
        <v>911</v>
      </c>
      <c r="P467" s="3">
        <f t="shared" ca="1" si="38"/>
        <v>2.495890410958904</v>
      </c>
      <c r="Q467" t="str" cm="1">
        <f t="array" ref="Q467:S467">_xlfn.TEXTSPLIT(J467,"/")</f>
        <v>9</v>
      </c>
      <c r="R467" s="1" t="str">
        <v>15</v>
      </c>
      <c r="S467" t="str">
        <v>2028</v>
      </c>
      <c r="T467" s="1">
        <f t="shared" si="39"/>
        <v>47011</v>
      </c>
      <c r="U467" s="19">
        <f t="shared" si="40"/>
        <v>3.6899999999999977</v>
      </c>
      <c r="V467" s="17">
        <f ca="1">(LN(N467/G467)+(L467/100)^2*P467/2)/(L467/100*SQRT(P467))</f>
        <v>-0.62548489746403124</v>
      </c>
      <c r="W467" s="17">
        <f ca="1">V467-L467/100*SQRT(P467)</f>
        <v>-1.1789419003462638</v>
      </c>
      <c r="X467" s="17">
        <f ca="1">(LN(N467/G467)+P467*(U467/100+(L467/100)^2/2))/((L467/100*SQRT(P467)))</f>
        <v>-0.45907927663935322</v>
      </c>
      <c r="Y467" s="17">
        <f ca="1">X467-N467/100*SQRT(R467)</f>
        <v>-0.81167568047807648</v>
      </c>
      <c r="Z467" s="20">
        <f ca="1">EXP(-P467)/(N467*L467/100*SQRT(P467))*_xlfn.NORM.S.DIST(X467,FALSE)</f>
        <v>5.8732419835174606E-3</v>
      </c>
      <c r="AA467" s="17">
        <f t="shared" ca="1" si="36"/>
        <v>4.2563666910246586E-3</v>
      </c>
      <c r="AB467" s="17"/>
      <c r="AC467" s="17"/>
      <c r="AD467" s="17"/>
    </row>
    <row r="468" spans="1:30" x14ac:dyDescent="0.25">
      <c r="A468" t="s">
        <v>106</v>
      </c>
      <c r="B468" t="s">
        <v>107</v>
      </c>
      <c r="C468" t="s">
        <v>108</v>
      </c>
      <c r="D468">
        <v>46763</v>
      </c>
      <c r="E468" t="s">
        <v>107</v>
      </c>
      <c r="F468" t="s">
        <v>109</v>
      </c>
      <c r="G468">
        <v>5</v>
      </c>
      <c r="H468">
        <v>4.5350000000000001</v>
      </c>
      <c r="I468">
        <v>0.13500000000000001</v>
      </c>
      <c r="J468" t="s">
        <v>88</v>
      </c>
      <c r="K468">
        <v>4172</v>
      </c>
      <c r="L468">
        <v>35.609400000000001</v>
      </c>
      <c r="M468">
        <v>0.91378999999999999</v>
      </c>
      <c r="N468">
        <f>INDEX(jkm!$H:$H,MATCH(J468,jkm!$J:$J,0),1)</f>
        <v>9.2639999999999993</v>
      </c>
      <c r="O468" s="3">
        <f t="shared" ca="1" si="37"/>
        <v>939</v>
      </c>
      <c r="P468" s="3">
        <f t="shared" ca="1" si="38"/>
        <v>2.5726027397260274</v>
      </c>
      <c r="Q468" t="str" cm="1">
        <f t="array" ref="Q468:S468">_xlfn.TEXTSPLIT(J468,"/")</f>
        <v>10</v>
      </c>
      <c r="R468" s="1" t="str">
        <v>13</v>
      </c>
      <c r="S468" t="str">
        <v>2028</v>
      </c>
      <c r="T468" s="1">
        <f t="shared" si="39"/>
        <v>47039</v>
      </c>
      <c r="U468" s="19">
        <f t="shared" si="40"/>
        <v>3.6899999999999977</v>
      </c>
      <c r="V468" s="17">
        <f ca="1">(LN(N468/G468)+(L468/100)^2*P468/2)/(L468/100*SQRT(P468))</f>
        <v>1.3653213577891956</v>
      </c>
      <c r="W468" s="17">
        <f ca="1">V468-L468/100*SQRT(P468)</f>
        <v>0.79417025456904067</v>
      </c>
      <c r="X468" s="17">
        <f ca="1">(LN(N468/G468)+P468*(U468/100+(L468/100)^2/2))/((L468/100*SQRT(P468)))</f>
        <v>1.5315278845045948</v>
      </c>
      <c r="Y468" s="17">
        <f ca="1">X468-N468/100*SQRT(R468)</f>
        <v>1.1975096143456108</v>
      </c>
      <c r="Z468" s="20">
        <f ca="1">EXP(-P468)/(N468*L468/100*SQRT(P468))*_xlfn.NORM.S.DIST(X468,FALSE)</f>
        <v>1.7813842487967638E-3</v>
      </c>
      <c r="AA468" s="17">
        <f t="shared" ca="1" si="36"/>
        <v>1.4005289311013601E-3</v>
      </c>
      <c r="AB468" s="17"/>
      <c r="AC468" s="17"/>
      <c r="AD468" s="17"/>
    </row>
    <row r="469" spans="1:30" x14ac:dyDescent="0.25">
      <c r="A469" t="s">
        <v>106</v>
      </c>
      <c r="B469" t="s">
        <v>107</v>
      </c>
      <c r="C469" t="s">
        <v>108</v>
      </c>
      <c r="D469">
        <v>46763</v>
      </c>
      <c r="E469" t="s">
        <v>107</v>
      </c>
      <c r="F469" t="s">
        <v>109</v>
      </c>
      <c r="G469">
        <v>8</v>
      </c>
      <c r="H469">
        <v>2.6190000000000002</v>
      </c>
      <c r="I469">
        <v>0.104</v>
      </c>
      <c r="J469" t="s">
        <v>88</v>
      </c>
      <c r="K469">
        <v>4172</v>
      </c>
      <c r="L469">
        <v>35.275399999999998</v>
      </c>
      <c r="M469">
        <v>0.70616000000000001</v>
      </c>
      <c r="N469">
        <f>INDEX(jkm!$H:$H,MATCH(J469,jkm!$J:$J,0),1)</f>
        <v>9.2639999999999993</v>
      </c>
      <c r="O469" s="3">
        <f t="shared" ca="1" si="37"/>
        <v>939</v>
      </c>
      <c r="P469" s="3">
        <f t="shared" ca="1" si="38"/>
        <v>2.5726027397260274</v>
      </c>
      <c r="Q469" t="str" cm="1">
        <f t="array" ref="Q469:S469">_xlfn.TEXTSPLIT(J469,"/")</f>
        <v>10</v>
      </c>
      <c r="R469" s="1" t="str">
        <v>13</v>
      </c>
      <c r="S469" t="str">
        <v>2028</v>
      </c>
      <c r="T469" s="1">
        <f t="shared" si="39"/>
        <v>47039</v>
      </c>
      <c r="U469" s="19">
        <f t="shared" si="40"/>
        <v>3.6899999999999977</v>
      </c>
      <c r="V469" s="17">
        <f ca="1">(LN(N469/G469)+(L469/100)^2*P469/2)/(L469/100*SQRT(P469))</f>
        <v>0.54216871078177464</v>
      </c>
      <c r="W469" s="17">
        <f ca="1">V469-L469/100*SQRT(P469)</f>
        <v>-2.3625254478304103E-2</v>
      </c>
      <c r="X469" s="17">
        <f ca="1">(LN(N469/G469)+P469*(U469/100+(L469/100)^2/2))/((L469/100*SQRT(P469)))</f>
        <v>0.70994893984847074</v>
      </c>
      <c r="Y469" s="17">
        <f ca="1">X469-N469/100*SQRT(R469)</f>
        <v>0.3759306696894868</v>
      </c>
      <c r="Z469" s="20">
        <f ca="1">EXP(-P469)/(N469*L469/100*SQRT(P469))*_xlfn.NORM.S.DIST(X469,FALSE)</f>
        <v>4.5158328043480214E-3</v>
      </c>
      <c r="AA469" s="17">
        <f t="shared" ca="1" si="36"/>
        <v>3.5170587400846949E-3</v>
      </c>
      <c r="AB469" s="17"/>
      <c r="AC469" s="17"/>
      <c r="AD469" s="17"/>
    </row>
    <row r="470" spans="1:30" x14ac:dyDescent="0.25">
      <c r="A470" t="s">
        <v>106</v>
      </c>
      <c r="B470" t="s">
        <v>107</v>
      </c>
      <c r="C470" t="s">
        <v>108</v>
      </c>
      <c r="D470">
        <v>46763</v>
      </c>
      <c r="E470" t="s">
        <v>107</v>
      </c>
      <c r="F470" t="s">
        <v>109</v>
      </c>
      <c r="G470">
        <v>10</v>
      </c>
      <c r="H470">
        <v>1.7909999999999999</v>
      </c>
      <c r="I470">
        <v>8.1000000000000003E-2</v>
      </c>
      <c r="J470" t="s">
        <v>88</v>
      </c>
      <c r="K470">
        <v>4172</v>
      </c>
      <c r="L470">
        <v>35.150399999999998</v>
      </c>
      <c r="M470">
        <v>0.55832999999999999</v>
      </c>
      <c r="N470">
        <f>INDEX(jkm!$H:$H,MATCH(J470,jkm!$J:$J,0),1)</f>
        <v>9.2639999999999993</v>
      </c>
      <c r="O470" s="3">
        <f t="shared" ca="1" si="37"/>
        <v>939</v>
      </c>
      <c r="P470" s="3">
        <f t="shared" ca="1" si="38"/>
        <v>2.5726027397260274</v>
      </c>
      <c r="Q470" t="str" cm="1">
        <f t="array" ref="Q470:S470">_xlfn.TEXTSPLIT(J470,"/")</f>
        <v>10</v>
      </c>
      <c r="R470" s="1" t="str">
        <v>13</v>
      </c>
      <c r="S470" t="str">
        <v>2028</v>
      </c>
      <c r="T470" s="1">
        <f t="shared" si="39"/>
        <v>47039</v>
      </c>
      <c r="U470" s="19">
        <f t="shared" si="40"/>
        <v>3.6899999999999977</v>
      </c>
      <c r="V470" s="17">
        <f ca="1">(LN(N470/G470)+(L470/100)^2*P470/2)/(L470/100*SQRT(P470))</f>
        <v>0.14629562883737576</v>
      </c>
      <c r="W470" s="17">
        <f ca="1">V470-L470/100*SQRT(P470)</f>
        <v>-0.417493419521477</v>
      </c>
      <c r="X470" s="17">
        <f ca="1">(LN(N470/G470)+P470*(U470/100+(L470/100)^2/2))/((L470/100*SQRT(P470)))</f>
        <v>0.31467250911240346</v>
      </c>
      <c r="Y470" s="17">
        <f ca="1">X470-N470/100*SQRT(R470)</f>
        <v>-1.9345761046580479E-2</v>
      </c>
      <c r="Z470" s="20">
        <f ca="1">EXP(-P470)/(N470*L470/100*SQRT(P470))*_xlfn.NORM.S.DIST(X470,FALSE)</f>
        <v>5.5491447479075248E-3</v>
      </c>
      <c r="AA470" s="17">
        <f t="shared" ca="1" si="36"/>
        <v>4.3065167973819728E-3</v>
      </c>
      <c r="AB470" s="17"/>
      <c r="AC470" s="17"/>
      <c r="AD470" s="17"/>
    </row>
    <row r="471" spans="1:30" x14ac:dyDescent="0.25">
      <c r="A471" t="s">
        <v>106</v>
      </c>
      <c r="B471" t="s">
        <v>107</v>
      </c>
      <c r="C471" t="s">
        <v>108</v>
      </c>
      <c r="D471">
        <v>46763</v>
      </c>
      <c r="E471" t="s">
        <v>107</v>
      </c>
      <c r="F471" t="s">
        <v>109</v>
      </c>
      <c r="G471">
        <v>13</v>
      </c>
      <c r="H471">
        <v>1.02</v>
      </c>
      <c r="I471">
        <v>5.3999999999999999E-2</v>
      </c>
      <c r="J471" t="s">
        <v>88</v>
      </c>
      <c r="K471">
        <v>4172</v>
      </c>
      <c r="L471">
        <v>35.111800000000002</v>
      </c>
      <c r="M471">
        <v>0.37483</v>
      </c>
      <c r="N471">
        <f>INDEX(jkm!$H:$H,MATCH(J471,jkm!$J:$J,0),1)</f>
        <v>9.2639999999999993</v>
      </c>
      <c r="O471" s="3">
        <f t="shared" ca="1" si="37"/>
        <v>939</v>
      </c>
      <c r="P471" s="3">
        <f t="shared" ca="1" si="38"/>
        <v>2.5726027397260274</v>
      </c>
      <c r="Q471" t="str" cm="1">
        <f t="array" ref="Q471:S471">_xlfn.TEXTSPLIT(J471,"/")</f>
        <v>10</v>
      </c>
      <c r="R471" s="1" t="str">
        <v>13</v>
      </c>
      <c r="S471" t="str">
        <v>2028</v>
      </c>
      <c r="T471" s="1">
        <f t="shared" si="39"/>
        <v>47039</v>
      </c>
      <c r="U471" s="19">
        <f t="shared" si="40"/>
        <v>3.6899999999999977</v>
      </c>
      <c r="V471" s="17">
        <f ca="1">(LN(N471/G471)+(L471/100)^2*P471/2)/(L471/100*SQRT(P471))</f>
        <v>-0.32003351383719647</v>
      </c>
      <c r="W471" s="17">
        <f ca="1">V471-L471/100*SQRT(P471)</f>
        <v>-0.88320344385695071</v>
      </c>
      <c r="X471" s="17">
        <f ca="1">(LN(N471/G471)+P471*(U471/100+(L471/100)^2/2))/((L471/100*SQRT(P471)))</f>
        <v>-0.15147152919330659</v>
      </c>
      <c r="Y471" s="17">
        <f ca="1">X471-N471/100*SQRT(R471)</f>
        <v>-0.48548979935229053</v>
      </c>
      <c r="Z471" s="20">
        <f ca="1">EXP(-P471)/(N471*L471/100*SQRT(P471))*_xlfn.NORM.S.DIST(X471,FALSE)</f>
        <v>5.7706235369262291E-3</v>
      </c>
      <c r="AA471" s="17">
        <f t="shared" ca="1" si="36"/>
        <v>4.4734816212144866E-3</v>
      </c>
      <c r="AB471" s="17"/>
      <c r="AC471" s="17"/>
      <c r="AD471" s="17"/>
    </row>
    <row r="472" spans="1:30" x14ac:dyDescent="0.25">
      <c r="A472" t="s">
        <v>106</v>
      </c>
      <c r="B472" t="s">
        <v>107</v>
      </c>
      <c r="C472" t="s">
        <v>108</v>
      </c>
      <c r="D472">
        <v>46763</v>
      </c>
      <c r="E472" t="s">
        <v>107</v>
      </c>
      <c r="F472" t="s">
        <v>109</v>
      </c>
      <c r="G472">
        <v>15</v>
      </c>
      <c r="H472">
        <v>0.70699999999999996</v>
      </c>
      <c r="I472">
        <v>4.1000000000000002E-2</v>
      </c>
      <c r="J472" t="s">
        <v>88</v>
      </c>
      <c r="K472">
        <v>4172</v>
      </c>
      <c r="L472">
        <v>35.099600000000002</v>
      </c>
      <c r="M472">
        <v>0.28321000000000002</v>
      </c>
      <c r="N472">
        <f>INDEX(jkm!$H:$H,MATCH(J472,jkm!$J:$J,0),1)</f>
        <v>9.2639999999999993</v>
      </c>
      <c r="O472" s="3">
        <f t="shared" ca="1" si="37"/>
        <v>939</v>
      </c>
      <c r="P472" s="3">
        <f t="shared" ca="1" si="38"/>
        <v>2.5726027397260274</v>
      </c>
      <c r="Q472" t="str" cm="1">
        <f t="array" ref="Q472:S472">_xlfn.TEXTSPLIT(J472,"/")</f>
        <v>10</v>
      </c>
      <c r="R472" s="1" t="str">
        <v>13</v>
      </c>
      <c r="S472" t="str">
        <v>2028</v>
      </c>
      <c r="T472" s="1">
        <f t="shared" si="39"/>
        <v>47039</v>
      </c>
      <c r="U472" s="19">
        <f t="shared" si="40"/>
        <v>3.6899999999999977</v>
      </c>
      <c r="V472" s="17">
        <f ca="1">(LN(N472/G472)+(L472/100)^2*P472/2)/(L472/100*SQRT(P472))</f>
        <v>-0.57452765742295131</v>
      </c>
      <c r="W472" s="17">
        <f ca="1">V472-L472/100*SQRT(P472)</f>
        <v>-1.1375019075531458</v>
      </c>
      <c r="X472" s="17">
        <f ca="1">(LN(N472/G472)+P472*(U472/100+(L472/100)^2/2))/((L472/100*SQRT(P472)))</f>
        <v>-0.40590708361529165</v>
      </c>
      <c r="Y472" s="17">
        <f ca="1">X472-N472/100*SQRT(R472)</f>
        <v>-0.7399253537742756</v>
      </c>
      <c r="Z472" s="20">
        <f ca="1">EXP(-P472)/(N472*L472/100*SQRT(P472))*_xlfn.NORM.S.DIST(X472,FALSE)</f>
        <v>5.3774764013029578E-3</v>
      </c>
      <c r="AA472" s="17">
        <f t="shared" ca="1" si="36"/>
        <v>4.1672590746187925E-3</v>
      </c>
      <c r="AB472" s="17"/>
      <c r="AC472" s="17"/>
      <c r="AD472" s="17"/>
    </row>
    <row r="473" spans="1:30" x14ac:dyDescent="0.25">
      <c r="A473" t="s">
        <v>106</v>
      </c>
      <c r="B473" t="s">
        <v>107</v>
      </c>
      <c r="C473" t="s">
        <v>108</v>
      </c>
      <c r="D473">
        <v>46763</v>
      </c>
      <c r="E473" t="s">
        <v>107</v>
      </c>
      <c r="F473" t="s">
        <v>110</v>
      </c>
      <c r="G473">
        <v>5</v>
      </c>
      <c r="H473">
        <v>0.27100000000000002</v>
      </c>
      <c r="I473">
        <v>-1.4E-2</v>
      </c>
      <c r="J473" t="s">
        <v>88</v>
      </c>
      <c r="K473">
        <v>4172</v>
      </c>
      <c r="L473">
        <v>35.609400000000001</v>
      </c>
      <c r="M473">
        <v>-8.6209999999999995E-2</v>
      </c>
      <c r="N473">
        <f>INDEX(jkm!$H:$H,MATCH(J473,jkm!$J:$J,0),1)</f>
        <v>9.2639999999999993</v>
      </c>
      <c r="O473" s="3">
        <f t="shared" ca="1" si="37"/>
        <v>939</v>
      </c>
      <c r="P473" s="3">
        <f t="shared" ca="1" si="38"/>
        <v>2.5726027397260274</v>
      </c>
      <c r="Q473" t="str" cm="1">
        <f t="array" ref="Q473:S473">_xlfn.TEXTSPLIT(J473,"/")</f>
        <v>10</v>
      </c>
      <c r="R473" s="1" t="str">
        <v>13</v>
      </c>
      <c r="S473" t="str">
        <v>2028</v>
      </c>
      <c r="T473" s="1">
        <f t="shared" si="39"/>
        <v>47039</v>
      </c>
      <c r="U473" s="19">
        <f t="shared" si="40"/>
        <v>3.6899999999999977</v>
      </c>
      <c r="V473" s="17">
        <f ca="1">(LN(N473/G473)+(L473/100)^2*P473/2)/(L473/100*SQRT(P473))</f>
        <v>1.3653213577891956</v>
      </c>
      <c r="W473" s="17">
        <f ca="1">V473-L473/100*SQRT(P473)</f>
        <v>0.79417025456904067</v>
      </c>
      <c r="X473" s="17">
        <f ca="1">(LN(N473/G473)+P473*(U473/100+(L473/100)^2/2))/((L473/100*SQRT(P473)))</f>
        <v>1.5315278845045948</v>
      </c>
      <c r="Y473" s="17">
        <f ca="1">X473-N473/100*SQRT(R473)</f>
        <v>1.1975096143456108</v>
      </c>
      <c r="Z473" s="20">
        <f ca="1">EXP(-P473)/(N473*L473/100*SQRT(P473))*_xlfn.NORM.S.DIST(X473,FALSE)</f>
        <v>1.7813842487967638E-3</v>
      </c>
      <c r="AA473" s="17">
        <f t="shared" ca="1" si="36"/>
        <v>1.4005289311013601E-3</v>
      </c>
      <c r="AB473" s="17"/>
      <c r="AC473" s="17"/>
      <c r="AD473" s="17"/>
    </row>
    <row r="474" spans="1:30" x14ac:dyDescent="0.25">
      <c r="A474" t="s">
        <v>106</v>
      </c>
      <c r="B474" t="s">
        <v>107</v>
      </c>
      <c r="C474" t="s">
        <v>108</v>
      </c>
      <c r="D474">
        <v>46763</v>
      </c>
      <c r="E474" t="s">
        <v>107</v>
      </c>
      <c r="F474" t="s">
        <v>110</v>
      </c>
      <c r="G474">
        <v>8</v>
      </c>
      <c r="H474">
        <v>1.355</v>
      </c>
      <c r="I474">
        <v>-4.4999999999999998E-2</v>
      </c>
      <c r="J474" t="s">
        <v>88</v>
      </c>
      <c r="K474">
        <v>4172</v>
      </c>
      <c r="L474">
        <v>35.275399999999998</v>
      </c>
      <c r="M474">
        <v>-0.29383999999999999</v>
      </c>
      <c r="N474">
        <f>INDEX(jkm!$H:$H,MATCH(J474,jkm!$J:$J,0),1)</f>
        <v>9.2639999999999993</v>
      </c>
      <c r="O474" s="3">
        <f t="shared" ca="1" si="37"/>
        <v>939</v>
      </c>
      <c r="P474" s="3">
        <f t="shared" ca="1" si="38"/>
        <v>2.5726027397260274</v>
      </c>
      <c r="Q474" t="str" cm="1">
        <f t="array" ref="Q474:S474">_xlfn.TEXTSPLIT(J474,"/")</f>
        <v>10</v>
      </c>
      <c r="R474" s="1" t="str">
        <v>13</v>
      </c>
      <c r="S474" t="str">
        <v>2028</v>
      </c>
      <c r="T474" s="1">
        <f t="shared" si="39"/>
        <v>47039</v>
      </c>
      <c r="U474" s="19">
        <f t="shared" si="40"/>
        <v>3.6899999999999977</v>
      </c>
      <c r="V474" s="17">
        <f ca="1">(LN(N474/G474)+(L474/100)^2*P474/2)/(L474/100*SQRT(P474))</f>
        <v>0.54216871078177464</v>
      </c>
      <c r="W474" s="17">
        <f ca="1">V474-L474/100*SQRT(P474)</f>
        <v>-2.3625254478304103E-2</v>
      </c>
      <c r="X474" s="17">
        <f ca="1">(LN(N474/G474)+P474*(U474/100+(L474/100)^2/2))/((L474/100*SQRT(P474)))</f>
        <v>0.70994893984847074</v>
      </c>
      <c r="Y474" s="17">
        <f ca="1">X474-N474/100*SQRT(R474)</f>
        <v>0.3759306696894868</v>
      </c>
      <c r="Z474" s="20">
        <f ca="1">EXP(-P474)/(N474*L474/100*SQRT(P474))*_xlfn.NORM.S.DIST(X474,FALSE)</f>
        <v>4.5158328043480214E-3</v>
      </c>
      <c r="AA474" s="17">
        <f t="shared" ca="1" si="36"/>
        <v>3.5170587400846949E-3</v>
      </c>
      <c r="AB474" s="17"/>
      <c r="AC474" s="17"/>
      <c r="AD474" s="17"/>
    </row>
    <row r="475" spans="1:30" x14ac:dyDescent="0.25">
      <c r="A475" t="s">
        <v>106</v>
      </c>
      <c r="B475" t="s">
        <v>107</v>
      </c>
      <c r="C475" t="s">
        <v>108</v>
      </c>
      <c r="D475">
        <v>46763</v>
      </c>
      <c r="E475" t="s">
        <v>107</v>
      </c>
      <c r="F475" t="s">
        <v>110</v>
      </c>
      <c r="G475">
        <v>10</v>
      </c>
      <c r="H475">
        <v>2.5270000000000001</v>
      </c>
      <c r="I475">
        <v>-6.8000000000000005E-2</v>
      </c>
      <c r="J475" t="s">
        <v>88</v>
      </c>
      <c r="K475">
        <v>4172</v>
      </c>
      <c r="L475">
        <v>35.150399999999998</v>
      </c>
      <c r="M475">
        <v>-0.44167000000000001</v>
      </c>
      <c r="N475">
        <f>INDEX(jkm!$H:$H,MATCH(J475,jkm!$J:$J,0),1)</f>
        <v>9.2639999999999993</v>
      </c>
      <c r="O475" s="3">
        <f t="shared" ca="1" si="37"/>
        <v>939</v>
      </c>
      <c r="P475" s="3">
        <f t="shared" ca="1" si="38"/>
        <v>2.5726027397260274</v>
      </c>
      <c r="Q475" t="str" cm="1">
        <f t="array" ref="Q475:S475">_xlfn.TEXTSPLIT(J475,"/")</f>
        <v>10</v>
      </c>
      <c r="R475" s="1" t="str">
        <v>13</v>
      </c>
      <c r="S475" t="str">
        <v>2028</v>
      </c>
      <c r="T475" s="1">
        <f t="shared" si="39"/>
        <v>47039</v>
      </c>
      <c r="U475" s="19">
        <f t="shared" si="40"/>
        <v>3.6899999999999977</v>
      </c>
      <c r="V475" s="17">
        <f ca="1">(LN(N475/G475)+(L475/100)^2*P475/2)/(L475/100*SQRT(P475))</f>
        <v>0.14629562883737576</v>
      </c>
      <c r="W475" s="17">
        <f ca="1">V475-L475/100*SQRT(P475)</f>
        <v>-0.417493419521477</v>
      </c>
      <c r="X475" s="17">
        <f ca="1">(LN(N475/G475)+P475*(U475/100+(L475/100)^2/2))/((L475/100*SQRT(P475)))</f>
        <v>0.31467250911240346</v>
      </c>
      <c r="Y475" s="17">
        <f ca="1">X475-N475/100*SQRT(R475)</f>
        <v>-1.9345761046580479E-2</v>
      </c>
      <c r="Z475" s="20">
        <f ca="1">EXP(-P475)/(N475*L475/100*SQRT(P475))*_xlfn.NORM.S.DIST(X475,FALSE)</f>
        <v>5.5491447479075248E-3</v>
      </c>
      <c r="AA475" s="17">
        <f t="shared" ca="1" si="36"/>
        <v>4.3065167973819728E-3</v>
      </c>
      <c r="AB475" s="17"/>
      <c r="AC475" s="17"/>
      <c r="AD475" s="17"/>
    </row>
    <row r="476" spans="1:30" x14ac:dyDescent="0.25">
      <c r="A476" t="s">
        <v>106</v>
      </c>
      <c r="B476" t="s">
        <v>107</v>
      </c>
      <c r="C476" t="s">
        <v>108</v>
      </c>
      <c r="D476">
        <v>46763</v>
      </c>
      <c r="E476" t="s">
        <v>107</v>
      </c>
      <c r="F476" t="s">
        <v>110</v>
      </c>
      <c r="G476">
        <v>13</v>
      </c>
      <c r="H476">
        <v>4.7560000000000002</v>
      </c>
      <c r="I476">
        <v>-9.5000000000000001E-2</v>
      </c>
      <c r="J476" t="s">
        <v>88</v>
      </c>
      <c r="K476">
        <v>4172</v>
      </c>
      <c r="L476">
        <v>35.111800000000002</v>
      </c>
      <c r="M476">
        <v>-0.62517</v>
      </c>
      <c r="N476">
        <f>INDEX(jkm!$H:$H,MATCH(J476,jkm!$J:$J,0),1)</f>
        <v>9.2639999999999993</v>
      </c>
      <c r="O476" s="3">
        <f t="shared" ca="1" si="37"/>
        <v>939</v>
      </c>
      <c r="P476" s="3">
        <f t="shared" ca="1" si="38"/>
        <v>2.5726027397260274</v>
      </c>
      <c r="Q476" t="str" cm="1">
        <f t="array" ref="Q476:S476">_xlfn.TEXTSPLIT(J476,"/")</f>
        <v>10</v>
      </c>
      <c r="R476" s="1" t="str">
        <v>13</v>
      </c>
      <c r="S476" t="str">
        <v>2028</v>
      </c>
      <c r="T476" s="1">
        <f t="shared" si="39"/>
        <v>47039</v>
      </c>
      <c r="U476" s="19">
        <f t="shared" si="40"/>
        <v>3.6899999999999977</v>
      </c>
      <c r="V476" s="17">
        <f ca="1">(LN(N476/G476)+(L476/100)^2*P476/2)/(L476/100*SQRT(P476))</f>
        <v>-0.32003351383719647</v>
      </c>
      <c r="W476" s="17">
        <f ca="1">V476-L476/100*SQRT(P476)</f>
        <v>-0.88320344385695071</v>
      </c>
      <c r="X476" s="17">
        <f ca="1">(LN(N476/G476)+P476*(U476/100+(L476/100)^2/2))/((L476/100*SQRT(P476)))</f>
        <v>-0.15147152919330659</v>
      </c>
      <c r="Y476" s="17">
        <f ca="1">X476-N476/100*SQRT(R476)</f>
        <v>-0.48548979935229053</v>
      </c>
      <c r="Z476" s="20">
        <f ca="1">EXP(-P476)/(N476*L476/100*SQRT(P476))*_xlfn.NORM.S.DIST(X476,FALSE)</f>
        <v>5.7706235369262291E-3</v>
      </c>
      <c r="AA476" s="17">
        <f t="shared" ca="1" si="36"/>
        <v>4.4734816212144866E-3</v>
      </c>
      <c r="AB476" s="17"/>
      <c r="AC476" s="17"/>
      <c r="AD476" s="17"/>
    </row>
    <row r="477" spans="1:30" x14ac:dyDescent="0.25">
      <c r="A477" t="s">
        <v>106</v>
      </c>
      <c r="B477" t="s">
        <v>107</v>
      </c>
      <c r="C477" t="s">
        <v>108</v>
      </c>
      <c r="D477">
        <v>46763</v>
      </c>
      <c r="E477" t="s">
        <v>107</v>
      </c>
      <c r="F477" t="s">
        <v>110</v>
      </c>
      <c r="G477">
        <v>15</v>
      </c>
      <c r="H477">
        <v>6.4429999999999996</v>
      </c>
      <c r="I477">
        <v>-0.108</v>
      </c>
      <c r="J477" t="s">
        <v>88</v>
      </c>
      <c r="K477">
        <v>4172</v>
      </c>
      <c r="L477">
        <v>35.099600000000002</v>
      </c>
      <c r="M477">
        <v>-0.71679000000000004</v>
      </c>
      <c r="N477">
        <f>INDEX(jkm!$H:$H,MATCH(J477,jkm!$J:$J,0),1)</f>
        <v>9.2639999999999993</v>
      </c>
      <c r="O477" s="3">
        <f t="shared" ca="1" si="37"/>
        <v>939</v>
      </c>
      <c r="P477" s="3">
        <f t="shared" ca="1" si="38"/>
        <v>2.5726027397260274</v>
      </c>
      <c r="Q477" t="str" cm="1">
        <f t="array" ref="Q477:S477">_xlfn.TEXTSPLIT(J477,"/")</f>
        <v>10</v>
      </c>
      <c r="R477" s="1" t="str">
        <v>13</v>
      </c>
      <c r="S477" t="str">
        <v>2028</v>
      </c>
      <c r="T477" s="1">
        <f t="shared" si="39"/>
        <v>47039</v>
      </c>
      <c r="U477" s="19">
        <f t="shared" si="40"/>
        <v>3.6899999999999977</v>
      </c>
      <c r="V477" s="17">
        <f ca="1">(LN(N477/G477)+(L477/100)^2*P477/2)/(L477/100*SQRT(P477))</f>
        <v>-0.57452765742295131</v>
      </c>
      <c r="W477" s="17">
        <f ca="1">V477-L477/100*SQRT(P477)</f>
        <v>-1.1375019075531458</v>
      </c>
      <c r="X477" s="17">
        <f ca="1">(LN(N477/G477)+P477*(U477/100+(L477/100)^2/2))/((L477/100*SQRT(P477)))</f>
        <v>-0.40590708361529165</v>
      </c>
      <c r="Y477" s="17">
        <f ca="1">X477-N477/100*SQRT(R477)</f>
        <v>-0.7399253537742756</v>
      </c>
      <c r="Z477" s="20">
        <f ca="1">EXP(-P477)/(N477*L477/100*SQRT(P477))*_xlfn.NORM.S.DIST(X477,FALSE)</f>
        <v>5.3774764013029578E-3</v>
      </c>
      <c r="AA477" s="17">
        <f t="shared" ca="1" si="36"/>
        <v>4.1672590746187925E-3</v>
      </c>
      <c r="AB477" s="17"/>
      <c r="AC477" s="17"/>
      <c r="AD477" s="17"/>
    </row>
    <row r="478" spans="1:30" x14ac:dyDescent="0.25">
      <c r="A478" t="s">
        <v>106</v>
      </c>
      <c r="B478" t="s">
        <v>107</v>
      </c>
      <c r="C478" t="s">
        <v>108</v>
      </c>
      <c r="D478">
        <v>46764</v>
      </c>
      <c r="E478" t="s">
        <v>107</v>
      </c>
      <c r="F478" t="s">
        <v>109</v>
      </c>
      <c r="G478">
        <v>5</v>
      </c>
      <c r="H478">
        <v>4.657</v>
      </c>
      <c r="I478">
        <v>0.114</v>
      </c>
      <c r="J478" t="s">
        <v>89</v>
      </c>
      <c r="K478">
        <v>4172</v>
      </c>
      <c r="L478">
        <v>35.576599999999999</v>
      </c>
      <c r="M478">
        <v>0.91520000000000001</v>
      </c>
      <c r="N478">
        <f>INDEX(jkm!$H:$H,MATCH(J478,jkm!$J:$J,0),1)</f>
        <v>9.3819999999999997</v>
      </c>
      <c r="O478" s="3">
        <f t="shared" ca="1" si="37"/>
        <v>972</v>
      </c>
      <c r="P478" s="3">
        <f t="shared" ca="1" si="38"/>
        <v>2.6630136986301371</v>
      </c>
      <c r="Q478" t="str" cm="1">
        <f t="array" ref="Q478:S478">_xlfn.TEXTSPLIT(J478,"/")</f>
        <v>11</v>
      </c>
      <c r="R478" s="1" t="str">
        <v>15</v>
      </c>
      <c r="S478" t="str">
        <v>2028</v>
      </c>
      <c r="T478" s="1">
        <f t="shared" si="39"/>
        <v>47072</v>
      </c>
      <c r="U478" s="19">
        <f t="shared" si="40"/>
        <v>3.6899999999999977</v>
      </c>
      <c r="V478" s="17">
        <f ca="1">(LN(N478/G478)+(L478/100)^2*P478/2)/(L478/100*SQRT(P478))</f>
        <v>1.3743208746023854</v>
      </c>
      <c r="W478" s="17">
        <f ca="1">V478-L478/100*SQRT(P478)</f>
        <v>0.79375548591712652</v>
      </c>
      <c r="X478" s="17">
        <f ca="1">(LN(N478/G478)+P478*(U478/100+(L478/100)^2/2))/((L478/100*SQRT(P478)))</f>
        <v>1.5435786488248242</v>
      </c>
      <c r="Y478" s="17">
        <f ca="1">X478-N478/100*SQRT(R478)</f>
        <v>1.1802153512836444</v>
      </c>
      <c r="Z478" s="20">
        <f ca="1">EXP(-P478)/(N478*L478/100*SQRT(P478))*_xlfn.NORM.S.DIST(X478,FALSE)</f>
        <v>1.5518463364930376E-3</v>
      </c>
      <c r="AA478" s="17">
        <f t="shared" ca="1" si="36"/>
        <v>1.2941285366496809E-3</v>
      </c>
      <c r="AB478" s="17"/>
      <c r="AC478" s="17"/>
      <c r="AD478" s="17"/>
    </row>
    <row r="479" spans="1:30" x14ac:dyDescent="0.25">
      <c r="A479" t="s">
        <v>106</v>
      </c>
      <c r="B479" t="s">
        <v>107</v>
      </c>
      <c r="C479" t="s">
        <v>108</v>
      </c>
      <c r="D479">
        <v>46764</v>
      </c>
      <c r="E479" t="s">
        <v>107</v>
      </c>
      <c r="F479" t="s">
        <v>109</v>
      </c>
      <c r="G479">
        <v>8</v>
      </c>
      <c r="H479">
        <v>2.7330000000000001</v>
      </c>
      <c r="I479">
        <v>8.8999999999999996E-2</v>
      </c>
      <c r="J479" t="s">
        <v>89</v>
      </c>
      <c r="K479">
        <v>4172</v>
      </c>
      <c r="L479">
        <v>35.243099999999998</v>
      </c>
      <c r="M479">
        <v>0.71384000000000003</v>
      </c>
      <c r="N479">
        <f>INDEX(jkm!$H:$H,MATCH(J479,jkm!$J:$J,0),1)</f>
        <v>9.3819999999999997</v>
      </c>
      <c r="O479" s="3">
        <f t="shared" ca="1" si="37"/>
        <v>972</v>
      </c>
      <c r="P479" s="3">
        <f t="shared" ca="1" si="38"/>
        <v>2.6630136986301371</v>
      </c>
      <c r="Q479" t="str" cm="1">
        <f t="array" ref="Q479:S479">_xlfn.TEXTSPLIT(J479,"/")</f>
        <v>11</v>
      </c>
      <c r="R479" s="1" t="str">
        <v>15</v>
      </c>
      <c r="S479" t="str">
        <v>2028</v>
      </c>
      <c r="T479" s="1">
        <f t="shared" si="39"/>
        <v>47072</v>
      </c>
      <c r="U479" s="19">
        <f t="shared" si="40"/>
        <v>3.6899999999999977</v>
      </c>
      <c r="V479" s="17">
        <f ca="1">(LN(N479/G479)+(L479/100)^2*P479/2)/(L479/100*SQRT(P479))</f>
        <v>0.56463513320300107</v>
      </c>
      <c r="W479" s="17">
        <f ca="1">V479-L479/100*SQRT(P479)</f>
        <v>-1.048795472483488E-2</v>
      </c>
      <c r="X479" s="17">
        <f ca="1">(LN(N479/G479)+P479*(U479/100+(L479/100)^2/2))/((L479/100*SQRT(P479)))</f>
        <v>0.73549456754339737</v>
      </c>
      <c r="Y479" s="17">
        <f ca="1">X479-N479/100*SQRT(R479)</f>
        <v>0.37213127000221752</v>
      </c>
      <c r="Z479" s="20">
        <f ca="1">EXP(-P479)/(N479*L479/100*SQRT(P479))*_xlfn.NORM.S.DIST(X479,FALSE)</f>
        <v>3.9341905398923823E-3</v>
      </c>
      <c r="AA479" s="17">
        <f t="shared" ca="1" si="36"/>
        <v>3.2500777432695254E-3</v>
      </c>
      <c r="AB479" s="17"/>
      <c r="AC479" s="17"/>
      <c r="AD479" s="17"/>
    </row>
    <row r="480" spans="1:30" x14ac:dyDescent="0.25">
      <c r="A480" t="s">
        <v>106</v>
      </c>
      <c r="B480" t="s">
        <v>107</v>
      </c>
      <c r="C480" t="s">
        <v>108</v>
      </c>
      <c r="D480">
        <v>46764</v>
      </c>
      <c r="E480" t="s">
        <v>107</v>
      </c>
      <c r="F480" t="s">
        <v>109</v>
      </c>
      <c r="G480">
        <v>10</v>
      </c>
      <c r="H480">
        <v>1.8919999999999999</v>
      </c>
      <c r="I480">
        <v>7.0000000000000007E-2</v>
      </c>
      <c r="J480" t="s">
        <v>89</v>
      </c>
      <c r="K480">
        <v>4172</v>
      </c>
      <c r="L480">
        <v>35.111499999999999</v>
      </c>
      <c r="M480">
        <v>0.56967999999999996</v>
      </c>
      <c r="N480">
        <f>INDEX(jkm!$H:$H,MATCH(J480,jkm!$J:$J,0),1)</f>
        <v>9.3819999999999997</v>
      </c>
      <c r="O480" s="3">
        <f t="shared" ca="1" si="37"/>
        <v>972</v>
      </c>
      <c r="P480" s="3">
        <f t="shared" ca="1" si="38"/>
        <v>2.6630136986301371</v>
      </c>
      <c r="Q480" t="str" cm="1">
        <f t="array" ref="Q480:S480">_xlfn.TEXTSPLIT(J480,"/")</f>
        <v>11</v>
      </c>
      <c r="R480" s="1" t="str">
        <v>15</v>
      </c>
      <c r="S480" t="str">
        <v>2028</v>
      </c>
      <c r="T480" s="1">
        <f t="shared" si="39"/>
        <v>47072</v>
      </c>
      <c r="U480" s="19">
        <f t="shared" si="40"/>
        <v>3.6899999999999977</v>
      </c>
      <c r="V480" s="17">
        <f ca="1">(LN(N480/G480)+(L480/100)^2*P480/2)/(L480/100*SQRT(P480))</f>
        <v>0.17515294313128235</v>
      </c>
      <c r="W480" s="17">
        <f ca="1">V480-L480/100*SQRT(P480)</f>
        <v>-0.3978225982308059</v>
      </c>
      <c r="X480" s="17">
        <f ca="1">(LN(N480/G480)+P480*(U480/100+(L480/100)^2/2))/((L480/100*SQRT(P480)))</f>
        <v>0.34665276884086516</v>
      </c>
      <c r="Y480" s="17">
        <f ca="1">X480-N480/100*SQRT(R480)</f>
        <v>-1.6710528700314697E-2</v>
      </c>
      <c r="Z480" s="20">
        <f ca="1">EXP(-P480)/(N480*L480/100*SQRT(P480))*_xlfn.NORM.S.DIST(X480,FALSE)</f>
        <v>4.87362622423098E-3</v>
      </c>
      <c r="AA480" s="17">
        <f t="shared" ca="1" si="36"/>
        <v>4.0111218907032857E-3</v>
      </c>
      <c r="AB480" s="17"/>
      <c r="AC480" s="17"/>
      <c r="AD480" s="17"/>
    </row>
    <row r="481" spans="1:30" x14ac:dyDescent="0.25">
      <c r="A481" t="s">
        <v>106</v>
      </c>
      <c r="B481" t="s">
        <v>107</v>
      </c>
      <c r="C481" t="s">
        <v>108</v>
      </c>
      <c r="D481">
        <v>46764</v>
      </c>
      <c r="E481" t="s">
        <v>107</v>
      </c>
      <c r="F481" t="s">
        <v>109</v>
      </c>
      <c r="G481">
        <v>13</v>
      </c>
      <c r="H481">
        <v>1.097</v>
      </c>
      <c r="I481">
        <v>4.7E-2</v>
      </c>
      <c r="J481" t="s">
        <v>89</v>
      </c>
      <c r="K481">
        <v>4172</v>
      </c>
      <c r="L481">
        <v>35.072499999999998</v>
      </c>
      <c r="M481">
        <v>0.38866000000000001</v>
      </c>
      <c r="N481">
        <f>INDEX(jkm!$H:$H,MATCH(J481,jkm!$J:$J,0),1)</f>
        <v>9.3819999999999997</v>
      </c>
      <c r="O481" s="3">
        <f t="shared" ca="1" si="37"/>
        <v>972</v>
      </c>
      <c r="P481" s="3">
        <f t="shared" ca="1" si="38"/>
        <v>2.6630136986301371</v>
      </c>
      <c r="Q481" t="str" cm="1">
        <f t="array" ref="Q481:S481">_xlfn.TEXTSPLIT(J481,"/")</f>
        <v>11</v>
      </c>
      <c r="R481" s="1" t="str">
        <v>15</v>
      </c>
      <c r="S481" t="str">
        <v>2028</v>
      </c>
      <c r="T481" s="1">
        <f t="shared" si="39"/>
        <v>47072</v>
      </c>
      <c r="U481" s="19">
        <f t="shared" si="40"/>
        <v>3.6899999999999977</v>
      </c>
      <c r="V481" s="17">
        <f ca="1">(LN(N481/G481)+(L481/100)^2*P481/2)/(L481/100*SQRT(P481))</f>
        <v>-0.28369609199782669</v>
      </c>
      <c r="W481" s="17">
        <f ca="1">V481-L481/100*SQRT(P481)</f>
        <v>-0.85603520238678299</v>
      </c>
      <c r="X481" s="17">
        <f ca="1">(LN(N481/G481)+P481*(U481/100+(L481/100)^2/2))/((L481/100*SQRT(P481)))</f>
        <v>-0.11200556151377172</v>
      </c>
      <c r="Y481" s="17">
        <f ca="1">X481-N481/100*SQRT(R481)</f>
        <v>-0.47536885905495158</v>
      </c>
      <c r="Z481" s="20">
        <f ca="1">EXP(-P481)/(N481*L481/100*SQRT(P481))*_xlfn.NORM.S.DIST(X481,FALSE)</f>
        <v>5.1487866103490949E-3</v>
      </c>
      <c r="AA481" s="17">
        <f t="shared" ca="1" si="36"/>
        <v>4.2328792006265563E-3</v>
      </c>
      <c r="AB481" s="17"/>
      <c r="AC481" s="17"/>
      <c r="AD481" s="17"/>
    </row>
    <row r="482" spans="1:30" x14ac:dyDescent="0.25">
      <c r="A482" t="s">
        <v>106</v>
      </c>
      <c r="B482" t="s">
        <v>107</v>
      </c>
      <c r="C482" t="s">
        <v>108</v>
      </c>
      <c r="D482">
        <v>46764</v>
      </c>
      <c r="E482" t="s">
        <v>107</v>
      </c>
      <c r="F482" t="s">
        <v>109</v>
      </c>
      <c r="G482">
        <v>15</v>
      </c>
      <c r="H482">
        <v>0.77</v>
      </c>
      <c r="I482">
        <v>3.5000000000000003E-2</v>
      </c>
      <c r="J482" t="s">
        <v>89</v>
      </c>
      <c r="K482">
        <v>4172</v>
      </c>
      <c r="L482">
        <v>35.058500000000002</v>
      </c>
      <c r="M482">
        <v>0.29701</v>
      </c>
      <c r="N482">
        <f>INDEX(jkm!$H:$H,MATCH(J482,jkm!$J:$J,0),1)</f>
        <v>9.3819999999999997</v>
      </c>
      <c r="O482" s="3">
        <f t="shared" ca="1" si="37"/>
        <v>972</v>
      </c>
      <c r="P482" s="3">
        <f t="shared" ca="1" si="38"/>
        <v>2.6630136986301371</v>
      </c>
      <c r="Q482" t="str" cm="1">
        <f t="array" ref="Q482:S482">_xlfn.TEXTSPLIT(J482,"/")</f>
        <v>11</v>
      </c>
      <c r="R482" s="1" t="str">
        <v>15</v>
      </c>
      <c r="S482" t="str">
        <v>2028</v>
      </c>
      <c r="T482" s="1">
        <f t="shared" si="39"/>
        <v>47072</v>
      </c>
      <c r="U482" s="19">
        <f t="shared" si="40"/>
        <v>3.6899999999999977</v>
      </c>
      <c r="V482" s="17">
        <f ca="1">(LN(N482/G482)+(L482/100)^2*P482/2)/(L482/100*SQRT(P482))</f>
        <v>-0.53416580428922134</v>
      </c>
      <c r="W482" s="17">
        <f ca="1">V482-L482/100*SQRT(P482)</f>
        <v>-1.1062764522775663</v>
      </c>
      <c r="X482" s="17">
        <f ca="1">(LN(N482/G482)+P482*(U482/100+(L482/100)^2/2))/((L482/100*SQRT(P482)))</f>
        <v>-0.36240671218881726</v>
      </c>
      <c r="Y482" s="17">
        <f ca="1">X482-N482/100*SQRT(R482)</f>
        <v>-0.72577000972999706</v>
      </c>
      <c r="Z482" s="20">
        <f ca="1">EXP(-P482)/(N482*L482/100*SQRT(P482))*_xlfn.NORM.S.DIST(X482,FALSE)</f>
        <v>4.8538084318718597E-3</v>
      </c>
      <c r="AA482" s="17">
        <f t="shared" ca="1" si="36"/>
        <v>3.9887812534721012E-3</v>
      </c>
      <c r="AB482" s="17"/>
      <c r="AC482" s="17"/>
      <c r="AD482" s="17"/>
    </row>
    <row r="483" spans="1:30" x14ac:dyDescent="0.25">
      <c r="A483" t="s">
        <v>106</v>
      </c>
      <c r="B483" t="s">
        <v>107</v>
      </c>
      <c r="C483" t="s">
        <v>108</v>
      </c>
      <c r="D483">
        <v>46764</v>
      </c>
      <c r="E483" t="s">
        <v>107</v>
      </c>
      <c r="F483" t="s">
        <v>110</v>
      </c>
      <c r="G483">
        <v>5</v>
      </c>
      <c r="H483">
        <v>0.27500000000000002</v>
      </c>
      <c r="I483">
        <v>-1.0999999999999999E-2</v>
      </c>
      <c r="J483" t="s">
        <v>89</v>
      </c>
      <c r="K483">
        <v>4172</v>
      </c>
      <c r="L483">
        <v>35.576599999999999</v>
      </c>
      <c r="M483">
        <v>-8.48E-2</v>
      </c>
      <c r="N483">
        <f>INDEX(jkm!$H:$H,MATCH(J483,jkm!$J:$J,0),1)</f>
        <v>9.3819999999999997</v>
      </c>
      <c r="O483" s="3">
        <f t="shared" ca="1" si="37"/>
        <v>972</v>
      </c>
      <c r="P483" s="3">
        <f t="shared" ca="1" si="38"/>
        <v>2.6630136986301371</v>
      </c>
      <c r="Q483" t="str" cm="1">
        <f t="array" ref="Q483:S483">_xlfn.TEXTSPLIT(J483,"/")</f>
        <v>11</v>
      </c>
      <c r="R483" s="1" t="str">
        <v>15</v>
      </c>
      <c r="S483" t="str">
        <v>2028</v>
      </c>
      <c r="T483" s="1">
        <f t="shared" si="39"/>
        <v>47072</v>
      </c>
      <c r="U483" s="19">
        <f t="shared" si="40"/>
        <v>3.6899999999999977</v>
      </c>
      <c r="V483" s="17">
        <f ca="1">(LN(N483/G483)+(L483/100)^2*P483/2)/(L483/100*SQRT(P483))</f>
        <v>1.3743208746023854</v>
      </c>
      <c r="W483" s="17">
        <f ca="1">V483-L483/100*SQRT(P483)</f>
        <v>0.79375548591712652</v>
      </c>
      <c r="X483" s="17">
        <f ca="1">(LN(N483/G483)+P483*(U483/100+(L483/100)^2/2))/((L483/100*SQRT(P483)))</f>
        <v>1.5435786488248242</v>
      </c>
      <c r="Y483" s="17">
        <f ca="1">X483-N483/100*SQRT(R483)</f>
        <v>1.1802153512836444</v>
      </c>
      <c r="Z483" s="20">
        <f ca="1">EXP(-P483)/(N483*L483/100*SQRT(P483))*_xlfn.NORM.S.DIST(X483,FALSE)</f>
        <v>1.5518463364930376E-3</v>
      </c>
      <c r="AA483" s="17">
        <f t="shared" ca="1" si="36"/>
        <v>1.2941285366496809E-3</v>
      </c>
      <c r="AB483" s="17"/>
      <c r="AC483" s="17"/>
      <c r="AD483" s="17"/>
    </row>
    <row r="484" spans="1:30" x14ac:dyDescent="0.25">
      <c r="A484" t="s">
        <v>106</v>
      </c>
      <c r="B484" t="s">
        <v>107</v>
      </c>
      <c r="C484" t="s">
        <v>108</v>
      </c>
      <c r="D484">
        <v>46764</v>
      </c>
      <c r="E484" t="s">
        <v>107</v>
      </c>
      <c r="F484" t="s">
        <v>110</v>
      </c>
      <c r="G484">
        <v>8</v>
      </c>
      <c r="H484">
        <v>1.351</v>
      </c>
      <c r="I484">
        <v>-3.5999999999999997E-2</v>
      </c>
      <c r="J484" t="s">
        <v>89</v>
      </c>
      <c r="K484">
        <v>4172</v>
      </c>
      <c r="L484">
        <v>35.243099999999998</v>
      </c>
      <c r="M484">
        <v>-0.28616000000000003</v>
      </c>
      <c r="N484">
        <f>INDEX(jkm!$H:$H,MATCH(J484,jkm!$J:$J,0),1)</f>
        <v>9.3819999999999997</v>
      </c>
      <c r="O484" s="3">
        <f t="shared" ca="1" si="37"/>
        <v>972</v>
      </c>
      <c r="P484" s="3">
        <f t="shared" ca="1" si="38"/>
        <v>2.6630136986301371</v>
      </c>
      <c r="Q484" t="str" cm="1">
        <f t="array" ref="Q484:S484">_xlfn.TEXTSPLIT(J484,"/")</f>
        <v>11</v>
      </c>
      <c r="R484" s="1" t="str">
        <v>15</v>
      </c>
      <c r="S484" t="str">
        <v>2028</v>
      </c>
      <c r="T484" s="1">
        <f t="shared" si="39"/>
        <v>47072</v>
      </c>
      <c r="U484" s="19">
        <f t="shared" si="40"/>
        <v>3.6899999999999977</v>
      </c>
      <c r="V484" s="17">
        <f ca="1">(LN(N484/G484)+(L484/100)^2*P484/2)/(L484/100*SQRT(P484))</f>
        <v>0.56463513320300107</v>
      </c>
      <c r="W484" s="17">
        <f ca="1">V484-L484/100*SQRT(P484)</f>
        <v>-1.048795472483488E-2</v>
      </c>
      <c r="X484" s="17">
        <f ca="1">(LN(N484/G484)+P484*(U484/100+(L484/100)^2/2))/((L484/100*SQRT(P484)))</f>
        <v>0.73549456754339737</v>
      </c>
      <c r="Y484" s="17">
        <f ca="1">X484-N484/100*SQRT(R484)</f>
        <v>0.37213127000221752</v>
      </c>
      <c r="Z484" s="20">
        <f ca="1">EXP(-P484)/(N484*L484/100*SQRT(P484))*_xlfn.NORM.S.DIST(X484,FALSE)</f>
        <v>3.9341905398923823E-3</v>
      </c>
      <c r="AA484" s="17">
        <f t="shared" ca="1" si="36"/>
        <v>3.2500777432695254E-3</v>
      </c>
      <c r="AB484" s="17"/>
      <c r="AC484" s="17"/>
      <c r="AD484" s="17"/>
    </row>
    <row r="485" spans="1:30" x14ac:dyDescent="0.25">
      <c r="A485" t="s">
        <v>106</v>
      </c>
      <c r="B485" t="s">
        <v>107</v>
      </c>
      <c r="C485" t="s">
        <v>108</v>
      </c>
      <c r="D485">
        <v>46764</v>
      </c>
      <c r="E485" t="s">
        <v>107</v>
      </c>
      <c r="F485" t="s">
        <v>110</v>
      </c>
      <c r="G485">
        <v>10</v>
      </c>
      <c r="H485">
        <v>2.5099999999999998</v>
      </c>
      <c r="I485">
        <v>-5.5E-2</v>
      </c>
      <c r="J485" t="s">
        <v>89</v>
      </c>
      <c r="K485">
        <v>4172</v>
      </c>
      <c r="L485">
        <v>35.111499999999999</v>
      </c>
      <c r="M485">
        <v>-0.43031999999999998</v>
      </c>
      <c r="N485">
        <f>INDEX(jkm!$H:$H,MATCH(J485,jkm!$J:$J,0),1)</f>
        <v>9.3819999999999997</v>
      </c>
      <c r="O485" s="3">
        <f t="shared" ca="1" si="37"/>
        <v>972</v>
      </c>
      <c r="P485" s="3">
        <f t="shared" ca="1" si="38"/>
        <v>2.6630136986301371</v>
      </c>
      <c r="Q485" t="str" cm="1">
        <f t="array" ref="Q485:S485">_xlfn.TEXTSPLIT(J485,"/")</f>
        <v>11</v>
      </c>
      <c r="R485" s="1" t="str">
        <v>15</v>
      </c>
      <c r="S485" t="str">
        <v>2028</v>
      </c>
      <c r="T485" s="1">
        <f t="shared" si="39"/>
        <v>47072</v>
      </c>
      <c r="U485" s="19">
        <f t="shared" si="40"/>
        <v>3.6899999999999977</v>
      </c>
      <c r="V485" s="17">
        <f ca="1">(LN(N485/G485)+(L485/100)^2*P485/2)/(L485/100*SQRT(P485))</f>
        <v>0.17515294313128235</v>
      </c>
      <c r="W485" s="17">
        <f ca="1">V485-L485/100*SQRT(P485)</f>
        <v>-0.3978225982308059</v>
      </c>
      <c r="X485" s="17">
        <f ca="1">(LN(N485/G485)+P485*(U485/100+(L485/100)^2/2))/((L485/100*SQRT(P485)))</f>
        <v>0.34665276884086516</v>
      </c>
      <c r="Y485" s="17">
        <f ca="1">X485-N485/100*SQRT(R485)</f>
        <v>-1.6710528700314697E-2</v>
      </c>
      <c r="Z485" s="20">
        <f ca="1">EXP(-P485)/(N485*L485/100*SQRT(P485))*_xlfn.NORM.S.DIST(X485,FALSE)</f>
        <v>4.87362622423098E-3</v>
      </c>
      <c r="AA485" s="17">
        <f t="shared" ca="1" si="36"/>
        <v>4.0111218907032857E-3</v>
      </c>
      <c r="AB485" s="17"/>
      <c r="AC485" s="17"/>
      <c r="AD485" s="17"/>
    </row>
    <row r="486" spans="1:30" x14ac:dyDescent="0.25">
      <c r="A486" t="s">
        <v>106</v>
      </c>
      <c r="B486" t="s">
        <v>107</v>
      </c>
      <c r="C486" t="s">
        <v>108</v>
      </c>
      <c r="D486">
        <v>46764</v>
      </c>
      <c r="E486" t="s">
        <v>107</v>
      </c>
      <c r="F486" t="s">
        <v>110</v>
      </c>
      <c r="G486">
        <v>13</v>
      </c>
      <c r="H486">
        <v>4.7149999999999999</v>
      </c>
      <c r="I486">
        <v>-7.8E-2</v>
      </c>
      <c r="J486" t="s">
        <v>89</v>
      </c>
      <c r="K486">
        <v>4172</v>
      </c>
      <c r="L486">
        <v>35.072499999999998</v>
      </c>
      <c r="M486">
        <v>-0.61133999999999999</v>
      </c>
      <c r="N486">
        <f>INDEX(jkm!$H:$H,MATCH(J486,jkm!$J:$J,0),1)</f>
        <v>9.3819999999999997</v>
      </c>
      <c r="O486" s="3">
        <f t="shared" ca="1" si="37"/>
        <v>972</v>
      </c>
      <c r="P486" s="3">
        <f t="shared" ca="1" si="38"/>
        <v>2.6630136986301371</v>
      </c>
      <c r="Q486" t="str" cm="1">
        <f t="array" ref="Q486:S486">_xlfn.TEXTSPLIT(J486,"/")</f>
        <v>11</v>
      </c>
      <c r="R486" s="1" t="str">
        <v>15</v>
      </c>
      <c r="S486" t="str">
        <v>2028</v>
      </c>
      <c r="T486" s="1">
        <f t="shared" si="39"/>
        <v>47072</v>
      </c>
      <c r="U486" s="19">
        <f t="shared" si="40"/>
        <v>3.6899999999999977</v>
      </c>
      <c r="V486" s="17">
        <f ca="1">(LN(N486/G486)+(L486/100)^2*P486/2)/(L486/100*SQRT(P486))</f>
        <v>-0.28369609199782669</v>
      </c>
      <c r="W486" s="17">
        <f ca="1">V486-L486/100*SQRT(P486)</f>
        <v>-0.85603520238678299</v>
      </c>
      <c r="X486" s="17">
        <f ca="1">(LN(N486/G486)+P486*(U486/100+(L486/100)^2/2))/((L486/100*SQRT(P486)))</f>
        <v>-0.11200556151377172</v>
      </c>
      <c r="Y486" s="17">
        <f ca="1">X486-N486/100*SQRT(R486)</f>
        <v>-0.47536885905495158</v>
      </c>
      <c r="Z486" s="20">
        <f ca="1">EXP(-P486)/(N486*L486/100*SQRT(P486))*_xlfn.NORM.S.DIST(X486,FALSE)</f>
        <v>5.1487866103490949E-3</v>
      </c>
      <c r="AA486" s="17">
        <f t="shared" ca="1" si="36"/>
        <v>4.2328792006265563E-3</v>
      </c>
      <c r="AB486" s="17"/>
      <c r="AC486" s="17"/>
      <c r="AD486" s="17"/>
    </row>
    <row r="487" spans="1:30" x14ac:dyDescent="0.25">
      <c r="A487" t="s">
        <v>106</v>
      </c>
      <c r="B487" t="s">
        <v>107</v>
      </c>
      <c r="C487" t="s">
        <v>108</v>
      </c>
      <c r="D487">
        <v>46764</v>
      </c>
      <c r="E487" t="s">
        <v>107</v>
      </c>
      <c r="F487" t="s">
        <v>110</v>
      </c>
      <c r="G487">
        <v>15</v>
      </c>
      <c r="H487">
        <v>6.3879999999999999</v>
      </c>
      <c r="I487">
        <v>-0.09</v>
      </c>
      <c r="J487" t="s">
        <v>89</v>
      </c>
      <c r="K487">
        <v>4172</v>
      </c>
      <c r="L487">
        <v>35.058500000000002</v>
      </c>
      <c r="M487">
        <v>-0.70299</v>
      </c>
      <c r="N487">
        <f>INDEX(jkm!$H:$H,MATCH(J487,jkm!$J:$J,0),1)</f>
        <v>9.3819999999999997</v>
      </c>
      <c r="O487" s="3">
        <f t="shared" ca="1" si="37"/>
        <v>972</v>
      </c>
      <c r="P487" s="3">
        <f t="shared" ca="1" si="38"/>
        <v>2.6630136986301371</v>
      </c>
      <c r="Q487" t="str" cm="1">
        <f t="array" ref="Q487:S487">_xlfn.TEXTSPLIT(J487,"/")</f>
        <v>11</v>
      </c>
      <c r="R487" s="1" t="str">
        <v>15</v>
      </c>
      <c r="S487" t="str">
        <v>2028</v>
      </c>
      <c r="T487" s="1">
        <f t="shared" si="39"/>
        <v>47072</v>
      </c>
      <c r="U487" s="19">
        <f t="shared" si="40"/>
        <v>3.6899999999999977</v>
      </c>
      <c r="V487" s="17">
        <f ca="1">(LN(N487/G487)+(L487/100)^2*P487/2)/(L487/100*SQRT(P487))</f>
        <v>-0.53416580428922134</v>
      </c>
      <c r="W487" s="17">
        <f ca="1">V487-L487/100*SQRT(P487)</f>
        <v>-1.1062764522775663</v>
      </c>
      <c r="X487" s="17">
        <f ca="1">(LN(N487/G487)+P487*(U487/100+(L487/100)^2/2))/((L487/100*SQRT(P487)))</f>
        <v>-0.36240671218881726</v>
      </c>
      <c r="Y487" s="17">
        <f ca="1">X487-N487/100*SQRT(R487)</f>
        <v>-0.72577000972999706</v>
      </c>
      <c r="Z487" s="20">
        <f ca="1">EXP(-P487)/(N487*L487/100*SQRT(P487))*_xlfn.NORM.S.DIST(X487,FALSE)</f>
        <v>4.8538084318718597E-3</v>
      </c>
      <c r="AA487" s="17">
        <f t="shared" ca="1" si="36"/>
        <v>3.9887812534721012E-3</v>
      </c>
      <c r="AB487" s="17"/>
      <c r="AC487" s="17"/>
      <c r="AD487" s="17"/>
    </row>
    <row r="488" spans="1:30" x14ac:dyDescent="0.25">
      <c r="A488" t="s">
        <v>106</v>
      </c>
      <c r="B488" t="s">
        <v>107</v>
      </c>
      <c r="C488" t="s">
        <v>108</v>
      </c>
      <c r="D488">
        <v>47119</v>
      </c>
      <c r="E488" t="s">
        <v>107</v>
      </c>
      <c r="F488" t="s">
        <v>109</v>
      </c>
      <c r="G488">
        <v>5</v>
      </c>
      <c r="H488">
        <v>4.7720000000000002</v>
      </c>
      <c r="I488">
        <v>9.8000000000000004E-2</v>
      </c>
      <c r="J488" t="s">
        <v>90</v>
      </c>
      <c r="K488">
        <v>4172</v>
      </c>
      <c r="L488">
        <v>35.6111</v>
      </c>
      <c r="M488">
        <v>0.91632999999999998</v>
      </c>
      <c r="N488">
        <f>INDEX(jkm!$H:$H,MATCH(J488,jkm!$J:$J,0),1)</f>
        <v>9.4930000000000003</v>
      </c>
      <c r="O488" s="3">
        <f t="shared" ca="1" si="37"/>
        <v>1002</v>
      </c>
      <c r="P488" s="3">
        <f t="shared" ca="1" si="38"/>
        <v>2.7452054794520548</v>
      </c>
      <c r="Q488" t="str" cm="1">
        <f t="array" ref="Q488:S488">_xlfn.TEXTSPLIT(J488,"/")</f>
        <v>12</v>
      </c>
      <c r="R488" s="1" t="str">
        <v>15</v>
      </c>
      <c r="S488" t="str">
        <v>2028</v>
      </c>
      <c r="T488" s="1">
        <f t="shared" si="39"/>
        <v>47102</v>
      </c>
      <c r="U488" s="19">
        <f t="shared" si="40"/>
        <v>3.6899999999999977</v>
      </c>
      <c r="V488" s="17">
        <f ca="1">(LN(N488/G488)+(L488/100)^2*P488/2)/(L488/100*SQRT(P488))</f>
        <v>1.3816006738456672</v>
      </c>
      <c r="W488" s="17">
        <f ca="1">V488-L488/100*SQRT(P488)</f>
        <v>0.79157240795752826</v>
      </c>
      <c r="X488" s="17">
        <f ca="1">(LN(N488/G488)+P488*(U488/100+(L488/100)^2/2))/((L488/100*SQRT(P488)))</f>
        <v>1.5532841135183446</v>
      </c>
      <c r="Y488" s="17">
        <f ca="1">X488-N488/100*SQRT(R488)</f>
        <v>1.1856218044628746</v>
      </c>
      <c r="Z488" s="20">
        <f ca="1">EXP(-P488)/(N488*L488/100*SQRT(P488))*_xlfn.NORM.S.DIST(X488,FALSE)</f>
        <v>1.3692945055036444E-3</v>
      </c>
      <c r="AA488" s="17">
        <f t="shared" ca="1" si="36"/>
        <v>1.2063242915374783E-3</v>
      </c>
      <c r="AB488" s="17"/>
      <c r="AC488" s="17"/>
      <c r="AD488" s="17"/>
    </row>
    <row r="489" spans="1:30" x14ac:dyDescent="0.25">
      <c r="A489" t="s">
        <v>106</v>
      </c>
      <c r="B489" t="s">
        <v>107</v>
      </c>
      <c r="C489" t="s">
        <v>108</v>
      </c>
      <c r="D489">
        <v>47119</v>
      </c>
      <c r="E489" t="s">
        <v>107</v>
      </c>
      <c r="F489" t="s">
        <v>109</v>
      </c>
      <c r="G489">
        <v>10</v>
      </c>
      <c r="H489">
        <v>1.99</v>
      </c>
      <c r="I489">
        <v>6.2E-2</v>
      </c>
      <c r="J489" t="s">
        <v>90</v>
      </c>
      <c r="K489">
        <v>4172</v>
      </c>
      <c r="L489">
        <v>35.1389</v>
      </c>
      <c r="M489">
        <v>0.58008999999999999</v>
      </c>
      <c r="N489">
        <f>INDEX(jkm!$H:$H,MATCH(J489,jkm!$J:$J,0),1)</f>
        <v>9.4930000000000003</v>
      </c>
      <c r="O489" s="3">
        <f t="shared" ca="1" si="37"/>
        <v>1002</v>
      </c>
      <c r="P489" s="3">
        <f t="shared" ca="1" si="38"/>
        <v>2.7452054794520548</v>
      </c>
      <c r="Q489" t="str" cm="1">
        <f t="array" ref="Q489:S489">_xlfn.TEXTSPLIT(J489,"/")</f>
        <v>12</v>
      </c>
      <c r="R489" s="1" t="str">
        <v>15</v>
      </c>
      <c r="S489" t="str">
        <v>2028</v>
      </c>
      <c r="T489" s="1">
        <f t="shared" si="39"/>
        <v>47102</v>
      </c>
      <c r="U489" s="19">
        <f t="shared" si="40"/>
        <v>3.6899999999999977</v>
      </c>
      <c r="V489" s="17">
        <f ca="1">(LN(N489/G489)+(L489/100)^2*P489/2)/(L489/100*SQRT(P489))</f>
        <v>0.20173435366275957</v>
      </c>
      <c r="W489" s="17">
        <f ca="1">V489-L489/100*SQRT(P489)</f>
        <v>-0.38047019020745854</v>
      </c>
      <c r="X489" s="17">
        <f ca="1">(LN(N489/G489)+P489*(U489/100+(L489/100)^2/2))/((L489/100*SQRT(P489)))</f>
        <v>0.37572489231159839</v>
      </c>
      <c r="Y489" s="17">
        <f ca="1">X489-N489/100*SQRT(R489)</f>
        <v>8.0625832561282973E-3</v>
      </c>
      <c r="Z489" s="20">
        <f ca="1">EXP(-P489)/(N489*L489/100*SQRT(P489))*_xlfn.NORM.S.DIST(X489,FALSE)</f>
        <v>4.3206481560326918E-3</v>
      </c>
      <c r="AA489" s="17">
        <f t="shared" ca="1" si="36"/>
        <v>3.7559420475111686E-3</v>
      </c>
      <c r="AB489" s="17"/>
      <c r="AC489" s="17"/>
      <c r="AD489" s="17"/>
    </row>
    <row r="490" spans="1:30" x14ac:dyDescent="0.25">
      <c r="A490" t="s">
        <v>106</v>
      </c>
      <c r="B490" t="s">
        <v>107</v>
      </c>
      <c r="C490" t="s">
        <v>108</v>
      </c>
      <c r="D490">
        <v>47119</v>
      </c>
      <c r="E490" t="s">
        <v>107</v>
      </c>
      <c r="F490" t="s">
        <v>109</v>
      </c>
      <c r="G490">
        <v>15</v>
      </c>
      <c r="H490">
        <v>0.83399999999999996</v>
      </c>
      <c r="I490">
        <v>3.2000000000000001E-2</v>
      </c>
      <c r="J490" t="s">
        <v>90</v>
      </c>
      <c r="K490">
        <v>4172</v>
      </c>
      <c r="L490">
        <v>35.084600000000002</v>
      </c>
      <c r="M490">
        <v>0.31019999999999998</v>
      </c>
      <c r="N490">
        <f>INDEX(jkm!$H:$H,MATCH(J490,jkm!$J:$J,0),1)</f>
        <v>9.4930000000000003</v>
      </c>
      <c r="O490" s="3">
        <f t="shared" ca="1" si="37"/>
        <v>1002</v>
      </c>
      <c r="P490" s="3">
        <f t="shared" ca="1" si="38"/>
        <v>2.7452054794520548</v>
      </c>
      <c r="Q490" t="str" cm="1">
        <f t="array" ref="Q490:S490">_xlfn.TEXTSPLIT(J490,"/")</f>
        <v>12</v>
      </c>
      <c r="R490" s="1" t="str">
        <v>15</v>
      </c>
      <c r="S490" t="str">
        <v>2028</v>
      </c>
      <c r="T490" s="1">
        <f t="shared" si="39"/>
        <v>47102</v>
      </c>
      <c r="U490" s="19">
        <f t="shared" si="40"/>
        <v>3.6899999999999977</v>
      </c>
      <c r="V490" s="17">
        <f ca="1">(LN(N490/G490)+(L490/100)^2*P490/2)/(L490/100*SQRT(P490))</f>
        <v>-0.49636233920012074</v>
      </c>
      <c r="W490" s="17">
        <f ca="1">V490-L490/100*SQRT(P490)</f>
        <v>-1.0776672047442628</v>
      </c>
      <c r="X490" s="17">
        <f ca="1">(LN(N490/G490)+P490*(U490/100+(L490/100)^2/2))/((L490/100*SQRT(P490)))</f>
        <v>-0.32210251755393743</v>
      </c>
      <c r="Y490" s="17">
        <f ca="1">X490-N490/100*SQRT(R490)</f>
        <v>-0.68976482660940752</v>
      </c>
      <c r="Z490" s="20">
        <f ca="1">EXP(-P490)/(N490*L490/100*SQRT(P490))*_xlfn.NORM.S.DIST(X490,FALSE)</f>
        <v>4.409059933460577E-3</v>
      </c>
      <c r="AA490" s="17">
        <f t="shared" ca="1" si="36"/>
        <v>3.826875650992689E-3</v>
      </c>
      <c r="AB490" s="17"/>
      <c r="AC490" s="17"/>
      <c r="AD490" s="17"/>
    </row>
    <row r="491" spans="1:30" x14ac:dyDescent="0.25">
      <c r="A491" t="s">
        <v>106</v>
      </c>
      <c r="B491" t="s">
        <v>107</v>
      </c>
      <c r="C491" t="s">
        <v>108</v>
      </c>
      <c r="D491">
        <v>47119</v>
      </c>
      <c r="E491" t="s">
        <v>107</v>
      </c>
      <c r="F491" t="s">
        <v>110</v>
      </c>
      <c r="G491">
        <v>5</v>
      </c>
      <c r="H491">
        <v>0.27900000000000003</v>
      </c>
      <c r="I491">
        <v>-0.01</v>
      </c>
      <c r="J491" t="s">
        <v>90</v>
      </c>
      <c r="K491">
        <v>4172</v>
      </c>
      <c r="L491">
        <v>35.6111</v>
      </c>
      <c r="M491">
        <v>-8.3669999999999994E-2</v>
      </c>
      <c r="N491">
        <f>INDEX(jkm!$H:$H,MATCH(J491,jkm!$J:$J,0),1)</f>
        <v>9.4930000000000003</v>
      </c>
      <c r="O491" s="3">
        <f t="shared" ca="1" si="37"/>
        <v>1002</v>
      </c>
      <c r="P491" s="3">
        <f t="shared" ca="1" si="38"/>
        <v>2.7452054794520548</v>
      </c>
      <c r="Q491" t="str" cm="1">
        <f t="array" ref="Q491:S491">_xlfn.TEXTSPLIT(J491,"/")</f>
        <v>12</v>
      </c>
      <c r="R491" s="1" t="str">
        <v>15</v>
      </c>
      <c r="S491" t="str">
        <v>2028</v>
      </c>
      <c r="T491" s="1">
        <f t="shared" si="39"/>
        <v>47102</v>
      </c>
      <c r="U491" s="19">
        <f t="shared" si="40"/>
        <v>3.6899999999999977</v>
      </c>
      <c r="V491" s="17">
        <f ca="1">(LN(N491/G491)+(L491/100)^2*P491/2)/(L491/100*SQRT(P491))</f>
        <v>1.3816006738456672</v>
      </c>
      <c r="W491" s="17">
        <f ca="1">V491-L491/100*SQRT(P491)</f>
        <v>0.79157240795752826</v>
      </c>
      <c r="X491" s="17">
        <f ca="1">(LN(N491/G491)+P491*(U491/100+(L491/100)^2/2))/((L491/100*SQRT(P491)))</f>
        <v>1.5532841135183446</v>
      </c>
      <c r="Y491" s="17">
        <f ca="1">X491-N491/100*SQRT(R491)</f>
        <v>1.1856218044628746</v>
      </c>
      <c r="Z491" s="20">
        <f ca="1">EXP(-P491)/(N491*L491/100*SQRT(P491))*_xlfn.NORM.S.DIST(X491,FALSE)</f>
        <v>1.3692945055036444E-3</v>
      </c>
      <c r="AA491" s="17">
        <f t="shared" ca="1" si="36"/>
        <v>1.2063242915374783E-3</v>
      </c>
      <c r="AB491" s="17"/>
      <c r="AC491" s="17"/>
      <c r="AD491" s="17"/>
    </row>
    <row r="492" spans="1:30" x14ac:dyDescent="0.25">
      <c r="A492" t="s">
        <v>106</v>
      </c>
      <c r="B492" t="s">
        <v>107</v>
      </c>
      <c r="C492" t="s">
        <v>108</v>
      </c>
      <c r="D492">
        <v>47119</v>
      </c>
      <c r="E492" t="s">
        <v>107</v>
      </c>
      <c r="F492" t="s">
        <v>110</v>
      </c>
      <c r="G492">
        <v>10</v>
      </c>
      <c r="H492">
        <v>2.4969999999999999</v>
      </c>
      <c r="I492">
        <v>-4.5999999999999999E-2</v>
      </c>
      <c r="J492" t="s">
        <v>90</v>
      </c>
      <c r="K492">
        <v>4172</v>
      </c>
      <c r="L492">
        <v>35.1389</v>
      </c>
      <c r="M492">
        <v>-0.41991000000000001</v>
      </c>
      <c r="N492">
        <f>INDEX(jkm!$H:$H,MATCH(J492,jkm!$J:$J,0),1)</f>
        <v>9.4930000000000003</v>
      </c>
      <c r="O492" s="3">
        <f t="shared" ca="1" si="37"/>
        <v>1002</v>
      </c>
      <c r="P492" s="3">
        <f t="shared" ca="1" si="38"/>
        <v>2.7452054794520548</v>
      </c>
      <c r="Q492" t="str" cm="1">
        <f t="array" ref="Q492:S492">_xlfn.TEXTSPLIT(J492,"/")</f>
        <v>12</v>
      </c>
      <c r="R492" s="1" t="str">
        <v>15</v>
      </c>
      <c r="S492" t="str">
        <v>2028</v>
      </c>
      <c r="T492" s="1">
        <f t="shared" si="39"/>
        <v>47102</v>
      </c>
      <c r="U492" s="19">
        <f t="shared" si="40"/>
        <v>3.6899999999999977</v>
      </c>
      <c r="V492" s="17">
        <f ca="1">(LN(N492/G492)+(L492/100)^2*P492/2)/(L492/100*SQRT(P492))</f>
        <v>0.20173435366275957</v>
      </c>
      <c r="W492" s="17">
        <f ca="1">V492-L492/100*SQRT(P492)</f>
        <v>-0.38047019020745854</v>
      </c>
      <c r="X492" s="17">
        <f ca="1">(LN(N492/G492)+P492*(U492/100+(L492/100)^2/2))/((L492/100*SQRT(P492)))</f>
        <v>0.37572489231159839</v>
      </c>
      <c r="Y492" s="17">
        <f ca="1">X492-N492/100*SQRT(R492)</f>
        <v>8.0625832561282973E-3</v>
      </c>
      <c r="Z492" s="20">
        <f ca="1">EXP(-P492)/(N492*L492/100*SQRT(P492))*_xlfn.NORM.S.DIST(X492,FALSE)</f>
        <v>4.3206481560326918E-3</v>
      </c>
      <c r="AA492" s="17">
        <f t="shared" ca="1" si="36"/>
        <v>3.7559420475111686E-3</v>
      </c>
      <c r="AB492" s="17"/>
      <c r="AC492" s="17"/>
      <c r="AD492" s="17"/>
    </row>
    <row r="493" spans="1:30" x14ac:dyDescent="0.25">
      <c r="A493" t="s">
        <v>106</v>
      </c>
      <c r="B493" t="s">
        <v>107</v>
      </c>
      <c r="C493" t="s">
        <v>108</v>
      </c>
      <c r="D493">
        <v>47119</v>
      </c>
      <c r="E493" t="s">
        <v>107</v>
      </c>
      <c r="F493" t="s">
        <v>110</v>
      </c>
      <c r="G493">
        <v>15</v>
      </c>
      <c r="H493">
        <v>6.3410000000000002</v>
      </c>
      <c r="I493">
        <v>-7.5999999999999998E-2</v>
      </c>
      <c r="J493" t="s">
        <v>90</v>
      </c>
      <c r="K493">
        <v>4172</v>
      </c>
      <c r="L493">
        <v>35.084600000000002</v>
      </c>
      <c r="M493">
        <v>-0.68979999999999997</v>
      </c>
      <c r="N493">
        <f>INDEX(jkm!$H:$H,MATCH(J493,jkm!$J:$J,0),1)</f>
        <v>9.4930000000000003</v>
      </c>
      <c r="O493" s="3">
        <f t="shared" ca="1" si="37"/>
        <v>1002</v>
      </c>
      <c r="P493" s="3">
        <f t="shared" ca="1" si="38"/>
        <v>2.7452054794520548</v>
      </c>
      <c r="Q493" t="str" cm="1">
        <f t="array" ref="Q493:S493">_xlfn.TEXTSPLIT(J493,"/")</f>
        <v>12</v>
      </c>
      <c r="R493" s="1" t="str">
        <v>15</v>
      </c>
      <c r="S493" t="str">
        <v>2028</v>
      </c>
      <c r="T493" s="1">
        <f t="shared" si="39"/>
        <v>47102</v>
      </c>
      <c r="U493" s="19">
        <f t="shared" si="40"/>
        <v>3.6899999999999977</v>
      </c>
      <c r="V493" s="17">
        <f ca="1">(LN(N493/G493)+(L493/100)^2*P493/2)/(L493/100*SQRT(P493))</f>
        <v>-0.49636233920012074</v>
      </c>
      <c r="W493" s="17">
        <f ca="1">V493-L493/100*SQRT(P493)</f>
        <v>-1.0776672047442628</v>
      </c>
      <c r="X493" s="17">
        <f ca="1">(LN(N493/G493)+P493*(U493/100+(L493/100)^2/2))/((L493/100*SQRT(P493)))</f>
        <v>-0.32210251755393743</v>
      </c>
      <c r="Y493" s="17">
        <f ca="1">X493-N493/100*SQRT(R493)</f>
        <v>-0.68976482660940752</v>
      </c>
      <c r="Z493" s="20">
        <f ca="1">EXP(-P493)/(N493*L493/100*SQRT(P493))*_xlfn.NORM.S.DIST(X493,FALSE)</f>
        <v>4.409059933460577E-3</v>
      </c>
      <c r="AA493" s="17">
        <f t="shared" ca="1" si="36"/>
        <v>3.826875650992689E-3</v>
      </c>
      <c r="AB493" s="17"/>
      <c r="AC493" s="17"/>
      <c r="AD493" s="17"/>
    </row>
    <row r="494" spans="1:30" x14ac:dyDescent="0.25">
      <c r="A494" t="s">
        <v>106</v>
      </c>
      <c r="B494" t="s">
        <v>107</v>
      </c>
      <c r="C494" t="s">
        <v>108</v>
      </c>
      <c r="D494">
        <v>47120</v>
      </c>
      <c r="E494" t="s">
        <v>107</v>
      </c>
      <c r="F494" t="s">
        <v>109</v>
      </c>
      <c r="G494">
        <v>5</v>
      </c>
      <c r="H494">
        <v>4.8170000000000002</v>
      </c>
      <c r="I494">
        <v>8.5000000000000006E-2</v>
      </c>
      <c r="J494" t="s">
        <v>91</v>
      </c>
      <c r="K494">
        <v>4172</v>
      </c>
      <c r="L494">
        <v>35.616300000000003</v>
      </c>
      <c r="M494">
        <v>0.91539999999999999</v>
      </c>
      <c r="N494">
        <f>INDEX(jkm!$H:$H,MATCH(J494,jkm!$J:$J,0),1)</f>
        <v>9.5269999999999992</v>
      </c>
      <c r="O494" s="3">
        <f t="shared" ca="1" si="37"/>
        <v>1033</v>
      </c>
      <c r="P494" s="3">
        <f t="shared" ca="1" si="38"/>
        <v>2.8301369863013699</v>
      </c>
      <c r="Q494" t="str" cm="1">
        <f t="array" ref="Q494:S494">_xlfn.TEXTSPLIT(J494,"/")</f>
        <v>1</v>
      </c>
      <c r="R494" s="1" t="str">
        <v>15</v>
      </c>
      <c r="S494" t="str">
        <v>2029</v>
      </c>
      <c r="T494" s="1">
        <f t="shared" si="39"/>
        <v>47133</v>
      </c>
      <c r="U494" s="19">
        <f t="shared" si="40"/>
        <v>3.6899999999999977</v>
      </c>
      <c r="V494" s="17">
        <f ca="1">(LN(N494/G494)+(L494/100)^2*P494/2)/(L494/100*SQRT(P494))</f>
        <v>1.3755556190074822</v>
      </c>
      <c r="W494" s="17">
        <f ca="1">V494-L494/100*SQRT(P494)</f>
        <v>0.77638221283203934</v>
      </c>
      <c r="X494" s="17">
        <f ca="1">(LN(N494/G494)+P494*(U494/100+(L494/100)^2/2))/((L494/100*SQRT(P494)))</f>
        <v>1.5498491602731339</v>
      </c>
      <c r="Y494" s="17">
        <f ca="1">X494-N494/100*SQRT(R494)</f>
        <v>1.1808700368799534</v>
      </c>
      <c r="Z494" s="20">
        <f ca="1">EXP(-P494)/(N494*L494/100*SQRT(P494))*_xlfn.NORM.S.DIST(X494,FALSE)</f>
        <v>1.2407771372954185E-3</v>
      </c>
      <c r="AA494" s="17">
        <f t="shared" ca="1" si="36"/>
        <v>1.1351738308968632E-3</v>
      </c>
      <c r="AB494" s="17"/>
      <c r="AC494" s="17"/>
      <c r="AD494" s="17"/>
    </row>
    <row r="495" spans="1:30" x14ac:dyDescent="0.25">
      <c r="A495" t="s">
        <v>106</v>
      </c>
      <c r="B495" t="s">
        <v>107</v>
      </c>
      <c r="C495" t="s">
        <v>108</v>
      </c>
      <c r="D495">
        <v>47120</v>
      </c>
      <c r="E495" t="s">
        <v>107</v>
      </c>
      <c r="F495" t="s">
        <v>109</v>
      </c>
      <c r="G495">
        <v>10</v>
      </c>
      <c r="H495">
        <v>2.0430000000000001</v>
      </c>
      <c r="I495">
        <v>5.2999999999999999E-2</v>
      </c>
      <c r="J495" t="s">
        <v>91</v>
      </c>
      <c r="K495">
        <v>4172</v>
      </c>
      <c r="L495">
        <v>35.142299999999999</v>
      </c>
      <c r="M495">
        <v>0.58472999999999997</v>
      </c>
      <c r="N495">
        <f>INDEX(jkm!$H:$H,MATCH(J495,jkm!$J:$J,0),1)</f>
        <v>9.5269999999999992</v>
      </c>
      <c r="O495" s="3">
        <f t="shared" ca="1" si="37"/>
        <v>1033</v>
      </c>
      <c r="P495" s="3">
        <f t="shared" ca="1" si="38"/>
        <v>2.8301369863013699</v>
      </c>
      <c r="Q495" t="str" cm="1">
        <f t="array" ref="Q495:S495">_xlfn.TEXTSPLIT(J495,"/")</f>
        <v>1</v>
      </c>
      <c r="R495" s="1" t="str">
        <v>15</v>
      </c>
      <c r="S495" t="str">
        <v>2029</v>
      </c>
      <c r="T495" s="1">
        <f t="shared" si="39"/>
        <v>47133</v>
      </c>
      <c r="U495" s="19">
        <f t="shared" si="40"/>
        <v>3.6899999999999977</v>
      </c>
      <c r="V495" s="17">
        <f ca="1">(LN(N495/G495)+(L495/100)^2*P495/2)/(L495/100*SQRT(P495))</f>
        <v>0.21363876023069556</v>
      </c>
      <c r="W495" s="17">
        <f ca="1">V495-L495/100*SQRT(P495)</f>
        <v>-0.37756053873745282</v>
      </c>
      <c r="X495" s="17">
        <f ca="1">(LN(N495/G495)+P495*(U495/100+(L495/100)^2/2))/((L495/100*SQRT(P495)))</f>
        <v>0.39028317604240459</v>
      </c>
      <c r="Y495" s="17">
        <f ca="1">X495-N495/100*SQRT(R495)</f>
        <v>2.130405264922397E-2</v>
      </c>
      <c r="Z495" s="20">
        <f ca="1">EXP(-P495)/(N495*L495/100*SQRT(P495))*_xlfn.NORM.S.DIST(X495,FALSE)</f>
        <v>3.8728532261302307E-3</v>
      </c>
      <c r="AA495" s="17">
        <f t="shared" ca="1" si="36"/>
        <v>3.496077148611183E-3</v>
      </c>
      <c r="AB495" s="17"/>
      <c r="AC495" s="17"/>
      <c r="AD495" s="17"/>
    </row>
    <row r="496" spans="1:30" x14ac:dyDescent="0.25">
      <c r="A496" t="s">
        <v>106</v>
      </c>
      <c r="B496" t="s">
        <v>107</v>
      </c>
      <c r="C496" t="s">
        <v>108</v>
      </c>
      <c r="D496">
        <v>47120</v>
      </c>
      <c r="E496" t="s">
        <v>107</v>
      </c>
      <c r="F496" t="s">
        <v>109</v>
      </c>
      <c r="G496">
        <v>15</v>
      </c>
      <c r="H496">
        <v>0.875</v>
      </c>
      <c r="I496">
        <v>2.8000000000000001E-2</v>
      </c>
      <c r="J496" t="s">
        <v>91</v>
      </c>
      <c r="K496">
        <v>4172</v>
      </c>
      <c r="L496">
        <v>35.087299999999999</v>
      </c>
      <c r="M496">
        <v>0.31817000000000001</v>
      </c>
      <c r="N496">
        <f>INDEX(jkm!$H:$H,MATCH(J496,jkm!$J:$J,0),1)</f>
        <v>9.5269999999999992</v>
      </c>
      <c r="O496" s="3">
        <f t="shared" ca="1" si="37"/>
        <v>1033</v>
      </c>
      <c r="P496" s="3">
        <f t="shared" ca="1" si="38"/>
        <v>2.8301369863013699</v>
      </c>
      <c r="Q496" t="str" cm="1">
        <f t="array" ref="Q496:S496">_xlfn.TEXTSPLIT(J496,"/")</f>
        <v>1</v>
      </c>
      <c r="R496" s="1" t="str">
        <v>15</v>
      </c>
      <c r="S496" t="str">
        <v>2029</v>
      </c>
      <c r="T496" s="1">
        <f t="shared" si="39"/>
        <v>47133</v>
      </c>
      <c r="U496" s="19">
        <f t="shared" si="40"/>
        <v>3.6899999999999977</v>
      </c>
      <c r="V496" s="17">
        <f ca="1">(LN(N496/G496)+(L496/100)^2*P496/2)/(L496/100*SQRT(P496))</f>
        <v>-0.473862300111138</v>
      </c>
      <c r="W496" s="17">
        <f ca="1">V496-L496/100*SQRT(P496)</f>
        <v>-1.0641363334750644</v>
      </c>
      <c r="X496" s="17">
        <f ca="1">(LN(N496/G496)+P496*(U496/100+(L496/100)^2/2))/((L496/100*SQRT(P496)))</f>
        <v>-0.29694099086876774</v>
      </c>
      <c r="Y496" s="17">
        <f ca="1">X496-N496/100*SQRT(R496)</f>
        <v>-0.66592011426194841</v>
      </c>
      <c r="Z496" s="20">
        <f ca="1">EXP(-P496)/(N496*L496/100*SQRT(P496))*_xlfn.NORM.S.DIST(X496,FALSE)</f>
        <v>4.0053513211338997E-3</v>
      </c>
      <c r="AA496" s="17">
        <f t="shared" ref="AA496:AA511" ca="1" si="41">(N496*EXP(-P496)*SQRT(P496)*_xlfn.NORM.S.DIST(X496,FALSE))/100</f>
        <v>3.6100261928376154E-3</v>
      </c>
      <c r="AB496" s="17"/>
      <c r="AC496" s="17"/>
      <c r="AD496" s="17"/>
    </row>
    <row r="497" spans="1:30" x14ac:dyDescent="0.25">
      <c r="A497" t="s">
        <v>106</v>
      </c>
      <c r="B497" t="s">
        <v>107</v>
      </c>
      <c r="C497" t="s">
        <v>108</v>
      </c>
      <c r="D497">
        <v>47120</v>
      </c>
      <c r="E497" t="s">
        <v>107</v>
      </c>
      <c r="F497" t="s">
        <v>110</v>
      </c>
      <c r="G497">
        <v>5</v>
      </c>
      <c r="H497">
        <v>0.28999999999999998</v>
      </c>
      <c r="I497">
        <v>-8.0000000000000002E-3</v>
      </c>
      <c r="J497" t="s">
        <v>91</v>
      </c>
      <c r="K497">
        <v>4172</v>
      </c>
      <c r="L497">
        <v>35.616300000000003</v>
      </c>
      <c r="M497">
        <v>-8.4599999999999995E-2</v>
      </c>
      <c r="N497">
        <f>INDEX(jkm!$H:$H,MATCH(J497,jkm!$J:$J,0),1)</f>
        <v>9.5269999999999992</v>
      </c>
      <c r="O497" s="3">
        <f t="shared" ca="1" si="37"/>
        <v>1033</v>
      </c>
      <c r="P497" s="3">
        <f t="shared" ca="1" si="38"/>
        <v>2.8301369863013699</v>
      </c>
      <c r="Q497" t="str" cm="1">
        <f t="array" ref="Q497:S497">_xlfn.TEXTSPLIT(J497,"/")</f>
        <v>1</v>
      </c>
      <c r="R497" s="1" t="str">
        <v>15</v>
      </c>
      <c r="S497" t="str">
        <v>2029</v>
      </c>
      <c r="T497" s="1">
        <f t="shared" si="39"/>
        <v>47133</v>
      </c>
      <c r="U497" s="19">
        <f t="shared" si="40"/>
        <v>3.6899999999999977</v>
      </c>
      <c r="V497" s="17">
        <f ca="1">(LN(N497/G497)+(L497/100)^2*P497/2)/(L497/100*SQRT(P497))</f>
        <v>1.3755556190074822</v>
      </c>
      <c r="W497" s="17">
        <f ca="1">V497-L497/100*SQRT(P497)</f>
        <v>0.77638221283203934</v>
      </c>
      <c r="X497" s="17">
        <f ca="1">(LN(N497/G497)+P497*(U497/100+(L497/100)^2/2))/((L497/100*SQRT(P497)))</f>
        <v>1.5498491602731339</v>
      </c>
      <c r="Y497" s="17">
        <f ca="1">X497-N497/100*SQRT(R497)</f>
        <v>1.1808700368799534</v>
      </c>
      <c r="Z497" s="20">
        <f ca="1">EXP(-P497)/(N497*L497/100*SQRT(P497))*_xlfn.NORM.S.DIST(X497,FALSE)</f>
        <v>1.2407771372954185E-3</v>
      </c>
      <c r="AA497" s="17">
        <f t="shared" ca="1" si="41"/>
        <v>1.1351738308968632E-3</v>
      </c>
      <c r="AB497" s="17"/>
      <c r="AC497" s="17"/>
      <c r="AD497" s="17"/>
    </row>
    <row r="498" spans="1:30" x14ac:dyDescent="0.25">
      <c r="A498" t="s">
        <v>106</v>
      </c>
      <c r="B498" t="s">
        <v>107</v>
      </c>
      <c r="C498" t="s">
        <v>108</v>
      </c>
      <c r="D498">
        <v>47120</v>
      </c>
      <c r="E498" t="s">
        <v>107</v>
      </c>
      <c r="F498" t="s">
        <v>110</v>
      </c>
      <c r="G498">
        <v>10</v>
      </c>
      <c r="H498">
        <v>2.516</v>
      </c>
      <c r="I498">
        <v>-0.04</v>
      </c>
      <c r="J498" t="s">
        <v>91</v>
      </c>
      <c r="K498">
        <v>4172</v>
      </c>
      <c r="L498">
        <v>35.142299999999999</v>
      </c>
      <c r="M498">
        <v>-0.41526999999999997</v>
      </c>
      <c r="N498">
        <f>INDEX(jkm!$H:$H,MATCH(J498,jkm!$J:$J,0),1)</f>
        <v>9.5269999999999992</v>
      </c>
      <c r="O498" s="3">
        <f t="shared" ca="1" si="37"/>
        <v>1033</v>
      </c>
      <c r="P498" s="3">
        <f t="shared" ca="1" si="38"/>
        <v>2.8301369863013699</v>
      </c>
      <c r="Q498" t="str" cm="1">
        <f t="array" ref="Q498:S498">_xlfn.TEXTSPLIT(J498,"/")</f>
        <v>1</v>
      </c>
      <c r="R498" s="1" t="str">
        <v>15</v>
      </c>
      <c r="S498" t="str">
        <v>2029</v>
      </c>
      <c r="T498" s="1">
        <f t="shared" si="39"/>
        <v>47133</v>
      </c>
      <c r="U498" s="19">
        <f t="shared" si="40"/>
        <v>3.6899999999999977</v>
      </c>
      <c r="V498" s="17">
        <f ca="1">(LN(N498/G498)+(L498/100)^2*P498/2)/(L498/100*SQRT(P498))</f>
        <v>0.21363876023069556</v>
      </c>
      <c r="W498" s="17">
        <f ca="1">V498-L498/100*SQRT(P498)</f>
        <v>-0.37756053873745282</v>
      </c>
      <c r="X498" s="17">
        <f ca="1">(LN(N498/G498)+P498*(U498/100+(L498/100)^2/2))/((L498/100*SQRT(P498)))</f>
        <v>0.39028317604240459</v>
      </c>
      <c r="Y498" s="17">
        <f ca="1">X498-N498/100*SQRT(R498)</f>
        <v>2.130405264922397E-2</v>
      </c>
      <c r="Z498" s="20">
        <f ca="1">EXP(-P498)/(N498*L498/100*SQRT(P498))*_xlfn.NORM.S.DIST(X498,FALSE)</f>
        <v>3.8728532261302307E-3</v>
      </c>
      <c r="AA498" s="17">
        <f t="shared" ca="1" si="41"/>
        <v>3.496077148611183E-3</v>
      </c>
      <c r="AB498" s="17"/>
      <c r="AC498" s="17"/>
      <c r="AD498" s="17"/>
    </row>
    <row r="499" spans="1:30" x14ac:dyDescent="0.25">
      <c r="A499" t="s">
        <v>106</v>
      </c>
      <c r="B499" t="s">
        <v>107</v>
      </c>
      <c r="C499" t="s">
        <v>108</v>
      </c>
      <c r="D499">
        <v>47120</v>
      </c>
      <c r="E499" t="s">
        <v>107</v>
      </c>
      <c r="F499" t="s">
        <v>110</v>
      </c>
      <c r="G499">
        <v>15</v>
      </c>
      <c r="H499">
        <v>6.3479999999999999</v>
      </c>
      <c r="I499">
        <v>-6.5000000000000002E-2</v>
      </c>
      <c r="J499" t="s">
        <v>91</v>
      </c>
      <c r="K499">
        <v>4172</v>
      </c>
      <c r="L499">
        <v>35.087299999999999</v>
      </c>
      <c r="M499">
        <v>-0.68183000000000005</v>
      </c>
      <c r="N499">
        <f>INDEX(jkm!$H:$H,MATCH(J499,jkm!$J:$J,0),1)</f>
        <v>9.5269999999999992</v>
      </c>
      <c r="O499" s="3">
        <f t="shared" ca="1" si="37"/>
        <v>1033</v>
      </c>
      <c r="P499" s="3">
        <f t="shared" ca="1" si="38"/>
        <v>2.8301369863013699</v>
      </c>
      <c r="Q499" t="str" cm="1">
        <f t="array" ref="Q499:S499">_xlfn.TEXTSPLIT(J499,"/")</f>
        <v>1</v>
      </c>
      <c r="R499" s="1" t="str">
        <v>15</v>
      </c>
      <c r="S499" t="str">
        <v>2029</v>
      </c>
      <c r="T499" s="1">
        <f t="shared" si="39"/>
        <v>47133</v>
      </c>
      <c r="U499" s="19">
        <f t="shared" si="40"/>
        <v>3.6899999999999977</v>
      </c>
      <c r="V499" s="17">
        <f ca="1">(LN(N499/G499)+(L499/100)^2*P499/2)/(L499/100*SQRT(P499))</f>
        <v>-0.473862300111138</v>
      </c>
      <c r="W499" s="17">
        <f ca="1">V499-L499/100*SQRT(P499)</f>
        <v>-1.0641363334750644</v>
      </c>
      <c r="X499" s="17">
        <f ca="1">(LN(N499/G499)+P499*(U499/100+(L499/100)^2/2))/((L499/100*SQRT(P499)))</f>
        <v>-0.29694099086876774</v>
      </c>
      <c r="Y499" s="17">
        <f ca="1">X499-N499/100*SQRT(R499)</f>
        <v>-0.66592011426194841</v>
      </c>
      <c r="Z499" s="20">
        <f ca="1">EXP(-P499)/(N499*L499/100*SQRT(P499))*_xlfn.NORM.S.DIST(X499,FALSE)</f>
        <v>4.0053513211338997E-3</v>
      </c>
      <c r="AA499" s="17">
        <f t="shared" ca="1" si="41"/>
        <v>3.6100261928376154E-3</v>
      </c>
      <c r="AB499" s="17"/>
      <c r="AC499" s="17"/>
      <c r="AD499" s="17"/>
    </row>
    <row r="500" spans="1:30" x14ac:dyDescent="0.25">
      <c r="A500" t="s">
        <v>106</v>
      </c>
      <c r="B500" t="s">
        <v>107</v>
      </c>
      <c r="C500" t="s">
        <v>108</v>
      </c>
      <c r="D500">
        <v>47121</v>
      </c>
      <c r="E500" t="s">
        <v>107</v>
      </c>
      <c r="F500" t="s">
        <v>109</v>
      </c>
      <c r="G500">
        <v>5</v>
      </c>
      <c r="H500">
        <v>4.7640000000000002</v>
      </c>
      <c r="I500">
        <v>8.5000000000000006E-2</v>
      </c>
      <c r="J500" t="s">
        <v>92</v>
      </c>
      <c r="K500">
        <v>4172</v>
      </c>
      <c r="L500">
        <v>35.5824</v>
      </c>
      <c r="M500">
        <v>0.91180000000000005</v>
      </c>
      <c r="N500">
        <f>INDEX(jkm!$H:$H,MATCH(J500,jkm!$J:$J,0),1)</f>
        <v>9.4559999999999995</v>
      </c>
      <c r="O500" s="3">
        <f t="shared" ca="1" si="37"/>
        <v>1064</v>
      </c>
      <c r="P500" s="3">
        <f t="shared" ca="1" si="38"/>
        <v>2.9150684931506849</v>
      </c>
      <c r="Q500" t="str" cm="1">
        <f t="array" ref="Q500:S500">_xlfn.TEXTSPLIT(J500,"/")</f>
        <v>2</v>
      </c>
      <c r="R500" s="1" t="str">
        <v>15</v>
      </c>
      <c r="S500" t="str">
        <v>2029</v>
      </c>
      <c r="T500" s="1">
        <f t="shared" si="39"/>
        <v>47164</v>
      </c>
      <c r="U500" s="19">
        <f t="shared" si="40"/>
        <v>3.6899999999999977</v>
      </c>
      <c r="V500" s="17">
        <f ca="1">(LN(N500/G500)+(L500/100)^2*P500/2)/(L500/100*SQRT(P500))</f>
        <v>1.3526350155113882</v>
      </c>
      <c r="W500" s="17">
        <f ca="1">V500-L500/100*SQRT(P500)</f>
        <v>0.74511635918707986</v>
      </c>
      <c r="X500" s="17">
        <f ca="1">(LN(N500/G500)+P500*(U500/100+(L500/100)^2/2))/((L500/100*SQRT(P500)))</f>
        <v>1.5296929976449258</v>
      </c>
      <c r="Y500" s="17">
        <f ca="1">X500-N500/100*SQRT(R500)</f>
        <v>1.1634636924275525</v>
      </c>
      <c r="Z500" s="20">
        <f ca="1">EXP(-P500)/(N500*L500/100*SQRT(P500))*_xlfn.NORM.S.DIST(X500,FALSE)</f>
        <v>1.1682312498346929E-3</v>
      </c>
      <c r="AA500" s="17">
        <f t="shared" ca="1" si="41"/>
        <v>1.0834970853301328E-3</v>
      </c>
      <c r="AB500" s="17"/>
      <c r="AC500" s="17"/>
      <c r="AD500" s="17"/>
    </row>
    <row r="501" spans="1:30" x14ac:dyDescent="0.25">
      <c r="A501" t="s">
        <v>106</v>
      </c>
      <c r="B501" t="s">
        <v>107</v>
      </c>
      <c r="C501" t="s">
        <v>108</v>
      </c>
      <c r="D501">
        <v>47121</v>
      </c>
      <c r="E501" t="s">
        <v>107</v>
      </c>
      <c r="F501" t="s">
        <v>109</v>
      </c>
      <c r="G501">
        <v>10</v>
      </c>
      <c r="H501">
        <v>2.032</v>
      </c>
      <c r="I501">
        <v>5.2999999999999999E-2</v>
      </c>
      <c r="J501" t="s">
        <v>92</v>
      </c>
      <c r="K501">
        <v>4172</v>
      </c>
      <c r="L501">
        <v>35.113</v>
      </c>
      <c r="M501">
        <v>0.58191999999999999</v>
      </c>
      <c r="N501">
        <f>INDEX(jkm!$H:$H,MATCH(J501,jkm!$J:$J,0),1)</f>
        <v>9.4559999999999995</v>
      </c>
      <c r="O501" s="3">
        <f t="shared" ca="1" si="37"/>
        <v>1064</v>
      </c>
      <c r="P501" s="3">
        <f t="shared" ca="1" si="38"/>
        <v>2.9150684931506849</v>
      </c>
      <c r="Q501" t="str" cm="1">
        <f t="array" ref="Q501:S501">_xlfn.TEXTSPLIT(J501,"/")</f>
        <v>2</v>
      </c>
      <c r="R501" s="1" t="str">
        <v>15</v>
      </c>
      <c r="S501" t="str">
        <v>2029</v>
      </c>
      <c r="T501" s="1">
        <f t="shared" si="39"/>
        <v>47164</v>
      </c>
      <c r="U501" s="19">
        <f t="shared" si="40"/>
        <v>3.6899999999999977</v>
      </c>
      <c r="V501" s="17">
        <f ca="1">(LN(N501/G501)+(L501/100)^2*P501/2)/(L501/100*SQRT(P501))</f>
        <v>0.20644902645738158</v>
      </c>
      <c r="W501" s="17">
        <f ca="1">V501-L501/100*SQRT(P501)</f>
        <v>-0.39305529532854178</v>
      </c>
      <c r="X501" s="17">
        <f ca="1">(LN(N501/G501)+P501*(U501/100+(L501/100)^2/2))/((L501/100*SQRT(P501)))</f>
        <v>0.38587396717644262</v>
      </c>
      <c r="Y501" s="17">
        <f ca="1">X501-N501/100*SQRT(R501)</f>
        <v>1.9644661959069276E-2</v>
      </c>
      <c r="Z501" s="20">
        <f ca="1">EXP(-P501)/(N501*L501/100*SQRT(P501))*_xlfn.NORM.S.DIST(X501,FALSE)</f>
        <v>3.5406188499860522E-3</v>
      </c>
      <c r="AA501" s="17">
        <f t="shared" ca="1" si="41"/>
        <v>3.2404908854717623E-3</v>
      </c>
      <c r="AB501" s="17"/>
      <c r="AC501" s="17"/>
      <c r="AD501" s="17"/>
    </row>
    <row r="502" spans="1:30" x14ac:dyDescent="0.25">
      <c r="A502" t="s">
        <v>106</v>
      </c>
      <c r="B502" t="s">
        <v>107</v>
      </c>
      <c r="C502" t="s">
        <v>108</v>
      </c>
      <c r="D502">
        <v>47121</v>
      </c>
      <c r="E502" t="s">
        <v>107</v>
      </c>
      <c r="F502" t="s">
        <v>109</v>
      </c>
      <c r="G502">
        <v>15</v>
      </c>
      <c r="H502">
        <v>0.88100000000000001</v>
      </c>
      <c r="I502">
        <v>2.9000000000000001E-2</v>
      </c>
      <c r="J502" t="s">
        <v>92</v>
      </c>
      <c r="K502">
        <v>4172</v>
      </c>
      <c r="L502">
        <v>35.059100000000001</v>
      </c>
      <c r="M502">
        <v>0.31899</v>
      </c>
      <c r="N502">
        <f>INDEX(jkm!$H:$H,MATCH(J502,jkm!$J:$J,0),1)</f>
        <v>9.4559999999999995</v>
      </c>
      <c r="O502" s="3">
        <f t="shared" ca="1" si="37"/>
        <v>1064</v>
      </c>
      <c r="P502" s="3">
        <f t="shared" ca="1" si="38"/>
        <v>2.9150684931506849</v>
      </c>
      <c r="Q502" t="str" cm="1">
        <f t="array" ref="Q502:S502">_xlfn.TEXTSPLIT(J502,"/")</f>
        <v>2</v>
      </c>
      <c r="R502" s="1" t="str">
        <v>15</v>
      </c>
      <c r="S502" t="str">
        <v>2029</v>
      </c>
      <c r="T502" s="1">
        <f t="shared" si="39"/>
        <v>47164</v>
      </c>
      <c r="U502" s="19">
        <f t="shared" si="40"/>
        <v>3.6899999999999977</v>
      </c>
      <c r="V502" s="17">
        <f ca="1">(LN(N502/G502)+(L502/100)^2*P502/2)/(L502/100*SQRT(P502))</f>
        <v>-0.47152826953560839</v>
      </c>
      <c r="W502" s="17">
        <f ca="1">V502-L502/100*SQRT(P502)</f>
        <v>-1.0701123258089222</v>
      </c>
      <c r="X502" s="17">
        <f ca="1">(LN(N502/G502)+P502*(U502/100+(L502/100)^2/2))/((L502/100*SQRT(P502)))</f>
        <v>-0.29182748019793597</v>
      </c>
      <c r="Y502" s="17">
        <f ca="1">X502-N502/100*SQRT(R502)</f>
        <v>-0.65805678541530932</v>
      </c>
      <c r="Z502" s="20">
        <f ca="1">EXP(-P502)/(N502*L502/100*SQRT(P502))*_xlfn.NORM.S.DIST(X502,FALSE)</f>
        <v>3.660887014753597E-3</v>
      </c>
      <c r="AA502" s="17">
        <f t="shared" ca="1" si="41"/>
        <v>3.3454210040490024E-3</v>
      </c>
      <c r="AB502" s="17"/>
      <c r="AC502" s="17"/>
      <c r="AD502" s="17"/>
    </row>
    <row r="503" spans="1:30" x14ac:dyDescent="0.25">
      <c r="A503" t="s">
        <v>106</v>
      </c>
      <c r="B503" t="s">
        <v>107</v>
      </c>
      <c r="C503" t="s">
        <v>108</v>
      </c>
      <c r="D503">
        <v>47121</v>
      </c>
      <c r="E503" t="s">
        <v>107</v>
      </c>
      <c r="F503" t="s">
        <v>110</v>
      </c>
      <c r="G503">
        <v>5</v>
      </c>
      <c r="H503">
        <v>0.308</v>
      </c>
      <c r="I503">
        <v>-8.9999999999999993E-3</v>
      </c>
      <c r="J503" t="s">
        <v>92</v>
      </c>
      <c r="K503">
        <v>4172</v>
      </c>
      <c r="L503">
        <v>35.5824</v>
      </c>
      <c r="M503">
        <v>-8.8200000000000001E-2</v>
      </c>
      <c r="N503">
        <f>INDEX(jkm!$H:$H,MATCH(J503,jkm!$J:$J,0),1)</f>
        <v>9.4559999999999995</v>
      </c>
      <c r="O503" s="3">
        <f t="shared" ca="1" si="37"/>
        <v>1064</v>
      </c>
      <c r="P503" s="3">
        <f t="shared" ca="1" si="38"/>
        <v>2.9150684931506849</v>
      </c>
      <c r="Q503" t="str" cm="1">
        <f t="array" ref="Q503:S503">_xlfn.TEXTSPLIT(J503,"/")</f>
        <v>2</v>
      </c>
      <c r="R503" s="1" t="str">
        <v>15</v>
      </c>
      <c r="S503" t="str">
        <v>2029</v>
      </c>
      <c r="T503" s="1">
        <f t="shared" si="39"/>
        <v>47164</v>
      </c>
      <c r="U503" s="19">
        <f t="shared" si="40"/>
        <v>3.6899999999999977</v>
      </c>
      <c r="V503" s="17">
        <f ca="1">(LN(N503/G503)+(L503/100)^2*P503/2)/(L503/100*SQRT(P503))</f>
        <v>1.3526350155113882</v>
      </c>
      <c r="W503" s="17">
        <f ca="1">V503-L503/100*SQRT(P503)</f>
        <v>0.74511635918707986</v>
      </c>
      <c r="X503" s="17">
        <f ca="1">(LN(N503/G503)+P503*(U503/100+(L503/100)^2/2))/((L503/100*SQRT(P503)))</f>
        <v>1.5296929976449258</v>
      </c>
      <c r="Y503" s="17">
        <f ca="1">X503-N503/100*SQRT(R503)</f>
        <v>1.1634636924275525</v>
      </c>
      <c r="Z503" s="20">
        <f ca="1">EXP(-P503)/(N503*L503/100*SQRT(P503))*_xlfn.NORM.S.DIST(X503,FALSE)</f>
        <v>1.1682312498346929E-3</v>
      </c>
      <c r="AA503" s="17">
        <f t="shared" ca="1" si="41"/>
        <v>1.0834970853301328E-3</v>
      </c>
      <c r="AB503" s="17"/>
      <c r="AC503" s="17"/>
      <c r="AD503" s="17"/>
    </row>
    <row r="504" spans="1:30" x14ac:dyDescent="0.25">
      <c r="A504" t="s">
        <v>106</v>
      </c>
      <c r="B504" t="s">
        <v>107</v>
      </c>
      <c r="C504" t="s">
        <v>108</v>
      </c>
      <c r="D504">
        <v>47121</v>
      </c>
      <c r="E504" t="s">
        <v>107</v>
      </c>
      <c r="F504" t="s">
        <v>110</v>
      </c>
      <c r="G504">
        <v>10</v>
      </c>
      <c r="H504">
        <v>2.5760000000000001</v>
      </c>
      <c r="I504">
        <v>-4.1000000000000002E-2</v>
      </c>
      <c r="J504" t="s">
        <v>92</v>
      </c>
      <c r="K504">
        <v>4172</v>
      </c>
      <c r="L504">
        <v>35.113</v>
      </c>
      <c r="M504">
        <v>-0.41808000000000001</v>
      </c>
      <c r="N504">
        <f>INDEX(jkm!$H:$H,MATCH(J504,jkm!$J:$J,0),1)</f>
        <v>9.4559999999999995</v>
      </c>
      <c r="O504" s="3">
        <f t="shared" ca="1" si="37"/>
        <v>1064</v>
      </c>
      <c r="P504" s="3">
        <f t="shared" ca="1" si="38"/>
        <v>2.9150684931506849</v>
      </c>
      <c r="Q504" t="str" cm="1">
        <f t="array" ref="Q504:S504">_xlfn.TEXTSPLIT(J504,"/")</f>
        <v>2</v>
      </c>
      <c r="R504" s="1" t="str">
        <v>15</v>
      </c>
      <c r="S504" t="str">
        <v>2029</v>
      </c>
      <c r="T504" s="1">
        <f t="shared" si="39"/>
        <v>47164</v>
      </c>
      <c r="U504" s="19">
        <f t="shared" si="40"/>
        <v>3.6899999999999977</v>
      </c>
      <c r="V504" s="17">
        <f ca="1">(LN(N504/G504)+(L504/100)^2*P504/2)/(L504/100*SQRT(P504))</f>
        <v>0.20644902645738158</v>
      </c>
      <c r="W504" s="17">
        <f ca="1">V504-L504/100*SQRT(P504)</f>
        <v>-0.39305529532854178</v>
      </c>
      <c r="X504" s="17">
        <f ca="1">(LN(N504/G504)+P504*(U504/100+(L504/100)^2/2))/((L504/100*SQRT(P504)))</f>
        <v>0.38587396717644262</v>
      </c>
      <c r="Y504" s="17">
        <f ca="1">X504-N504/100*SQRT(R504)</f>
        <v>1.9644661959069276E-2</v>
      </c>
      <c r="Z504" s="20">
        <f ca="1">EXP(-P504)/(N504*L504/100*SQRT(P504))*_xlfn.NORM.S.DIST(X504,FALSE)</f>
        <v>3.5406188499860522E-3</v>
      </c>
      <c r="AA504" s="17">
        <f t="shared" ca="1" si="41"/>
        <v>3.2404908854717623E-3</v>
      </c>
      <c r="AB504" s="17"/>
      <c r="AC504" s="17"/>
      <c r="AD504" s="17"/>
    </row>
    <row r="505" spans="1:30" x14ac:dyDescent="0.25">
      <c r="A505" t="s">
        <v>106</v>
      </c>
      <c r="B505" t="s">
        <v>107</v>
      </c>
      <c r="C505" t="s">
        <v>108</v>
      </c>
      <c r="D505">
        <v>47121</v>
      </c>
      <c r="E505" t="s">
        <v>107</v>
      </c>
      <c r="F505" t="s">
        <v>110</v>
      </c>
      <c r="G505">
        <v>15</v>
      </c>
      <c r="H505">
        <v>6.4249999999999998</v>
      </c>
      <c r="I505">
        <v>-6.5000000000000002E-2</v>
      </c>
      <c r="J505" t="s">
        <v>92</v>
      </c>
      <c r="K505">
        <v>4172</v>
      </c>
      <c r="L505">
        <v>35.059100000000001</v>
      </c>
      <c r="M505">
        <v>-0.68101</v>
      </c>
      <c r="N505">
        <f>INDEX(jkm!$H:$H,MATCH(J505,jkm!$J:$J,0),1)</f>
        <v>9.4559999999999995</v>
      </c>
      <c r="O505" s="3">
        <f t="shared" ca="1" si="37"/>
        <v>1064</v>
      </c>
      <c r="P505" s="3">
        <f t="shared" ca="1" si="38"/>
        <v>2.9150684931506849</v>
      </c>
      <c r="Q505" t="str" cm="1">
        <f t="array" ref="Q505:S505">_xlfn.TEXTSPLIT(J505,"/")</f>
        <v>2</v>
      </c>
      <c r="R505" s="1" t="str">
        <v>15</v>
      </c>
      <c r="S505" t="str">
        <v>2029</v>
      </c>
      <c r="T505" s="1">
        <f t="shared" si="39"/>
        <v>47164</v>
      </c>
      <c r="U505" s="19">
        <f t="shared" si="40"/>
        <v>3.6899999999999977</v>
      </c>
      <c r="V505" s="17">
        <f ca="1">(LN(N505/G505)+(L505/100)^2*P505/2)/(L505/100*SQRT(P505))</f>
        <v>-0.47152826953560839</v>
      </c>
      <c r="W505" s="17">
        <f ca="1">V505-L505/100*SQRT(P505)</f>
        <v>-1.0701123258089222</v>
      </c>
      <c r="X505" s="17">
        <f ca="1">(LN(N505/G505)+P505*(U505/100+(L505/100)^2/2))/((L505/100*SQRT(P505)))</f>
        <v>-0.29182748019793597</v>
      </c>
      <c r="Y505" s="17">
        <f ca="1">X505-N505/100*SQRT(R505)</f>
        <v>-0.65805678541530932</v>
      </c>
      <c r="Z505" s="20">
        <f ca="1">EXP(-P505)/(N505*L505/100*SQRT(P505))*_xlfn.NORM.S.DIST(X505,FALSE)</f>
        <v>3.660887014753597E-3</v>
      </c>
      <c r="AA505" s="17">
        <f t="shared" ca="1" si="41"/>
        <v>3.3454210040490024E-3</v>
      </c>
      <c r="AB505" s="17"/>
      <c r="AC505" s="17"/>
      <c r="AD505" s="17"/>
    </row>
    <row r="506" spans="1:30" x14ac:dyDescent="0.25">
      <c r="A506" t="s">
        <v>106</v>
      </c>
      <c r="B506" t="s">
        <v>107</v>
      </c>
      <c r="C506" t="s">
        <v>108</v>
      </c>
      <c r="D506">
        <v>47122</v>
      </c>
      <c r="E506" t="s">
        <v>107</v>
      </c>
      <c r="F506" t="s">
        <v>109</v>
      </c>
      <c r="G506">
        <v>5</v>
      </c>
      <c r="H506">
        <v>3.9009999999999998</v>
      </c>
      <c r="I506">
        <v>0.106</v>
      </c>
      <c r="J506" t="s">
        <v>93</v>
      </c>
      <c r="K506">
        <v>4172</v>
      </c>
      <c r="L506">
        <v>35.584200000000003</v>
      </c>
      <c r="M506">
        <v>0.87802000000000002</v>
      </c>
      <c r="N506">
        <f>INDEX(jkm!$H:$H,MATCH(J506,jkm!$J:$J,0),1)</f>
        <v>8.4779999999999998</v>
      </c>
      <c r="O506" s="3">
        <f t="shared" ca="1" si="37"/>
        <v>1092</v>
      </c>
      <c r="P506" s="3">
        <f t="shared" ca="1" si="38"/>
        <v>2.9917808219178084</v>
      </c>
      <c r="Q506" t="str" cm="1">
        <f t="array" ref="Q506:S506">_xlfn.TEXTSPLIT(J506,"/")</f>
        <v>3</v>
      </c>
      <c r="R506" s="1" t="str">
        <v>15</v>
      </c>
      <c r="S506" t="str">
        <v>2029</v>
      </c>
      <c r="T506" s="1">
        <f t="shared" si="39"/>
        <v>47192</v>
      </c>
      <c r="U506" s="19">
        <f t="shared" si="40"/>
        <v>3.6899999999999977</v>
      </c>
      <c r="V506" s="17">
        <f ca="1">(LN(N506/G506)+(L506/100)^2*P506/2)/(L506/100*SQRT(P506))</f>
        <v>1.1656562721335308</v>
      </c>
      <c r="W506" s="17">
        <f ca="1">V506-L506/100*SQRT(P506)</f>
        <v>0.55016472421589335</v>
      </c>
      <c r="X506" s="17">
        <f ca="1">(LN(N506/G506)+P506*(U506/100+(L506/100)^2/2))/((L506/100*SQRT(P506)))</f>
        <v>1.3450197625051967</v>
      </c>
      <c r="Y506" s="17">
        <f ca="1">X506-N506/100*SQRT(R506)</f>
        <v>1.0166682344137319</v>
      </c>
      <c r="Z506" s="20">
        <f ca="1">EXP(-P506)/(N506*L506/100*SQRT(P506))*_xlfn.NORM.S.DIST(X506,FALSE)</f>
        <v>1.553260602076095E-3</v>
      </c>
      <c r="AA506" s="17">
        <f t="shared" ca="1" si="41"/>
        <v>1.1885518477560825E-3</v>
      </c>
      <c r="AB506" s="17"/>
      <c r="AC506" s="17"/>
      <c r="AD506" s="17"/>
    </row>
    <row r="507" spans="1:30" x14ac:dyDescent="0.25">
      <c r="A507" t="s">
        <v>106</v>
      </c>
      <c r="B507" t="s">
        <v>107</v>
      </c>
      <c r="C507" t="s">
        <v>108</v>
      </c>
      <c r="D507">
        <v>47122</v>
      </c>
      <c r="E507" t="s">
        <v>107</v>
      </c>
      <c r="F507" t="s">
        <v>109</v>
      </c>
      <c r="G507">
        <v>10</v>
      </c>
      <c r="H507">
        <v>1.5269999999999999</v>
      </c>
      <c r="I507">
        <v>6.0999999999999999E-2</v>
      </c>
      <c r="J507" t="s">
        <v>93</v>
      </c>
      <c r="K507">
        <v>4172</v>
      </c>
      <c r="L507">
        <v>35.1753</v>
      </c>
      <c r="M507">
        <v>0.51331000000000004</v>
      </c>
      <c r="N507">
        <f>INDEX(jkm!$H:$H,MATCH(J507,jkm!$J:$J,0),1)</f>
        <v>8.4779999999999998</v>
      </c>
      <c r="O507" s="3">
        <f t="shared" ca="1" si="37"/>
        <v>1092</v>
      </c>
      <c r="P507" s="3">
        <f t="shared" ca="1" si="38"/>
        <v>2.9917808219178084</v>
      </c>
      <c r="Q507" t="str" cm="1">
        <f t="array" ref="Q507:S507">_xlfn.TEXTSPLIT(J507,"/")</f>
        <v>3</v>
      </c>
      <c r="R507" s="1" t="str">
        <v>15</v>
      </c>
      <c r="S507" t="str">
        <v>2029</v>
      </c>
      <c r="T507" s="1">
        <f t="shared" si="39"/>
        <v>47192</v>
      </c>
      <c r="U507" s="19">
        <f t="shared" si="40"/>
        <v>3.6899999999999977</v>
      </c>
      <c r="V507" s="17">
        <f ca="1">(LN(N507/G507)+(L507/100)^2*P507/2)/(L507/100*SQRT(P507))</f>
        <v>3.2833068243974688E-2</v>
      </c>
      <c r="W507" s="17">
        <f ca="1">V507-L507/100*SQRT(P507)</f>
        <v>-0.57558583243293437</v>
      </c>
      <c r="X507" s="17">
        <f ca="1">(LN(N507/G507)+P507*(U507/100+(L507/100)^2/2))/((L507/100*SQRT(P507)))</f>
        <v>0.21428159360362892</v>
      </c>
      <c r="Y507" s="17">
        <f ca="1">X507-N507/100*SQRT(R507)</f>
        <v>-0.11406993448783587</v>
      </c>
      <c r="Z507" s="20">
        <f ca="1">EXP(-P507)/(N507*L507/100*SQRT(P507))*_xlfn.NORM.S.DIST(X507,FALSE)</f>
        <v>3.7942801274917816E-3</v>
      </c>
      <c r="AA507" s="17">
        <f t="shared" ca="1" si="41"/>
        <v>2.8700125755438733E-3</v>
      </c>
      <c r="AB507" s="17"/>
      <c r="AC507" s="17"/>
      <c r="AD507" s="17"/>
    </row>
    <row r="508" spans="1:30" x14ac:dyDescent="0.25">
      <c r="A508" t="s">
        <v>106</v>
      </c>
      <c r="B508" t="s">
        <v>107</v>
      </c>
      <c r="C508" t="s">
        <v>108</v>
      </c>
      <c r="D508">
        <v>47122</v>
      </c>
      <c r="E508" t="s">
        <v>107</v>
      </c>
      <c r="F508" t="s">
        <v>109</v>
      </c>
      <c r="G508">
        <v>15</v>
      </c>
      <c r="H508">
        <v>0.624</v>
      </c>
      <c r="I508">
        <v>3.1E-2</v>
      </c>
      <c r="J508" t="s">
        <v>93</v>
      </c>
      <c r="K508">
        <v>4172</v>
      </c>
      <c r="L508">
        <v>35.137</v>
      </c>
      <c r="M508">
        <v>0.2631</v>
      </c>
      <c r="N508">
        <f>INDEX(jkm!$H:$H,MATCH(J508,jkm!$J:$J,0),1)</f>
        <v>8.4779999999999998</v>
      </c>
      <c r="O508" s="3">
        <f t="shared" ca="1" si="37"/>
        <v>1092</v>
      </c>
      <c r="P508" s="3">
        <f t="shared" ca="1" si="38"/>
        <v>2.9917808219178084</v>
      </c>
      <c r="Q508" t="str" cm="1">
        <f t="array" ref="Q508:S508">_xlfn.TEXTSPLIT(J508,"/")</f>
        <v>3</v>
      </c>
      <c r="R508" s="1" t="str">
        <v>15</v>
      </c>
      <c r="S508" t="str">
        <v>2029</v>
      </c>
      <c r="T508" s="1">
        <f t="shared" si="39"/>
        <v>47192</v>
      </c>
      <c r="U508" s="19">
        <f t="shared" si="40"/>
        <v>3.6899999999999977</v>
      </c>
      <c r="V508" s="17">
        <f ca="1">(LN(N508/G508)+(L508/100)^2*P508/2)/(L508/100*SQRT(P508))</f>
        <v>-0.63494463297408843</v>
      </c>
      <c r="W508" s="17">
        <f ca="1">V508-L508/100*SQRT(P508)</f>
        <v>-1.2427010675484789</v>
      </c>
      <c r="X508" s="17">
        <f ca="1">(LN(N508/G508)+P508*(U508/100+(L508/100)^2/2))/((L508/100*SQRT(P508)))</f>
        <v>-0.45329832526189212</v>
      </c>
      <c r="Y508" s="17">
        <f ca="1">X508-N508/100*SQRT(R508)</f>
        <v>-0.7816498533533569</v>
      </c>
      <c r="Z508" s="20">
        <f ca="1">EXP(-P508)/(N508*L508/100*SQRT(P508))*_xlfn.NORM.S.DIST(X508,FALSE)</f>
        <v>3.5071464982897034E-3</v>
      </c>
      <c r="AA508" s="17">
        <f t="shared" ca="1" si="41"/>
        <v>2.6499347745571893E-3</v>
      </c>
      <c r="AB508" s="17"/>
      <c r="AC508" s="17"/>
      <c r="AD508" s="17"/>
    </row>
    <row r="509" spans="1:30" x14ac:dyDescent="0.25">
      <c r="A509" t="s">
        <v>106</v>
      </c>
      <c r="B509" t="s">
        <v>107</v>
      </c>
      <c r="C509" t="s">
        <v>108</v>
      </c>
      <c r="D509">
        <v>47122</v>
      </c>
      <c r="E509" t="s">
        <v>107</v>
      </c>
      <c r="F509" t="s">
        <v>110</v>
      </c>
      <c r="G509">
        <v>5</v>
      </c>
      <c r="H509">
        <v>0.42299999999999999</v>
      </c>
      <c r="I509">
        <v>-1.6E-2</v>
      </c>
      <c r="J509" t="s">
        <v>93</v>
      </c>
      <c r="K509">
        <v>4172</v>
      </c>
      <c r="L509">
        <v>35.584200000000003</v>
      </c>
      <c r="M509">
        <v>-0.12198000000000001</v>
      </c>
      <c r="N509">
        <f>INDEX(jkm!$H:$H,MATCH(J509,jkm!$J:$J,0),1)</f>
        <v>8.4779999999999998</v>
      </c>
      <c r="O509" s="3">
        <f t="shared" ca="1" si="37"/>
        <v>1092</v>
      </c>
      <c r="P509" s="3">
        <f t="shared" ca="1" si="38"/>
        <v>2.9917808219178084</v>
      </c>
      <c r="Q509" t="str" cm="1">
        <f t="array" ref="Q509:S509">_xlfn.TEXTSPLIT(J509,"/")</f>
        <v>3</v>
      </c>
      <c r="R509" s="1" t="str">
        <v>15</v>
      </c>
      <c r="S509" t="str">
        <v>2029</v>
      </c>
      <c r="T509" s="1">
        <f t="shared" si="39"/>
        <v>47192</v>
      </c>
      <c r="U509" s="19">
        <f t="shared" si="40"/>
        <v>3.6899999999999977</v>
      </c>
      <c r="V509" s="17">
        <f ca="1">(LN(N509/G509)+(L509/100)^2*P509/2)/(L509/100*SQRT(P509))</f>
        <v>1.1656562721335308</v>
      </c>
      <c r="W509" s="17">
        <f ca="1">V509-L509/100*SQRT(P509)</f>
        <v>0.55016472421589335</v>
      </c>
      <c r="X509" s="17">
        <f ca="1">(LN(N509/G509)+P509*(U509/100+(L509/100)^2/2))/((L509/100*SQRT(P509)))</f>
        <v>1.3450197625051967</v>
      </c>
      <c r="Y509" s="17">
        <f ca="1">X509-N509/100*SQRT(R509)</f>
        <v>1.0166682344137319</v>
      </c>
      <c r="Z509" s="20">
        <f ca="1">EXP(-P509)/(N509*L509/100*SQRT(P509))*_xlfn.NORM.S.DIST(X509,FALSE)</f>
        <v>1.553260602076095E-3</v>
      </c>
      <c r="AA509" s="17">
        <f t="shared" ca="1" si="41"/>
        <v>1.1885518477560825E-3</v>
      </c>
      <c r="AB509" s="17"/>
      <c r="AC509" s="17"/>
      <c r="AD509" s="17"/>
    </row>
    <row r="510" spans="1:30" x14ac:dyDescent="0.25">
      <c r="A510" t="s">
        <v>106</v>
      </c>
      <c r="B510" t="s">
        <v>107</v>
      </c>
      <c r="C510" t="s">
        <v>108</v>
      </c>
      <c r="D510">
        <v>47122</v>
      </c>
      <c r="E510" t="s">
        <v>107</v>
      </c>
      <c r="F510" t="s">
        <v>110</v>
      </c>
      <c r="G510">
        <v>10</v>
      </c>
      <c r="H510">
        <v>3.0489999999999999</v>
      </c>
      <c r="I510">
        <v>-6.0999999999999999E-2</v>
      </c>
      <c r="J510" t="s">
        <v>93</v>
      </c>
      <c r="K510">
        <v>4172</v>
      </c>
      <c r="L510">
        <v>35.1753</v>
      </c>
      <c r="M510">
        <v>-0.48669000000000001</v>
      </c>
      <c r="N510">
        <f>INDEX(jkm!$H:$H,MATCH(J510,jkm!$J:$J,0),1)</f>
        <v>8.4779999999999998</v>
      </c>
      <c r="O510" s="3">
        <f t="shared" ca="1" si="37"/>
        <v>1092</v>
      </c>
      <c r="P510" s="3">
        <f t="shared" ca="1" si="38"/>
        <v>2.9917808219178084</v>
      </c>
      <c r="Q510" t="str" cm="1">
        <f t="array" ref="Q510:S510">_xlfn.TEXTSPLIT(J510,"/")</f>
        <v>3</v>
      </c>
      <c r="R510" s="1" t="str">
        <v>15</v>
      </c>
      <c r="S510" t="str">
        <v>2029</v>
      </c>
      <c r="T510" s="1">
        <f t="shared" si="39"/>
        <v>47192</v>
      </c>
      <c r="U510" s="19">
        <f t="shared" si="40"/>
        <v>3.6899999999999977</v>
      </c>
      <c r="V510" s="17">
        <f ca="1">(LN(N510/G510)+(L510/100)^2*P510/2)/(L510/100*SQRT(P510))</f>
        <v>3.2833068243974688E-2</v>
      </c>
      <c r="W510" s="17">
        <f ca="1">V510-L510/100*SQRT(P510)</f>
        <v>-0.57558583243293437</v>
      </c>
      <c r="X510" s="17">
        <f ca="1">(LN(N510/G510)+P510*(U510/100+(L510/100)^2/2))/((L510/100*SQRT(P510)))</f>
        <v>0.21428159360362892</v>
      </c>
      <c r="Y510" s="17">
        <f ca="1">X510-N510/100*SQRT(R510)</f>
        <v>-0.11406993448783587</v>
      </c>
      <c r="Z510" s="20">
        <f ca="1">EXP(-P510)/(N510*L510/100*SQRT(P510))*_xlfn.NORM.S.DIST(X510,FALSE)</f>
        <v>3.7942801274917816E-3</v>
      </c>
      <c r="AA510" s="17">
        <f t="shared" ca="1" si="41"/>
        <v>2.8700125755438733E-3</v>
      </c>
      <c r="AB510" s="17"/>
      <c r="AC510" s="17"/>
      <c r="AD510" s="17"/>
    </row>
    <row r="511" spans="1:30" x14ac:dyDescent="0.25">
      <c r="A511" t="s">
        <v>106</v>
      </c>
      <c r="B511" t="s">
        <v>107</v>
      </c>
      <c r="C511" t="s">
        <v>108</v>
      </c>
      <c r="D511">
        <v>47122</v>
      </c>
      <c r="E511" t="s">
        <v>107</v>
      </c>
      <c r="F511" t="s">
        <v>110</v>
      </c>
      <c r="G511">
        <v>15</v>
      </c>
      <c r="H511">
        <v>7.1459999999999999</v>
      </c>
      <c r="I511">
        <v>-9.0999999999999998E-2</v>
      </c>
      <c r="J511" t="s">
        <v>93</v>
      </c>
      <c r="K511">
        <v>4172</v>
      </c>
      <c r="L511">
        <v>35.137</v>
      </c>
      <c r="M511">
        <v>-0.7369</v>
      </c>
      <c r="N511">
        <f>INDEX(jkm!$H:$H,MATCH(J511,jkm!$J:$J,0),1)</f>
        <v>8.4779999999999998</v>
      </c>
      <c r="O511" s="3">
        <f t="shared" ca="1" si="37"/>
        <v>1092</v>
      </c>
      <c r="P511" s="3">
        <f t="shared" ca="1" si="38"/>
        <v>2.9917808219178084</v>
      </c>
      <c r="Q511" t="str" cm="1">
        <f t="array" ref="Q511:S511">_xlfn.TEXTSPLIT(J511,"/")</f>
        <v>3</v>
      </c>
      <c r="R511" s="1" t="str">
        <v>15</v>
      </c>
      <c r="S511" t="str">
        <v>2029</v>
      </c>
      <c r="T511" s="1">
        <f t="shared" si="39"/>
        <v>47192</v>
      </c>
      <c r="U511" s="19">
        <f t="shared" si="40"/>
        <v>3.6899999999999977</v>
      </c>
      <c r="V511" s="17">
        <f ca="1">(LN(N511/G511)+(L511/100)^2*P511/2)/(L511/100*SQRT(P511))</f>
        <v>-0.63494463297408843</v>
      </c>
      <c r="W511" s="17">
        <f ca="1">V511-L511/100*SQRT(P511)</f>
        <v>-1.2427010675484789</v>
      </c>
      <c r="X511" s="17">
        <f ca="1">(LN(N511/G511)+P511*(U511/100+(L511/100)^2/2))/((L511/100*SQRT(P511)))</f>
        <v>-0.45329832526189212</v>
      </c>
      <c r="Y511" s="17">
        <f ca="1">X511-N511/100*SQRT(R511)</f>
        <v>-0.7816498533533569</v>
      </c>
      <c r="Z511" s="20">
        <f ca="1">EXP(-P511)/(N511*L511/100*SQRT(P511))*_xlfn.NORM.S.DIST(X511,FALSE)</f>
        <v>3.5071464982897034E-3</v>
      </c>
      <c r="AA511" s="17">
        <f t="shared" ca="1" si="41"/>
        <v>2.6499347745571893E-3</v>
      </c>
      <c r="AB511" s="17"/>
      <c r="AC511" s="17"/>
      <c r="AD511" s="17"/>
    </row>
  </sheetData>
  <autoFilter ref="A1:M511" xr:uid="{2D60B158-0D10-4A55-B5DA-A97E889AEC9A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2BAAD-6631-4C83-8AFD-91741D853324}">
  <sheetPr codeName="Sheet9"/>
  <dimension ref="A1:B37"/>
  <sheetViews>
    <sheetView workbookViewId="0">
      <selection activeCell="L32" sqref="L32"/>
    </sheetView>
  </sheetViews>
  <sheetFormatPr defaultRowHeight="15" x14ac:dyDescent="0.25"/>
  <cols>
    <col min="1" max="1" width="15.42578125" bestFit="1" customWidth="1"/>
    <col min="2" max="2" width="19.7109375" bestFit="1" customWidth="1"/>
  </cols>
  <sheetData>
    <row r="1" spans="1:2" x14ac:dyDescent="0.25">
      <c r="A1" t="str" cm="1">
        <f t="array" ref="A1:A23">_xlfn.UNIQUE(_xlfn._xlws.FILTER(jkm_call_put!G:G, jkm_call_put!G:G&lt;&gt;0))</f>
        <v>STRIKE</v>
      </c>
      <c r="B1" t="str" cm="1">
        <f t="array" aca="1" ref="B1:B37" ca="1">_xlfn.UNIQUE(_xlfn._xlws.FILTER(jkm_call_put!O:O, jkm_call_put!O:O&lt;&gt;0))</f>
        <v>TIME TO MATURITY</v>
      </c>
    </row>
    <row r="2" spans="1:2" x14ac:dyDescent="0.25">
      <c r="A2">
        <v>5</v>
      </c>
      <c r="B2">
        <f ca="1"/>
        <v>27</v>
      </c>
    </row>
    <row r="3" spans="1:2" x14ac:dyDescent="0.25">
      <c r="A3">
        <v>8</v>
      </c>
      <c r="B3">
        <f ca="1"/>
        <v>57</v>
      </c>
    </row>
    <row r="4" spans="1:2" x14ac:dyDescent="0.25">
      <c r="A4">
        <v>9</v>
      </c>
      <c r="B4">
        <f ca="1"/>
        <v>88</v>
      </c>
    </row>
    <row r="5" spans="1:2" x14ac:dyDescent="0.25">
      <c r="A5">
        <v>10</v>
      </c>
      <c r="B5">
        <f ca="1"/>
        <v>118</v>
      </c>
    </row>
    <row r="6" spans="1:2" x14ac:dyDescent="0.25">
      <c r="A6">
        <v>11.5</v>
      </c>
      <c r="B6">
        <f ca="1"/>
        <v>148</v>
      </c>
    </row>
    <row r="7" spans="1:2" x14ac:dyDescent="0.25">
      <c r="A7">
        <v>12.5</v>
      </c>
      <c r="B7">
        <f ca="1"/>
        <v>180</v>
      </c>
    </row>
    <row r="8" spans="1:2" x14ac:dyDescent="0.25">
      <c r="A8">
        <v>13</v>
      </c>
      <c r="B8">
        <f ca="1"/>
        <v>210</v>
      </c>
    </row>
    <row r="9" spans="1:2" x14ac:dyDescent="0.25">
      <c r="A9">
        <v>15</v>
      </c>
      <c r="B9">
        <f ca="1"/>
        <v>239</v>
      </c>
    </row>
    <row r="10" spans="1:2" x14ac:dyDescent="0.25">
      <c r="A10">
        <v>20</v>
      </c>
      <c r="B10">
        <f ca="1"/>
        <v>271</v>
      </c>
    </row>
    <row r="11" spans="1:2" x14ac:dyDescent="0.25">
      <c r="A11">
        <v>25</v>
      </c>
      <c r="B11">
        <f ca="1"/>
        <v>302</v>
      </c>
    </row>
    <row r="12" spans="1:2" x14ac:dyDescent="0.25">
      <c r="A12">
        <v>8.5</v>
      </c>
      <c r="B12">
        <f ca="1"/>
        <v>333</v>
      </c>
    </row>
    <row r="13" spans="1:2" x14ac:dyDescent="0.25">
      <c r="A13">
        <v>9.5</v>
      </c>
      <c r="B13">
        <f ca="1"/>
        <v>361</v>
      </c>
    </row>
    <row r="14" spans="1:2" x14ac:dyDescent="0.25">
      <c r="A14">
        <v>17</v>
      </c>
      <c r="B14">
        <f ca="1"/>
        <v>392</v>
      </c>
    </row>
    <row r="15" spans="1:2" x14ac:dyDescent="0.25">
      <c r="A15">
        <v>9.6999999999999993</v>
      </c>
      <c r="B15">
        <f ca="1"/>
        <v>421</v>
      </c>
    </row>
    <row r="16" spans="1:2" x14ac:dyDescent="0.25">
      <c r="A16">
        <v>9.8000000000000007</v>
      </c>
      <c r="B16">
        <f ca="1"/>
        <v>453</v>
      </c>
    </row>
    <row r="17" spans="1:2" x14ac:dyDescent="0.25">
      <c r="A17">
        <v>10.5</v>
      </c>
      <c r="B17">
        <f ca="1"/>
        <v>483</v>
      </c>
    </row>
    <row r="18" spans="1:2" x14ac:dyDescent="0.25">
      <c r="A18">
        <v>11</v>
      </c>
      <c r="B18">
        <f ca="1"/>
        <v>512</v>
      </c>
    </row>
    <row r="19" spans="1:2" x14ac:dyDescent="0.25">
      <c r="A19">
        <v>16.5</v>
      </c>
      <c r="B19">
        <f ca="1"/>
        <v>545</v>
      </c>
    </row>
    <row r="20" spans="1:2" x14ac:dyDescent="0.25">
      <c r="A20">
        <v>6</v>
      </c>
      <c r="B20">
        <f ca="1"/>
        <v>575</v>
      </c>
    </row>
    <row r="21" spans="1:2" x14ac:dyDescent="0.25">
      <c r="A21">
        <v>7</v>
      </c>
      <c r="B21">
        <f ca="1"/>
        <v>606</v>
      </c>
    </row>
    <row r="22" spans="1:2" x14ac:dyDescent="0.25">
      <c r="A22">
        <v>15.5</v>
      </c>
      <c r="B22">
        <f ca="1"/>
        <v>636</v>
      </c>
    </row>
    <row r="23" spans="1:2" x14ac:dyDescent="0.25">
      <c r="A23">
        <v>7.6</v>
      </c>
      <c r="B23">
        <f ca="1"/>
        <v>666</v>
      </c>
    </row>
    <row r="24" spans="1:2" x14ac:dyDescent="0.25">
      <c r="B24">
        <f ca="1"/>
        <v>698</v>
      </c>
    </row>
    <row r="25" spans="1:2" x14ac:dyDescent="0.25">
      <c r="B25">
        <f ca="1"/>
        <v>727</v>
      </c>
    </row>
    <row r="26" spans="1:2" x14ac:dyDescent="0.25">
      <c r="B26">
        <f ca="1"/>
        <v>756</v>
      </c>
    </row>
    <row r="27" spans="1:2" x14ac:dyDescent="0.25">
      <c r="B27">
        <f ca="1"/>
        <v>788</v>
      </c>
    </row>
    <row r="28" spans="1:2" x14ac:dyDescent="0.25">
      <c r="B28">
        <f ca="1"/>
        <v>819</v>
      </c>
    </row>
    <row r="29" spans="1:2" x14ac:dyDescent="0.25">
      <c r="B29">
        <f ca="1"/>
        <v>848</v>
      </c>
    </row>
    <row r="30" spans="1:2" x14ac:dyDescent="0.25">
      <c r="B30">
        <f ca="1"/>
        <v>880</v>
      </c>
    </row>
    <row r="31" spans="1:2" x14ac:dyDescent="0.25">
      <c r="B31">
        <f ca="1"/>
        <v>911</v>
      </c>
    </row>
    <row r="32" spans="1:2" x14ac:dyDescent="0.25">
      <c r="B32">
        <f ca="1"/>
        <v>939</v>
      </c>
    </row>
    <row r="33" spans="2:2" x14ac:dyDescent="0.25">
      <c r="B33">
        <f ca="1"/>
        <v>972</v>
      </c>
    </row>
    <row r="34" spans="2:2" x14ac:dyDescent="0.25">
      <c r="B34">
        <f ca="1"/>
        <v>1002</v>
      </c>
    </row>
    <row r="35" spans="2:2" x14ac:dyDescent="0.25">
      <c r="B35">
        <f ca="1"/>
        <v>1033</v>
      </c>
    </row>
    <row r="36" spans="2:2" x14ac:dyDescent="0.25">
      <c r="B36">
        <f ca="1"/>
        <v>1064</v>
      </c>
    </row>
    <row r="37" spans="2:2" x14ac:dyDescent="0.25">
      <c r="B37">
        <f ca="1"/>
        <v>1092</v>
      </c>
    </row>
  </sheetData>
  <autoFilter ref="A1:B1" xr:uid="{A852BAAD-6631-4C83-8AFD-91741D85332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E7098-961E-4378-B045-9C2F369FD9C0}">
  <dimension ref="A1:K91"/>
  <sheetViews>
    <sheetView topLeftCell="A73" workbookViewId="0">
      <selection activeCell="H12" sqref="H12"/>
    </sheetView>
  </sheetViews>
  <sheetFormatPr defaultRowHeight="15" x14ac:dyDescent="0.25"/>
  <cols>
    <col min="1" max="1" width="20.85546875" customWidth="1"/>
    <col min="3" max="3" width="11.5703125" bestFit="1" customWidth="1"/>
    <col min="4" max="4" width="9.42578125" bestFit="1" customWidth="1"/>
    <col min="5" max="5" width="11.140625" bestFit="1" customWidth="1"/>
    <col min="6" max="6" width="16.140625" bestFit="1" customWidth="1"/>
    <col min="7" max="7" width="7.28515625" bestFit="1" customWidth="1"/>
    <col min="8" max="8" width="18.85546875" bestFit="1" customWidth="1"/>
    <col min="9" max="9" width="13.140625" bestFit="1" customWidth="1"/>
    <col min="10" max="10" width="17.28515625" bestFit="1" customWidth="1"/>
    <col min="11" max="11" width="12.85546875" bestFit="1" customWidth="1"/>
  </cols>
  <sheetData>
    <row r="1" spans="1:11" x14ac:dyDescent="0.25">
      <c r="A1" s="12" t="s">
        <v>94</v>
      </c>
      <c r="B1" s="12" t="s">
        <v>95</v>
      </c>
      <c r="C1" s="12" t="s">
        <v>96</v>
      </c>
      <c r="D1" s="12" t="s">
        <v>97</v>
      </c>
      <c r="E1" s="12" t="s">
        <v>98</v>
      </c>
      <c r="F1" s="12" t="s">
        <v>99</v>
      </c>
      <c r="G1" s="12" t="s">
        <v>100</v>
      </c>
      <c r="H1" s="12" t="s">
        <v>101</v>
      </c>
      <c r="I1" s="12" t="s">
        <v>102</v>
      </c>
      <c r="J1" s="12" t="s">
        <v>57</v>
      </c>
      <c r="K1" s="12" t="s">
        <v>103</v>
      </c>
    </row>
    <row r="2" spans="1:11" x14ac:dyDescent="0.25">
      <c r="A2" t="s">
        <v>106</v>
      </c>
      <c r="B2" t="s">
        <v>107</v>
      </c>
      <c r="C2" t="s">
        <v>108</v>
      </c>
      <c r="D2" t="s">
        <v>117</v>
      </c>
      <c r="E2" t="s">
        <v>107</v>
      </c>
      <c r="F2" t="s">
        <v>30</v>
      </c>
      <c r="H2">
        <v>19.414000000000001</v>
      </c>
      <c r="I2">
        <v>-0.11899999999999999</v>
      </c>
      <c r="J2" t="s">
        <v>58</v>
      </c>
      <c r="K2">
        <v>4172</v>
      </c>
    </row>
    <row r="3" spans="1:11" x14ac:dyDescent="0.25">
      <c r="A3" t="s">
        <v>106</v>
      </c>
      <c r="B3" t="s">
        <v>107</v>
      </c>
      <c r="C3" t="s">
        <v>108</v>
      </c>
      <c r="D3" t="s">
        <v>118</v>
      </c>
      <c r="E3" t="s">
        <v>107</v>
      </c>
      <c r="F3" t="s">
        <v>30</v>
      </c>
      <c r="H3">
        <v>18.861000000000001</v>
      </c>
      <c r="I3">
        <v>0.16900000000000001</v>
      </c>
      <c r="J3" t="s">
        <v>59</v>
      </c>
      <c r="K3">
        <v>4172</v>
      </c>
    </row>
    <row r="4" spans="1:11" x14ac:dyDescent="0.25">
      <c r="A4" t="s">
        <v>106</v>
      </c>
      <c r="B4" t="s">
        <v>107</v>
      </c>
      <c r="C4" t="s">
        <v>108</v>
      </c>
      <c r="D4" t="s">
        <v>119</v>
      </c>
      <c r="E4" t="s">
        <v>107</v>
      </c>
      <c r="F4" t="s">
        <v>30</v>
      </c>
      <c r="H4">
        <v>18.509</v>
      </c>
      <c r="I4">
        <v>0.379</v>
      </c>
      <c r="J4" t="s">
        <v>60</v>
      </c>
      <c r="K4">
        <v>4172</v>
      </c>
    </row>
    <row r="5" spans="1:11" x14ac:dyDescent="0.25">
      <c r="A5" t="s">
        <v>106</v>
      </c>
      <c r="B5" t="s">
        <v>107</v>
      </c>
      <c r="C5" t="s">
        <v>108</v>
      </c>
      <c r="D5" t="s">
        <v>120</v>
      </c>
      <c r="E5" t="s">
        <v>107</v>
      </c>
      <c r="F5" t="s">
        <v>30</v>
      </c>
      <c r="H5">
        <v>18.091999999999999</v>
      </c>
      <c r="I5">
        <v>0.46899999999999997</v>
      </c>
      <c r="J5" t="s">
        <v>61</v>
      </c>
      <c r="K5">
        <v>4172</v>
      </c>
    </row>
    <row r="6" spans="1:11" x14ac:dyDescent="0.25">
      <c r="A6" t="s">
        <v>106</v>
      </c>
      <c r="B6" t="s">
        <v>107</v>
      </c>
      <c r="C6" t="s">
        <v>108</v>
      </c>
      <c r="D6" t="s">
        <v>121</v>
      </c>
      <c r="E6" t="s">
        <v>107</v>
      </c>
      <c r="F6" t="s">
        <v>30</v>
      </c>
      <c r="H6">
        <v>17.802</v>
      </c>
      <c r="I6">
        <v>0.52</v>
      </c>
      <c r="J6" t="s">
        <v>62</v>
      </c>
      <c r="K6">
        <v>4172</v>
      </c>
    </row>
    <row r="7" spans="1:11" x14ac:dyDescent="0.25">
      <c r="A7" t="s">
        <v>106</v>
      </c>
      <c r="B7" t="s">
        <v>107</v>
      </c>
      <c r="C7" t="s">
        <v>108</v>
      </c>
      <c r="D7" t="s">
        <v>122</v>
      </c>
      <c r="E7" t="s">
        <v>107</v>
      </c>
      <c r="F7" t="s">
        <v>30</v>
      </c>
      <c r="H7">
        <v>17.283999999999999</v>
      </c>
      <c r="I7">
        <v>0.376</v>
      </c>
      <c r="J7" t="s">
        <v>63</v>
      </c>
      <c r="K7">
        <v>4172</v>
      </c>
    </row>
    <row r="8" spans="1:11" x14ac:dyDescent="0.25">
      <c r="A8" t="s">
        <v>106</v>
      </c>
      <c r="B8" t="s">
        <v>107</v>
      </c>
      <c r="C8" t="s">
        <v>108</v>
      </c>
      <c r="D8" t="s">
        <v>123</v>
      </c>
      <c r="E8" t="s">
        <v>107</v>
      </c>
      <c r="F8" t="s">
        <v>30</v>
      </c>
      <c r="H8">
        <v>17.228999999999999</v>
      </c>
      <c r="I8">
        <v>0.44600000000000001</v>
      </c>
      <c r="J8" t="s">
        <v>64</v>
      </c>
      <c r="K8">
        <v>4172</v>
      </c>
    </row>
    <row r="9" spans="1:11" x14ac:dyDescent="0.25">
      <c r="A9" t="s">
        <v>106</v>
      </c>
      <c r="B9" t="s">
        <v>107</v>
      </c>
      <c r="C9" t="s">
        <v>108</v>
      </c>
      <c r="D9" t="s">
        <v>124</v>
      </c>
      <c r="E9" t="s">
        <v>107</v>
      </c>
      <c r="F9" t="s">
        <v>30</v>
      </c>
      <c r="H9">
        <v>17.387</v>
      </c>
      <c r="I9">
        <v>0.53800000000000003</v>
      </c>
      <c r="J9" t="s">
        <v>65</v>
      </c>
      <c r="K9">
        <v>4172</v>
      </c>
    </row>
    <row r="10" spans="1:11" x14ac:dyDescent="0.25">
      <c r="A10" t="s">
        <v>106</v>
      </c>
      <c r="B10" t="s">
        <v>107</v>
      </c>
      <c r="C10" t="s">
        <v>108</v>
      </c>
      <c r="D10" t="s">
        <v>125</v>
      </c>
      <c r="E10" t="s">
        <v>107</v>
      </c>
      <c r="F10" t="s">
        <v>30</v>
      </c>
      <c r="H10">
        <v>17.288</v>
      </c>
      <c r="I10">
        <v>0.51900000000000002</v>
      </c>
      <c r="J10" t="s">
        <v>66</v>
      </c>
      <c r="K10">
        <v>4172</v>
      </c>
    </row>
    <row r="11" spans="1:11" x14ac:dyDescent="0.25">
      <c r="A11" t="s">
        <v>106</v>
      </c>
      <c r="B11" t="s">
        <v>107</v>
      </c>
      <c r="C11" t="s">
        <v>108</v>
      </c>
      <c r="D11" t="s">
        <v>126</v>
      </c>
      <c r="E11" t="s">
        <v>107</v>
      </c>
      <c r="F11" t="s">
        <v>30</v>
      </c>
      <c r="H11">
        <v>16.972000000000001</v>
      </c>
      <c r="I11">
        <v>0.53300000000000003</v>
      </c>
      <c r="J11" t="s">
        <v>67</v>
      </c>
      <c r="K11">
        <v>4172</v>
      </c>
    </row>
    <row r="12" spans="1:11" x14ac:dyDescent="0.25">
      <c r="A12" t="s">
        <v>106</v>
      </c>
      <c r="B12" t="s">
        <v>107</v>
      </c>
      <c r="C12" t="s">
        <v>108</v>
      </c>
      <c r="D12" t="s">
        <v>127</v>
      </c>
      <c r="E12" t="s">
        <v>107</v>
      </c>
      <c r="F12" t="s">
        <v>30</v>
      </c>
      <c r="H12">
        <v>15.644</v>
      </c>
      <c r="I12">
        <v>0.46500000000000002</v>
      </c>
      <c r="J12" t="s">
        <v>68</v>
      </c>
      <c r="K12">
        <v>4172</v>
      </c>
    </row>
    <row r="13" spans="1:11" x14ac:dyDescent="0.25">
      <c r="A13" t="s">
        <v>106</v>
      </c>
      <c r="B13" t="s">
        <v>107</v>
      </c>
      <c r="C13" t="s">
        <v>108</v>
      </c>
      <c r="D13" t="s">
        <v>128</v>
      </c>
      <c r="E13" t="s">
        <v>107</v>
      </c>
      <c r="F13" t="s">
        <v>30</v>
      </c>
      <c r="H13">
        <v>13.868</v>
      </c>
      <c r="I13">
        <v>0.34300000000000003</v>
      </c>
      <c r="J13" t="s">
        <v>69</v>
      </c>
      <c r="K13">
        <v>4172</v>
      </c>
    </row>
    <row r="14" spans="1:11" x14ac:dyDescent="0.25">
      <c r="A14" t="s">
        <v>106</v>
      </c>
      <c r="B14" t="s">
        <v>107</v>
      </c>
      <c r="C14" t="s">
        <v>108</v>
      </c>
      <c r="D14" t="s">
        <v>129</v>
      </c>
      <c r="E14" t="s">
        <v>107</v>
      </c>
      <c r="F14" t="s">
        <v>30</v>
      </c>
      <c r="H14">
        <v>12.863</v>
      </c>
      <c r="I14">
        <v>0.19900000000000001</v>
      </c>
      <c r="J14" t="s">
        <v>70</v>
      </c>
      <c r="K14">
        <v>4172</v>
      </c>
    </row>
    <row r="15" spans="1:11" x14ac:dyDescent="0.25">
      <c r="A15" t="s">
        <v>106</v>
      </c>
      <c r="B15" t="s">
        <v>107</v>
      </c>
      <c r="C15" t="s">
        <v>108</v>
      </c>
      <c r="D15" t="s">
        <v>130</v>
      </c>
      <c r="E15" t="s">
        <v>107</v>
      </c>
      <c r="F15" t="s">
        <v>30</v>
      </c>
      <c r="H15">
        <v>12.521000000000001</v>
      </c>
      <c r="I15">
        <v>0.22900000000000001</v>
      </c>
      <c r="J15" t="s">
        <v>71</v>
      </c>
      <c r="K15">
        <v>4172</v>
      </c>
    </row>
    <row r="16" spans="1:11" x14ac:dyDescent="0.25">
      <c r="A16" t="s">
        <v>106</v>
      </c>
      <c r="B16" t="s">
        <v>107</v>
      </c>
      <c r="C16" t="s">
        <v>108</v>
      </c>
      <c r="D16" t="s">
        <v>131</v>
      </c>
      <c r="E16" t="s">
        <v>107</v>
      </c>
      <c r="F16" t="s">
        <v>30</v>
      </c>
      <c r="H16">
        <v>12.497999999999999</v>
      </c>
      <c r="I16">
        <v>0.25600000000000001</v>
      </c>
      <c r="J16" t="s">
        <v>72</v>
      </c>
      <c r="K16">
        <v>4172</v>
      </c>
    </row>
    <row r="17" spans="1:11" x14ac:dyDescent="0.25">
      <c r="A17" t="s">
        <v>106</v>
      </c>
      <c r="B17" t="s">
        <v>107</v>
      </c>
      <c r="C17" t="s">
        <v>108</v>
      </c>
      <c r="D17" t="s">
        <v>132</v>
      </c>
      <c r="E17" t="s">
        <v>107</v>
      </c>
      <c r="F17" t="s">
        <v>30</v>
      </c>
      <c r="H17">
        <v>12.664999999999999</v>
      </c>
      <c r="I17">
        <v>0.26200000000000001</v>
      </c>
      <c r="J17" t="s">
        <v>73</v>
      </c>
      <c r="K17">
        <v>4172</v>
      </c>
    </row>
    <row r="18" spans="1:11" x14ac:dyDescent="0.25">
      <c r="A18" t="s">
        <v>106</v>
      </c>
      <c r="B18" t="s">
        <v>107</v>
      </c>
      <c r="C18" t="s">
        <v>108</v>
      </c>
      <c r="D18" t="s">
        <v>133</v>
      </c>
      <c r="E18" t="s">
        <v>107</v>
      </c>
      <c r="F18" t="s">
        <v>30</v>
      </c>
      <c r="H18">
        <v>12.423999999999999</v>
      </c>
      <c r="I18">
        <v>0.20200000000000001</v>
      </c>
      <c r="J18" t="s">
        <v>74</v>
      </c>
      <c r="K18">
        <v>4172</v>
      </c>
    </row>
    <row r="19" spans="1:11" x14ac:dyDescent="0.25">
      <c r="A19" t="s">
        <v>106</v>
      </c>
      <c r="B19" t="s">
        <v>107</v>
      </c>
      <c r="C19" t="s">
        <v>108</v>
      </c>
      <c r="D19" t="s">
        <v>134</v>
      </c>
      <c r="E19" t="s">
        <v>107</v>
      </c>
      <c r="F19" t="s">
        <v>30</v>
      </c>
      <c r="H19">
        <v>12.305</v>
      </c>
      <c r="I19">
        <v>0.216</v>
      </c>
      <c r="J19" t="s">
        <v>75</v>
      </c>
      <c r="K19">
        <v>4172</v>
      </c>
    </row>
    <row r="20" spans="1:11" x14ac:dyDescent="0.25">
      <c r="A20" t="s">
        <v>106</v>
      </c>
      <c r="B20" t="s">
        <v>107</v>
      </c>
      <c r="C20" t="s">
        <v>108</v>
      </c>
      <c r="D20" t="s">
        <v>135</v>
      </c>
      <c r="E20" t="s">
        <v>107</v>
      </c>
      <c r="F20" t="s">
        <v>30</v>
      </c>
      <c r="H20">
        <v>12.414</v>
      </c>
      <c r="I20">
        <v>0.245</v>
      </c>
      <c r="J20" t="s">
        <v>76</v>
      </c>
      <c r="K20">
        <v>4172</v>
      </c>
    </row>
    <row r="21" spans="1:11" x14ac:dyDescent="0.25">
      <c r="A21" t="s">
        <v>106</v>
      </c>
      <c r="B21" t="s">
        <v>107</v>
      </c>
      <c r="C21" t="s">
        <v>108</v>
      </c>
      <c r="D21" t="s">
        <v>136</v>
      </c>
      <c r="E21" t="s">
        <v>107</v>
      </c>
      <c r="F21" t="s">
        <v>30</v>
      </c>
      <c r="H21">
        <v>12.752000000000001</v>
      </c>
      <c r="I21">
        <v>0.26500000000000001</v>
      </c>
      <c r="J21" t="s">
        <v>77</v>
      </c>
      <c r="K21">
        <v>4172</v>
      </c>
    </row>
    <row r="22" spans="1:11" x14ac:dyDescent="0.25">
      <c r="A22" t="s">
        <v>106</v>
      </c>
      <c r="B22" t="s">
        <v>107</v>
      </c>
      <c r="C22" t="s">
        <v>108</v>
      </c>
      <c r="D22" t="s">
        <v>137</v>
      </c>
      <c r="E22" t="s">
        <v>107</v>
      </c>
      <c r="F22" t="s">
        <v>30</v>
      </c>
      <c r="H22">
        <v>12.433</v>
      </c>
      <c r="I22">
        <v>0.22800000000000001</v>
      </c>
      <c r="J22" t="s">
        <v>78</v>
      </c>
      <c r="K22">
        <v>4172</v>
      </c>
    </row>
    <row r="23" spans="1:11" x14ac:dyDescent="0.25">
      <c r="A23" t="s">
        <v>106</v>
      </c>
      <c r="B23" t="s">
        <v>107</v>
      </c>
      <c r="C23" t="s">
        <v>108</v>
      </c>
      <c r="D23" t="s">
        <v>138</v>
      </c>
      <c r="E23" t="s">
        <v>107</v>
      </c>
      <c r="F23" t="s">
        <v>30</v>
      </c>
      <c r="H23">
        <v>12.443</v>
      </c>
      <c r="I23">
        <v>0.221</v>
      </c>
      <c r="J23" t="s">
        <v>79</v>
      </c>
      <c r="K23">
        <v>4172</v>
      </c>
    </row>
    <row r="24" spans="1:11" x14ac:dyDescent="0.25">
      <c r="A24" t="s">
        <v>106</v>
      </c>
      <c r="B24" t="s">
        <v>107</v>
      </c>
      <c r="C24" t="s">
        <v>108</v>
      </c>
      <c r="D24" t="s">
        <v>139</v>
      </c>
      <c r="E24" t="s">
        <v>107</v>
      </c>
      <c r="F24" t="s">
        <v>30</v>
      </c>
      <c r="H24">
        <v>11.936</v>
      </c>
      <c r="I24">
        <v>0.23400000000000001</v>
      </c>
      <c r="J24" t="s">
        <v>80</v>
      </c>
      <c r="K24">
        <v>4172</v>
      </c>
    </row>
    <row r="25" spans="1:11" x14ac:dyDescent="0.25">
      <c r="A25" t="s">
        <v>106</v>
      </c>
      <c r="B25" t="s">
        <v>107</v>
      </c>
      <c r="C25" t="s">
        <v>108</v>
      </c>
      <c r="D25" t="s">
        <v>140</v>
      </c>
      <c r="E25" t="s">
        <v>107</v>
      </c>
      <c r="F25" t="s">
        <v>30</v>
      </c>
      <c r="H25">
        <v>9.3140000000000001</v>
      </c>
      <c r="I25">
        <v>0.10100000000000001</v>
      </c>
      <c r="J25" t="s">
        <v>81</v>
      </c>
      <c r="K25">
        <v>4172</v>
      </c>
    </row>
    <row r="26" spans="1:11" x14ac:dyDescent="0.25">
      <c r="A26" t="s">
        <v>106</v>
      </c>
      <c r="B26" t="s">
        <v>107</v>
      </c>
      <c r="C26" t="s">
        <v>108</v>
      </c>
      <c r="D26" t="s">
        <v>141</v>
      </c>
      <c r="E26" t="s">
        <v>107</v>
      </c>
      <c r="F26" t="s">
        <v>30</v>
      </c>
      <c r="H26">
        <v>9.0380000000000003</v>
      </c>
      <c r="I26">
        <v>0.109</v>
      </c>
      <c r="J26" t="s">
        <v>82</v>
      </c>
      <c r="K26">
        <v>4172</v>
      </c>
    </row>
    <row r="27" spans="1:11" x14ac:dyDescent="0.25">
      <c r="A27" t="s">
        <v>106</v>
      </c>
      <c r="B27" t="s">
        <v>107</v>
      </c>
      <c r="C27" t="s">
        <v>108</v>
      </c>
      <c r="D27" t="s">
        <v>142</v>
      </c>
      <c r="E27" t="s">
        <v>107</v>
      </c>
      <c r="F27" t="s">
        <v>30</v>
      </c>
      <c r="H27">
        <v>8.9440000000000008</v>
      </c>
      <c r="I27">
        <v>9.9000000000000005E-2</v>
      </c>
      <c r="J27" t="s">
        <v>83</v>
      </c>
      <c r="K27">
        <v>4172</v>
      </c>
    </row>
    <row r="28" spans="1:11" x14ac:dyDescent="0.25">
      <c r="A28" t="s">
        <v>106</v>
      </c>
      <c r="B28" t="s">
        <v>107</v>
      </c>
      <c r="C28" t="s">
        <v>108</v>
      </c>
      <c r="D28" t="s">
        <v>143</v>
      </c>
      <c r="E28" t="s">
        <v>107</v>
      </c>
      <c r="F28" t="s">
        <v>30</v>
      </c>
      <c r="H28">
        <v>8.9779999999999998</v>
      </c>
      <c r="I28">
        <v>0.1</v>
      </c>
      <c r="J28" t="s">
        <v>84</v>
      </c>
      <c r="K28">
        <v>4172</v>
      </c>
    </row>
    <row r="29" spans="1:11" x14ac:dyDescent="0.25">
      <c r="A29" t="s">
        <v>106</v>
      </c>
      <c r="B29" t="s">
        <v>107</v>
      </c>
      <c r="C29" t="s">
        <v>108</v>
      </c>
      <c r="D29" t="s">
        <v>144</v>
      </c>
      <c r="E29" t="s">
        <v>107</v>
      </c>
      <c r="F29" t="s">
        <v>30</v>
      </c>
      <c r="H29">
        <v>8.984</v>
      </c>
      <c r="I29">
        <v>9.6000000000000002E-2</v>
      </c>
      <c r="J29" t="s">
        <v>85</v>
      </c>
      <c r="K29">
        <v>4172</v>
      </c>
    </row>
    <row r="30" spans="1:11" x14ac:dyDescent="0.25">
      <c r="A30" t="s">
        <v>106</v>
      </c>
      <c r="B30" t="s">
        <v>107</v>
      </c>
      <c r="C30" t="s">
        <v>108</v>
      </c>
      <c r="D30" t="s">
        <v>145</v>
      </c>
      <c r="E30" t="s">
        <v>107</v>
      </c>
      <c r="F30" t="s">
        <v>30</v>
      </c>
      <c r="H30">
        <v>9.0389999999999997</v>
      </c>
      <c r="I30">
        <v>9.7000000000000003E-2</v>
      </c>
      <c r="J30" t="s">
        <v>86</v>
      </c>
      <c r="K30">
        <v>4172</v>
      </c>
    </row>
    <row r="31" spans="1:11" x14ac:dyDescent="0.25">
      <c r="A31" t="s">
        <v>106</v>
      </c>
      <c r="B31" t="s">
        <v>107</v>
      </c>
      <c r="C31" t="s">
        <v>108</v>
      </c>
      <c r="D31" t="s">
        <v>146</v>
      </c>
      <c r="E31" t="s">
        <v>107</v>
      </c>
      <c r="F31" t="s">
        <v>30</v>
      </c>
      <c r="H31">
        <v>9.1039999999999992</v>
      </c>
      <c r="I31">
        <v>0.14399999999999999</v>
      </c>
      <c r="J31" t="s">
        <v>87</v>
      </c>
      <c r="K31">
        <v>4172</v>
      </c>
    </row>
    <row r="32" spans="1:11" x14ac:dyDescent="0.25">
      <c r="A32" t="s">
        <v>106</v>
      </c>
      <c r="B32" t="s">
        <v>107</v>
      </c>
      <c r="C32" t="s">
        <v>108</v>
      </c>
      <c r="D32" t="s">
        <v>147</v>
      </c>
      <c r="E32" t="s">
        <v>107</v>
      </c>
      <c r="F32" t="s">
        <v>30</v>
      </c>
      <c r="H32">
        <v>9.2639999999999993</v>
      </c>
      <c r="I32">
        <v>0.14899999999999999</v>
      </c>
      <c r="J32" t="s">
        <v>88</v>
      </c>
      <c r="K32">
        <v>4172</v>
      </c>
    </row>
    <row r="33" spans="1:11" x14ac:dyDescent="0.25">
      <c r="A33" t="s">
        <v>106</v>
      </c>
      <c r="B33" t="s">
        <v>107</v>
      </c>
      <c r="C33" t="s">
        <v>108</v>
      </c>
      <c r="D33" t="s">
        <v>148</v>
      </c>
      <c r="E33" t="s">
        <v>107</v>
      </c>
      <c r="F33" t="s">
        <v>30</v>
      </c>
      <c r="H33">
        <v>9.3819999999999997</v>
      </c>
      <c r="I33">
        <v>0.125</v>
      </c>
      <c r="J33" t="s">
        <v>89</v>
      </c>
      <c r="K33">
        <v>4172</v>
      </c>
    </row>
    <row r="34" spans="1:11" x14ac:dyDescent="0.25">
      <c r="A34" t="s">
        <v>106</v>
      </c>
      <c r="B34" t="s">
        <v>107</v>
      </c>
      <c r="C34" t="s">
        <v>108</v>
      </c>
      <c r="D34" t="s">
        <v>149</v>
      </c>
      <c r="E34" t="s">
        <v>107</v>
      </c>
      <c r="F34" t="s">
        <v>30</v>
      </c>
      <c r="H34">
        <v>9.4930000000000003</v>
      </c>
      <c r="I34">
        <v>0.108</v>
      </c>
      <c r="J34" t="s">
        <v>90</v>
      </c>
      <c r="K34">
        <v>4172</v>
      </c>
    </row>
    <row r="35" spans="1:11" x14ac:dyDescent="0.25">
      <c r="A35" t="s">
        <v>106</v>
      </c>
      <c r="B35" t="s">
        <v>107</v>
      </c>
      <c r="C35" t="s">
        <v>108</v>
      </c>
      <c r="D35" t="s">
        <v>150</v>
      </c>
      <c r="E35" t="s">
        <v>107</v>
      </c>
      <c r="F35" t="s">
        <v>30</v>
      </c>
      <c r="H35">
        <v>9.5269999999999992</v>
      </c>
      <c r="I35">
        <v>9.2999999999999999E-2</v>
      </c>
      <c r="J35" t="s">
        <v>91</v>
      </c>
      <c r="K35">
        <v>4172</v>
      </c>
    </row>
    <row r="36" spans="1:11" x14ac:dyDescent="0.25">
      <c r="A36" t="s">
        <v>106</v>
      </c>
      <c r="B36" t="s">
        <v>107</v>
      </c>
      <c r="C36" t="s">
        <v>108</v>
      </c>
      <c r="D36" t="s">
        <v>151</v>
      </c>
      <c r="E36" t="s">
        <v>107</v>
      </c>
      <c r="F36" t="s">
        <v>30</v>
      </c>
      <c r="H36">
        <v>9.4559999999999995</v>
      </c>
      <c r="I36">
        <v>9.4E-2</v>
      </c>
      <c r="J36" t="s">
        <v>92</v>
      </c>
      <c r="K36">
        <v>4172</v>
      </c>
    </row>
    <row r="37" spans="1:11" x14ac:dyDescent="0.25">
      <c r="A37" t="s">
        <v>106</v>
      </c>
      <c r="B37" t="s">
        <v>107</v>
      </c>
      <c r="C37" t="s">
        <v>108</v>
      </c>
      <c r="D37" t="s">
        <v>152</v>
      </c>
      <c r="E37" t="s">
        <v>107</v>
      </c>
      <c r="F37" t="s">
        <v>30</v>
      </c>
      <c r="H37">
        <v>8.4779999999999998</v>
      </c>
      <c r="I37">
        <v>0.122</v>
      </c>
      <c r="J37" t="s">
        <v>93</v>
      </c>
      <c r="K37">
        <v>4172</v>
      </c>
    </row>
    <row r="38" spans="1:11" x14ac:dyDescent="0.25">
      <c r="A38" t="s">
        <v>106</v>
      </c>
      <c r="B38" t="s">
        <v>107</v>
      </c>
      <c r="C38" t="s">
        <v>108</v>
      </c>
      <c r="D38" t="s">
        <v>153</v>
      </c>
      <c r="E38" t="s">
        <v>107</v>
      </c>
      <c r="F38" t="s">
        <v>30</v>
      </c>
      <c r="H38">
        <v>8.3409999999999993</v>
      </c>
      <c r="I38">
        <v>0.122</v>
      </c>
      <c r="J38" t="s">
        <v>154</v>
      </c>
      <c r="K38">
        <v>4172</v>
      </c>
    </row>
    <row r="39" spans="1:11" x14ac:dyDescent="0.25">
      <c r="A39" t="s">
        <v>106</v>
      </c>
      <c r="B39" t="s">
        <v>107</v>
      </c>
      <c r="C39" t="s">
        <v>108</v>
      </c>
      <c r="D39" t="s">
        <v>155</v>
      </c>
      <c r="E39" t="s">
        <v>107</v>
      </c>
      <c r="F39" t="s">
        <v>30</v>
      </c>
      <c r="H39">
        <v>8.2409999999999997</v>
      </c>
      <c r="I39">
        <v>0.122</v>
      </c>
      <c r="J39" t="s">
        <v>156</v>
      </c>
      <c r="K39">
        <v>4172</v>
      </c>
    </row>
    <row r="40" spans="1:11" x14ac:dyDescent="0.25">
      <c r="A40" t="s">
        <v>106</v>
      </c>
      <c r="B40" t="s">
        <v>107</v>
      </c>
      <c r="C40" t="s">
        <v>108</v>
      </c>
      <c r="D40" t="s">
        <v>157</v>
      </c>
      <c r="E40" t="s">
        <v>107</v>
      </c>
      <c r="F40" t="s">
        <v>30</v>
      </c>
      <c r="H40">
        <v>8.1920000000000002</v>
      </c>
      <c r="I40">
        <v>0.09</v>
      </c>
      <c r="J40" t="s">
        <v>158</v>
      </c>
      <c r="K40">
        <v>4172</v>
      </c>
    </row>
    <row r="41" spans="1:11" x14ac:dyDescent="0.25">
      <c r="A41" t="s">
        <v>106</v>
      </c>
      <c r="B41" t="s">
        <v>107</v>
      </c>
      <c r="C41" t="s">
        <v>108</v>
      </c>
      <c r="D41" t="s">
        <v>159</v>
      </c>
      <c r="E41" t="s">
        <v>107</v>
      </c>
      <c r="F41" t="s">
        <v>30</v>
      </c>
      <c r="H41">
        <v>8.1329999999999991</v>
      </c>
      <c r="I41">
        <v>8.5999999999999993E-2</v>
      </c>
      <c r="J41" t="s">
        <v>160</v>
      </c>
      <c r="K41">
        <v>4172</v>
      </c>
    </row>
    <row r="42" spans="1:11" x14ac:dyDescent="0.25">
      <c r="A42" t="s">
        <v>106</v>
      </c>
      <c r="B42" t="s">
        <v>107</v>
      </c>
      <c r="C42" t="s">
        <v>108</v>
      </c>
      <c r="D42" t="s">
        <v>161</v>
      </c>
      <c r="E42" t="s">
        <v>107</v>
      </c>
      <c r="F42" t="s">
        <v>30</v>
      </c>
      <c r="H42">
        <v>8.1780000000000008</v>
      </c>
      <c r="I42">
        <v>7.5999999999999998E-2</v>
      </c>
      <c r="J42" t="s">
        <v>162</v>
      </c>
      <c r="K42">
        <v>4172</v>
      </c>
    </row>
    <row r="43" spans="1:11" x14ac:dyDescent="0.25">
      <c r="A43" t="s">
        <v>106</v>
      </c>
      <c r="B43" t="s">
        <v>107</v>
      </c>
      <c r="C43" t="s">
        <v>108</v>
      </c>
      <c r="D43" t="s">
        <v>163</v>
      </c>
      <c r="E43" t="s">
        <v>107</v>
      </c>
      <c r="F43" t="s">
        <v>30</v>
      </c>
      <c r="H43">
        <v>8.4529999999999994</v>
      </c>
      <c r="I43">
        <v>0.06</v>
      </c>
      <c r="J43" t="s">
        <v>164</v>
      </c>
      <c r="K43">
        <v>4172</v>
      </c>
    </row>
    <row r="44" spans="1:11" x14ac:dyDescent="0.25">
      <c r="A44" t="s">
        <v>106</v>
      </c>
      <c r="B44" t="s">
        <v>107</v>
      </c>
      <c r="C44" t="s">
        <v>108</v>
      </c>
      <c r="D44" t="s">
        <v>165</v>
      </c>
      <c r="E44" t="s">
        <v>107</v>
      </c>
      <c r="F44" t="s">
        <v>30</v>
      </c>
      <c r="H44">
        <v>8.5890000000000004</v>
      </c>
      <c r="I44">
        <v>5.8999999999999997E-2</v>
      </c>
      <c r="J44" t="s">
        <v>166</v>
      </c>
      <c r="K44">
        <v>4172</v>
      </c>
    </row>
    <row r="45" spans="1:11" x14ac:dyDescent="0.25">
      <c r="A45" t="s">
        <v>106</v>
      </c>
      <c r="B45" t="s">
        <v>107</v>
      </c>
      <c r="C45" t="s">
        <v>108</v>
      </c>
      <c r="D45" t="s">
        <v>167</v>
      </c>
      <c r="E45" t="s">
        <v>107</v>
      </c>
      <c r="F45" t="s">
        <v>30</v>
      </c>
      <c r="H45">
        <v>8.7040000000000006</v>
      </c>
      <c r="I45">
        <v>6.4000000000000001E-2</v>
      </c>
      <c r="J45" t="s">
        <v>168</v>
      </c>
      <c r="K45">
        <v>4172</v>
      </c>
    </row>
    <row r="46" spans="1:11" x14ac:dyDescent="0.25">
      <c r="A46" t="s">
        <v>106</v>
      </c>
      <c r="B46" t="s">
        <v>107</v>
      </c>
      <c r="C46" t="s">
        <v>108</v>
      </c>
      <c r="D46" t="s">
        <v>169</v>
      </c>
      <c r="E46" t="s">
        <v>107</v>
      </c>
      <c r="F46" t="s">
        <v>30</v>
      </c>
      <c r="H46">
        <v>8.9160000000000004</v>
      </c>
      <c r="I46">
        <v>5.6000000000000001E-2</v>
      </c>
      <c r="J46" t="s">
        <v>170</v>
      </c>
      <c r="K46">
        <v>4172</v>
      </c>
    </row>
    <row r="47" spans="1:11" x14ac:dyDescent="0.25">
      <c r="A47" t="s">
        <v>106</v>
      </c>
      <c r="B47" t="s">
        <v>107</v>
      </c>
      <c r="C47" t="s">
        <v>108</v>
      </c>
      <c r="D47" t="s">
        <v>171</v>
      </c>
      <c r="E47" t="s">
        <v>107</v>
      </c>
      <c r="F47" t="s">
        <v>30</v>
      </c>
      <c r="H47">
        <v>8.9489999999999998</v>
      </c>
      <c r="I47">
        <v>5.7000000000000002E-2</v>
      </c>
      <c r="J47" t="s">
        <v>172</v>
      </c>
      <c r="K47">
        <v>4172</v>
      </c>
    </row>
    <row r="48" spans="1:11" x14ac:dyDescent="0.25">
      <c r="A48" t="s">
        <v>106</v>
      </c>
      <c r="B48" t="s">
        <v>107</v>
      </c>
      <c r="C48" t="s">
        <v>108</v>
      </c>
      <c r="D48" t="s">
        <v>173</v>
      </c>
      <c r="E48" t="s">
        <v>107</v>
      </c>
      <c r="F48" t="s">
        <v>30</v>
      </c>
      <c r="H48">
        <v>8.8819999999999997</v>
      </c>
      <c r="I48">
        <v>5.6000000000000001E-2</v>
      </c>
      <c r="J48" t="s">
        <v>174</v>
      </c>
      <c r="K48">
        <v>4172</v>
      </c>
    </row>
    <row r="49" spans="1:11" x14ac:dyDescent="0.25">
      <c r="A49" t="s">
        <v>106</v>
      </c>
      <c r="B49" t="s">
        <v>107</v>
      </c>
      <c r="C49" t="s">
        <v>108</v>
      </c>
      <c r="D49" t="s">
        <v>175</v>
      </c>
      <c r="E49" t="s">
        <v>107</v>
      </c>
      <c r="F49" t="s">
        <v>30</v>
      </c>
      <c r="H49">
        <v>8.3559999999999999</v>
      </c>
      <c r="I49">
        <v>8.9999999999999993E-3</v>
      </c>
      <c r="J49" t="s">
        <v>176</v>
      </c>
      <c r="K49">
        <v>4172</v>
      </c>
    </row>
    <row r="50" spans="1:11" x14ac:dyDescent="0.25">
      <c r="A50" t="s">
        <v>106</v>
      </c>
      <c r="B50" t="s">
        <v>107</v>
      </c>
      <c r="C50" t="s">
        <v>108</v>
      </c>
      <c r="D50" t="s">
        <v>177</v>
      </c>
      <c r="E50" t="s">
        <v>107</v>
      </c>
      <c r="F50" t="s">
        <v>30</v>
      </c>
      <c r="H50">
        <v>8.234</v>
      </c>
      <c r="I50">
        <v>8.9999999999999993E-3</v>
      </c>
      <c r="J50" t="s">
        <v>178</v>
      </c>
      <c r="K50">
        <v>4172</v>
      </c>
    </row>
    <row r="51" spans="1:11" x14ac:dyDescent="0.25">
      <c r="A51" t="s">
        <v>106</v>
      </c>
      <c r="B51" t="s">
        <v>107</v>
      </c>
      <c r="C51" t="s">
        <v>108</v>
      </c>
      <c r="D51" t="s">
        <v>179</v>
      </c>
      <c r="E51" t="s">
        <v>107</v>
      </c>
      <c r="F51" t="s">
        <v>30</v>
      </c>
      <c r="H51">
        <v>8.1029999999999998</v>
      </c>
      <c r="I51">
        <v>8.0000000000000002E-3</v>
      </c>
      <c r="J51" t="s">
        <v>180</v>
      </c>
      <c r="K51">
        <v>4172</v>
      </c>
    </row>
    <row r="52" spans="1:11" x14ac:dyDescent="0.25">
      <c r="A52" t="s">
        <v>106</v>
      </c>
      <c r="B52" t="s">
        <v>107</v>
      </c>
      <c r="C52" t="s">
        <v>108</v>
      </c>
      <c r="D52" t="s">
        <v>181</v>
      </c>
      <c r="E52" t="s">
        <v>107</v>
      </c>
      <c r="F52" t="s">
        <v>30</v>
      </c>
      <c r="H52">
        <v>7.7839999999999998</v>
      </c>
      <c r="I52">
        <v>7.0000000000000001E-3</v>
      </c>
      <c r="J52" t="s">
        <v>182</v>
      </c>
      <c r="K52">
        <v>4172</v>
      </c>
    </row>
    <row r="53" spans="1:11" x14ac:dyDescent="0.25">
      <c r="A53" t="s">
        <v>106</v>
      </c>
      <c r="B53" t="s">
        <v>107</v>
      </c>
      <c r="C53" t="s">
        <v>108</v>
      </c>
      <c r="D53" t="s">
        <v>183</v>
      </c>
      <c r="E53" t="s">
        <v>107</v>
      </c>
      <c r="F53" t="s">
        <v>30</v>
      </c>
      <c r="H53">
        <v>7.9269999999999996</v>
      </c>
      <c r="I53">
        <v>8.0000000000000002E-3</v>
      </c>
      <c r="J53" t="s">
        <v>184</v>
      </c>
      <c r="K53">
        <v>4172</v>
      </c>
    </row>
    <row r="54" spans="1:11" x14ac:dyDescent="0.25">
      <c r="A54" t="s">
        <v>106</v>
      </c>
      <c r="B54" t="s">
        <v>107</v>
      </c>
      <c r="C54" t="s">
        <v>108</v>
      </c>
      <c r="D54" t="s">
        <v>185</v>
      </c>
      <c r="E54" t="s">
        <v>107</v>
      </c>
      <c r="F54" t="s">
        <v>30</v>
      </c>
      <c r="H54">
        <v>8.173</v>
      </c>
      <c r="I54">
        <v>8.0000000000000002E-3</v>
      </c>
      <c r="J54" t="s">
        <v>186</v>
      </c>
      <c r="K54">
        <v>4172</v>
      </c>
    </row>
    <row r="55" spans="1:11" x14ac:dyDescent="0.25">
      <c r="A55" t="s">
        <v>106</v>
      </c>
      <c r="B55" t="s">
        <v>107</v>
      </c>
      <c r="C55" t="s">
        <v>108</v>
      </c>
      <c r="D55" t="s">
        <v>187</v>
      </c>
      <c r="E55" t="s">
        <v>107</v>
      </c>
      <c r="F55" t="s">
        <v>30</v>
      </c>
      <c r="H55">
        <v>8.2530000000000001</v>
      </c>
      <c r="I55">
        <v>8.0000000000000002E-3</v>
      </c>
      <c r="J55" t="s">
        <v>188</v>
      </c>
      <c r="K55">
        <v>4172</v>
      </c>
    </row>
    <row r="56" spans="1:11" x14ac:dyDescent="0.25">
      <c r="A56" t="s">
        <v>106</v>
      </c>
      <c r="B56" t="s">
        <v>107</v>
      </c>
      <c r="C56" t="s">
        <v>108</v>
      </c>
      <c r="D56" t="s">
        <v>189</v>
      </c>
      <c r="E56" t="s">
        <v>107</v>
      </c>
      <c r="F56" t="s">
        <v>30</v>
      </c>
      <c r="H56">
        <v>8.532</v>
      </c>
      <c r="I56">
        <v>8.0000000000000002E-3</v>
      </c>
      <c r="J56" t="s">
        <v>190</v>
      </c>
      <c r="K56">
        <v>4172</v>
      </c>
    </row>
    <row r="57" spans="1:11" x14ac:dyDescent="0.25">
      <c r="A57" t="s">
        <v>106</v>
      </c>
      <c r="B57" t="s">
        <v>107</v>
      </c>
      <c r="C57" t="s">
        <v>108</v>
      </c>
      <c r="D57" t="s">
        <v>191</v>
      </c>
      <c r="E57" t="s">
        <v>107</v>
      </c>
      <c r="F57" t="s">
        <v>30</v>
      </c>
      <c r="H57">
        <v>8.6890000000000001</v>
      </c>
      <c r="I57">
        <v>8.0000000000000002E-3</v>
      </c>
      <c r="J57" t="s">
        <v>192</v>
      </c>
      <c r="K57">
        <v>4172</v>
      </c>
    </row>
    <row r="58" spans="1:11" x14ac:dyDescent="0.25">
      <c r="A58" t="s">
        <v>106</v>
      </c>
      <c r="B58" t="s">
        <v>107</v>
      </c>
      <c r="C58" t="s">
        <v>108</v>
      </c>
      <c r="D58" t="s">
        <v>193</v>
      </c>
      <c r="E58" t="s">
        <v>107</v>
      </c>
      <c r="F58" t="s">
        <v>30</v>
      </c>
      <c r="H58">
        <v>8.7319999999999993</v>
      </c>
      <c r="I58">
        <v>1.4E-2</v>
      </c>
      <c r="J58" t="s">
        <v>194</v>
      </c>
      <c r="K58">
        <v>4172</v>
      </c>
    </row>
    <row r="59" spans="1:11" x14ac:dyDescent="0.25">
      <c r="A59" t="s">
        <v>106</v>
      </c>
      <c r="B59" t="s">
        <v>107</v>
      </c>
      <c r="C59" t="s">
        <v>108</v>
      </c>
      <c r="D59" t="s">
        <v>195</v>
      </c>
      <c r="E59" t="s">
        <v>107</v>
      </c>
      <c r="F59" t="s">
        <v>30</v>
      </c>
      <c r="H59">
        <v>8.6639999999999997</v>
      </c>
      <c r="I59">
        <v>1.4E-2</v>
      </c>
      <c r="J59" t="s">
        <v>196</v>
      </c>
      <c r="K59">
        <v>4172</v>
      </c>
    </row>
    <row r="60" spans="1:11" x14ac:dyDescent="0.25">
      <c r="A60" t="s">
        <v>106</v>
      </c>
      <c r="B60" t="s">
        <v>107</v>
      </c>
      <c r="C60" t="s">
        <v>108</v>
      </c>
      <c r="D60" t="s">
        <v>197</v>
      </c>
      <c r="E60" t="s">
        <v>107</v>
      </c>
      <c r="F60" t="s">
        <v>30</v>
      </c>
      <c r="H60">
        <v>8.5839999999999996</v>
      </c>
      <c r="I60">
        <v>1.4E-2</v>
      </c>
      <c r="J60" t="s">
        <v>198</v>
      </c>
      <c r="K60">
        <v>4172</v>
      </c>
    </row>
    <row r="61" spans="1:11" x14ac:dyDescent="0.25">
      <c r="A61" t="s">
        <v>106</v>
      </c>
      <c r="B61" t="s">
        <v>107</v>
      </c>
      <c r="C61" t="s">
        <v>108</v>
      </c>
      <c r="D61" t="s">
        <v>199</v>
      </c>
      <c r="E61" t="s">
        <v>107</v>
      </c>
      <c r="F61" t="s">
        <v>30</v>
      </c>
      <c r="H61">
        <v>8.4049999999999994</v>
      </c>
      <c r="I61">
        <v>-5.5E-2</v>
      </c>
      <c r="J61" t="s">
        <v>200</v>
      </c>
      <c r="K61">
        <v>4172</v>
      </c>
    </row>
    <row r="62" spans="1:11" x14ac:dyDescent="0.25">
      <c r="A62" t="s">
        <v>106</v>
      </c>
      <c r="B62" t="s">
        <v>107</v>
      </c>
      <c r="C62" t="s">
        <v>108</v>
      </c>
      <c r="D62" t="s">
        <v>201</v>
      </c>
      <c r="E62" t="s">
        <v>107</v>
      </c>
      <c r="F62" t="s">
        <v>30</v>
      </c>
      <c r="H62">
        <v>8.2460000000000004</v>
      </c>
      <c r="I62">
        <v>-5.5E-2</v>
      </c>
      <c r="J62" t="s">
        <v>202</v>
      </c>
      <c r="K62">
        <v>4172</v>
      </c>
    </row>
    <row r="63" spans="1:11" x14ac:dyDescent="0.25">
      <c r="A63" t="s">
        <v>106</v>
      </c>
      <c r="B63" t="s">
        <v>107</v>
      </c>
      <c r="C63" t="s">
        <v>108</v>
      </c>
      <c r="D63" t="s">
        <v>203</v>
      </c>
      <c r="E63" t="s">
        <v>107</v>
      </c>
      <c r="F63" t="s">
        <v>30</v>
      </c>
      <c r="H63">
        <v>8.1609999999999996</v>
      </c>
      <c r="I63">
        <v>-5.6000000000000001E-2</v>
      </c>
      <c r="J63" t="s">
        <v>204</v>
      </c>
      <c r="K63">
        <v>4172</v>
      </c>
    </row>
    <row r="64" spans="1:11" x14ac:dyDescent="0.25">
      <c r="A64" t="s">
        <v>106</v>
      </c>
      <c r="B64" t="s">
        <v>107</v>
      </c>
      <c r="C64" t="s">
        <v>108</v>
      </c>
      <c r="D64" t="s">
        <v>205</v>
      </c>
      <c r="E64" t="s">
        <v>107</v>
      </c>
      <c r="F64" t="s">
        <v>30</v>
      </c>
      <c r="H64">
        <v>8.11</v>
      </c>
      <c r="I64">
        <v>-5.6000000000000001E-2</v>
      </c>
      <c r="J64" t="s">
        <v>206</v>
      </c>
      <c r="K64">
        <v>4172</v>
      </c>
    </row>
    <row r="65" spans="1:11" x14ac:dyDescent="0.25">
      <c r="A65" t="s">
        <v>106</v>
      </c>
      <c r="B65" t="s">
        <v>107</v>
      </c>
      <c r="C65" t="s">
        <v>108</v>
      </c>
      <c r="D65" t="s">
        <v>207</v>
      </c>
      <c r="E65" t="s">
        <v>107</v>
      </c>
      <c r="F65" t="s">
        <v>30</v>
      </c>
      <c r="H65">
        <v>8.1850000000000005</v>
      </c>
      <c r="I65">
        <v>-5.6000000000000001E-2</v>
      </c>
      <c r="J65" t="s">
        <v>208</v>
      </c>
      <c r="K65">
        <v>4172</v>
      </c>
    </row>
    <row r="66" spans="1:11" x14ac:dyDescent="0.25">
      <c r="A66" t="s">
        <v>106</v>
      </c>
      <c r="B66" t="s">
        <v>107</v>
      </c>
      <c r="C66" t="s">
        <v>108</v>
      </c>
      <c r="D66" t="s">
        <v>209</v>
      </c>
      <c r="E66" t="s">
        <v>107</v>
      </c>
      <c r="F66" t="s">
        <v>30</v>
      </c>
      <c r="H66">
        <v>8.3710000000000004</v>
      </c>
      <c r="I66">
        <v>-5.6000000000000001E-2</v>
      </c>
      <c r="J66" t="s">
        <v>210</v>
      </c>
      <c r="K66">
        <v>4172</v>
      </c>
    </row>
    <row r="67" spans="1:11" x14ac:dyDescent="0.25">
      <c r="A67" t="s">
        <v>106</v>
      </c>
      <c r="B67" t="s">
        <v>107</v>
      </c>
      <c r="C67" t="s">
        <v>108</v>
      </c>
      <c r="D67" t="s">
        <v>211</v>
      </c>
      <c r="E67" t="s">
        <v>107</v>
      </c>
      <c r="F67" t="s">
        <v>30</v>
      </c>
      <c r="H67">
        <v>8.5839999999999996</v>
      </c>
      <c r="I67">
        <v>-5.6000000000000001E-2</v>
      </c>
      <c r="J67" t="s">
        <v>212</v>
      </c>
      <c r="K67">
        <v>4172</v>
      </c>
    </row>
    <row r="68" spans="1:11" x14ac:dyDescent="0.25">
      <c r="A68" t="s">
        <v>106</v>
      </c>
      <c r="B68" t="s">
        <v>107</v>
      </c>
      <c r="C68" t="s">
        <v>108</v>
      </c>
      <c r="D68" t="s">
        <v>213</v>
      </c>
      <c r="E68" t="s">
        <v>107</v>
      </c>
      <c r="F68" t="s">
        <v>30</v>
      </c>
      <c r="H68">
        <v>8.7629999999999999</v>
      </c>
      <c r="I68">
        <v>-5.5E-2</v>
      </c>
      <c r="J68" t="s">
        <v>214</v>
      </c>
      <c r="K68">
        <v>4172</v>
      </c>
    </row>
    <row r="69" spans="1:11" x14ac:dyDescent="0.25">
      <c r="A69" t="s">
        <v>106</v>
      </c>
      <c r="B69" t="s">
        <v>107</v>
      </c>
      <c r="C69" t="s">
        <v>108</v>
      </c>
      <c r="D69" t="s">
        <v>215</v>
      </c>
      <c r="E69" t="s">
        <v>107</v>
      </c>
      <c r="F69" t="s">
        <v>30</v>
      </c>
      <c r="H69">
        <v>9.0359999999999996</v>
      </c>
      <c r="I69">
        <v>0.13900000000000001</v>
      </c>
      <c r="J69" t="s">
        <v>216</v>
      </c>
      <c r="K69">
        <v>4172</v>
      </c>
    </row>
    <row r="70" spans="1:11" x14ac:dyDescent="0.25">
      <c r="A70" t="s">
        <v>106</v>
      </c>
      <c r="B70" t="s">
        <v>107</v>
      </c>
      <c r="C70" t="s">
        <v>108</v>
      </c>
      <c r="D70" t="s">
        <v>217</v>
      </c>
      <c r="E70" t="s">
        <v>107</v>
      </c>
      <c r="F70" t="s">
        <v>30</v>
      </c>
      <c r="H70">
        <v>9.2669999999999995</v>
      </c>
      <c r="I70">
        <v>0.13900000000000001</v>
      </c>
      <c r="J70" t="s">
        <v>218</v>
      </c>
      <c r="K70">
        <v>4172</v>
      </c>
    </row>
    <row r="71" spans="1:11" x14ac:dyDescent="0.25">
      <c r="A71" t="s">
        <v>106</v>
      </c>
      <c r="B71" t="s">
        <v>107</v>
      </c>
      <c r="C71" t="s">
        <v>108</v>
      </c>
      <c r="D71" t="s">
        <v>219</v>
      </c>
      <c r="E71" t="s">
        <v>107</v>
      </c>
      <c r="F71" t="s">
        <v>30</v>
      </c>
      <c r="H71">
        <v>9.2880000000000003</v>
      </c>
      <c r="I71">
        <v>0.191</v>
      </c>
      <c r="J71" t="s">
        <v>220</v>
      </c>
      <c r="K71">
        <v>4172</v>
      </c>
    </row>
    <row r="72" spans="1:11" x14ac:dyDescent="0.25">
      <c r="A72" t="s">
        <v>106</v>
      </c>
      <c r="B72" t="s">
        <v>107</v>
      </c>
      <c r="C72" t="s">
        <v>108</v>
      </c>
      <c r="D72" t="s">
        <v>221</v>
      </c>
      <c r="E72" t="s">
        <v>107</v>
      </c>
      <c r="F72" t="s">
        <v>30</v>
      </c>
      <c r="H72">
        <v>9.2370000000000001</v>
      </c>
      <c r="I72">
        <v>0.191</v>
      </c>
      <c r="J72" t="s">
        <v>222</v>
      </c>
      <c r="K72">
        <v>4172</v>
      </c>
    </row>
    <row r="73" spans="1:11" x14ac:dyDescent="0.25">
      <c r="A73" t="s">
        <v>106</v>
      </c>
      <c r="B73" t="s">
        <v>107</v>
      </c>
      <c r="C73" t="s">
        <v>108</v>
      </c>
      <c r="D73" t="s">
        <v>223</v>
      </c>
      <c r="E73" t="s">
        <v>107</v>
      </c>
      <c r="F73" t="s">
        <v>30</v>
      </c>
      <c r="H73">
        <v>9.1509999999999998</v>
      </c>
      <c r="I73">
        <v>0.191</v>
      </c>
      <c r="J73" t="s">
        <v>224</v>
      </c>
      <c r="K73">
        <v>4172</v>
      </c>
    </row>
    <row r="74" spans="1:11" x14ac:dyDescent="0.25">
      <c r="A74" t="s">
        <v>106</v>
      </c>
      <c r="B74" t="s">
        <v>107</v>
      </c>
      <c r="C74" t="s">
        <v>108</v>
      </c>
      <c r="D74" t="s">
        <v>225</v>
      </c>
      <c r="E74" t="s">
        <v>107</v>
      </c>
      <c r="F74" t="s">
        <v>30</v>
      </c>
      <c r="H74">
        <v>9.016</v>
      </c>
      <c r="I74">
        <v>0.191</v>
      </c>
      <c r="J74" t="s">
        <v>226</v>
      </c>
      <c r="K74">
        <v>4172</v>
      </c>
    </row>
    <row r="75" spans="1:11" x14ac:dyDescent="0.25">
      <c r="A75" t="s">
        <v>106</v>
      </c>
      <c r="B75" t="s">
        <v>107</v>
      </c>
      <c r="C75" t="s">
        <v>108</v>
      </c>
      <c r="D75" t="s">
        <v>227</v>
      </c>
      <c r="E75" t="s">
        <v>107</v>
      </c>
      <c r="F75" t="s">
        <v>30</v>
      </c>
      <c r="H75">
        <v>8.827</v>
      </c>
      <c r="I75">
        <v>0.191</v>
      </c>
      <c r="J75" t="s">
        <v>228</v>
      </c>
      <c r="K75">
        <v>4172</v>
      </c>
    </row>
    <row r="76" spans="1:11" x14ac:dyDescent="0.25">
      <c r="A76" t="s">
        <v>106</v>
      </c>
      <c r="B76" t="s">
        <v>107</v>
      </c>
      <c r="C76" t="s">
        <v>108</v>
      </c>
      <c r="D76" t="s">
        <v>229</v>
      </c>
      <c r="E76" t="s">
        <v>107</v>
      </c>
      <c r="F76" t="s">
        <v>30</v>
      </c>
      <c r="H76">
        <v>8.7059999999999995</v>
      </c>
      <c r="I76">
        <v>0.19</v>
      </c>
      <c r="J76" t="s">
        <v>230</v>
      </c>
      <c r="K76">
        <v>4172</v>
      </c>
    </row>
    <row r="77" spans="1:11" x14ac:dyDescent="0.25">
      <c r="A77" t="s">
        <v>106</v>
      </c>
      <c r="B77" t="s">
        <v>107</v>
      </c>
      <c r="C77" t="s">
        <v>108</v>
      </c>
      <c r="D77" t="s">
        <v>231</v>
      </c>
      <c r="E77" t="s">
        <v>107</v>
      </c>
      <c r="F77" t="s">
        <v>30</v>
      </c>
      <c r="H77">
        <v>8.8729999999999993</v>
      </c>
      <c r="I77">
        <v>0.191</v>
      </c>
      <c r="J77" t="s">
        <v>232</v>
      </c>
      <c r="K77">
        <v>4172</v>
      </c>
    </row>
    <row r="78" spans="1:11" x14ac:dyDescent="0.25">
      <c r="A78" t="s">
        <v>106</v>
      </c>
      <c r="B78" t="s">
        <v>107</v>
      </c>
      <c r="C78" t="s">
        <v>108</v>
      </c>
      <c r="D78" t="s">
        <v>233</v>
      </c>
      <c r="E78" t="s">
        <v>107</v>
      </c>
      <c r="F78" t="s">
        <v>30</v>
      </c>
      <c r="H78">
        <v>9.0760000000000005</v>
      </c>
      <c r="I78">
        <v>0.192</v>
      </c>
      <c r="J78" t="s">
        <v>234</v>
      </c>
      <c r="K78">
        <v>4172</v>
      </c>
    </row>
    <row r="79" spans="1:11" x14ac:dyDescent="0.25">
      <c r="A79" t="s">
        <v>106</v>
      </c>
      <c r="B79" t="s">
        <v>107</v>
      </c>
      <c r="C79" t="s">
        <v>108</v>
      </c>
      <c r="D79" t="s">
        <v>235</v>
      </c>
      <c r="E79" t="s">
        <v>107</v>
      </c>
      <c r="F79" t="s">
        <v>30</v>
      </c>
      <c r="H79">
        <v>9.3740000000000006</v>
      </c>
      <c r="I79">
        <v>0.193</v>
      </c>
      <c r="J79" t="s">
        <v>236</v>
      </c>
      <c r="K79">
        <v>4172</v>
      </c>
    </row>
    <row r="80" spans="1:11" x14ac:dyDescent="0.25">
      <c r="A80" t="s">
        <v>106</v>
      </c>
      <c r="B80" t="s">
        <v>107</v>
      </c>
      <c r="C80" t="s">
        <v>108</v>
      </c>
      <c r="D80" t="s">
        <v>237</v>
      </c>
      <c r="E80" t="s">
        <v>107</v>
      </c>
      <c r="F80" t="s">
        <v>30</v>
      </c>
      <c r="H80">
        <v>9.5090000000000003</v>
      </c>
      <c r="I80">
        <v>0.193</v>
      </c>
      <c r="J80" t="s">
        <v>238</v>
      </c>
      <c r="K80">
        <v>4172</v>
      </c>
    </row>
    <row r="81" spans="1:11" x14ac:dyDescent="0.25">
      <c r="A81" t="s">
        <v>106</v>
      </c>
      <c r="B81" t="s">
        <v>107</v>
      </c>
      <c r="C81" t="s">
        <v>108</v>
      </c>
      <c r="D81" t="s">
        <v>239</v>
      </c>
      <c r="E81" t="s">
        <v>107</v>
      </c>
      <c r="F81" t="s">
        <v>30</v>
      </c>
      <c r="H81">
        <v>9.5809999999999995</v>
      </c>
      <c r="I81">
        <v>0.19400000000000001</v>
      </c>
      <c r="J81" t="s">
        <v>240</v>
      </c>
      <c r="K81">
        <v>4172</v>
      </c>
    </row>
    <row r="82" spans="1:11" x14ac:dyDescent="0.25">
      <c r="A82" t="s">
        <v>106</v>
      </c>
      <c r="B82" t="s">
        <v>107</v>
      </c>
      <c r="C82" t="s">
        <v>108</v>
      </c>
      <c r="D82" t="s">
        <v>241</v>
      </c>
      <c r="E82" t="s">
        <v>107</v>
      </c>
      <c r="F82" t="s">
        <v>30</v>
      </c>
      <c r="H82">
        <v>9.6620000000000008</v>
      </c>
      <c r="I82">
        <v>0.19400000000000001</v>
      </c>
      <c r="J82" t="s">
        <v>242</v>
      </c>
      <c r="K82">
        <v>4172</v>
      </c>
    </row>
    <row r="83" spans="1:11" x14ac:dyDescent="0.25">
      <c r="A83" t="s">
        <v>106</v>
      </c>
      <c r="B83" t="s">
        <v>107</v>
      </c>
      <c r="C83" t="s">
        <v>108</v>
      </c>
      <c r="D83" t="s">
        <v>243</v>
      </c>
      <c r="E83" t="s">
        <v>107</v>
      </c>
      <c r="F83" t="s">
        <v>30</v>
      </c>
      <c r="H83">
        <v>9.6300000000000008</v>
      </c>
      <c r="I83">
        <v>0.193</v>
      </c>
      <c r="J83" t="s">
        <v>244</v>
      </c>
      <c r="K83">
        <v>4172</v>
      </c>
    </row>
    <row r="84" spans="1:11" x14ac:dyDescent="0.25">
      <c r="A84" t="s">
        <v>106</v>
      </c>
      <c r="B84" t="s">
        <v>107</v>
      </c>
      <c r="C84" t="s">
        <v>108</v>
      </c>
      <c r="D84" t="s">
        <v>245</v>
      </c>
      <c r="E84" t="s">
        <v>107</v>
      </c>
      <c r="F84" t="s">
        <v>30</v>
      </c>
      <c r="H84">
        <v>9.5709999999999997</v>
      </c>
      <c r="I84">
        <v>0.19400000000000001</v>
      </c>
      <c r="J84" t="s">
        <v>246</v>
      </c>
      <c r="K84">
        <v>4172</v>
      </c>
    </row>
    <row r="85" spans="1:11" x14ac:dyDescent="0.25">
      <c r="A85" t="s">
        <v>106</v>
      </c>
      <c r="B85" t="s">
        <v>107</v>
      </c>
      <c r="C85" t="s">
        <v>108</v>
      </c>
      <c r="D85" t="s">
        <v>247</v>
      </c>
      <c r="E85" t="s">
        <v>107</v>
      </c>
      <c r="F85" t="s">
        <v>30</v>
      </c>
      <c r="H85">
        <v>9.4529999999999994</v>
      </c>
      <c r="I85">
        <v>0.193</v>
      </c>
      <c r="J85" t="s">
        <v>248</v>
      </c>
      <c r="K85">
        <v>4172</v>
      </c>
    </row>
    <row r="86" spans="1:11" x14ac:dyDescent="0.25">
      <c r="A86" t="s">
        <v>106</v>
      </c>
      <c r="B86" t="s">
        <v>107</v>
      </c>
      <c r="C86" t="s">
        <v>108</v>
      </c>
      <c r="D86" t="s">
        <v>249</v>
      </c>
      <c r="E86" t="s">
        <v>107</v>
      </c>
      <c r="F86" t="s">
        <v>30</v>
      </c>
      <c r="H86">
        <v>9.2959999999999994</v>
      </c>
      <c r="I86">
        <v>0.193</v>
      </c>
      <c r="J86" t="s">
        <v>250</v>
      </c>
      <c r="K86">
        <v>4172</v>
      </c>
    </row>
    <row r="87" spans="1:11" x14ac:dyDescent="0.25">
      <c r="A87" t="s">
        <v>106</v>
      </c>
      <c r="B87" t="s">
        <v>107</v>
      </c>
      <c r="C87" t="s">
        <v>108</v>
      </c>
      <c r="D87" t="s">
        <v>251</v>
      </c>
      <c r="E87" t="s">
        <v>107</v>
      </c>
      <c r="F87" t="s">
        <v>30</v>
      </c>
      <c r="H87">
        <v>9.1760000000000002</v>
      </c>
      <c r="I87">
        <v>0.193</v>
      </c>
      <c r="J87" t="s">
        <v>252</v>
      </c>
      <c r="K87">
        <v>4172</v>
      </c>
    </row>
    <row r="88" spans="1:11" x14ac:dyDescent="0.25">
      <c r="A88" t="s">
        <v>106</v>
      </c>
      <c r="B88" t="s">
        <v>107</v>
      </c>
      <c r="C88" t="s">
        <v>108</v>
      </c>
      <c r="D88" t="s">
        <v>253</v>
      </c>
      <c r="E88" t="s">
        <v>107</v>
      </c>
      <c r="F88" t="s">
        <v>30</v>
      </c>
      <c r="H88">
        <v>9.0839999999999996</v>
      </c>
      <c r="I88">
        <v>0.193</v>
      </c>
      <c r="J88" t="s">
        <v>254</v>
      </c>
      <c r="K88">
        <v>4172</v>
      </c>
    </row>
    <row r="89" spans="1:11" x14ac:dyDescent="0.25">
      <c r="A89" t="s">
        <v>106</v>
      </c>
      <c r="B89" t="s">
        <v>107</v>
      </c>
      <c r="C89" t="s">
        <v>108</v>
      </c>
      <c r="D89" t="s">
        <v>255</v>
      </c>
      <c r="E89" t="s">
        <v>107</v>
      </c>
      <c r="F89" t="s">
        <v>30</v>
      </c>
      <c r="H89">
        <v>9.2560000000000002</v>
      </c>
      <c r="I89">
        <v>0.19400000000000001</v>
      </c>
      <c r="J89" t="s">
        <v>256</v>
      </c>
      <c r="K89">
        <v>4172</v>
      </c>
    </row>
    <row r="90" spans="1:11" x14ac:dyDescent="0.25">
      <c r="A90" t="s">
        <v>106</v>
      </c>
      <c r="B90" t="s">
        <v>107</v>
      </c>
      <c r="C90" t="s">
        <v>108</v>
      </c>
      <c r="D90" t="s">
        <v>257</v>
      </c>
      <c r="E90" t="s">
        <v>107</v>
      </c>
      <c r="F90" t="s">
        <v>30</v>
      </c>
      <c r="H90">
        <v>9.407</v>
      </c>
      <c r="I90">
        <v>0.19400000000000001</v>
      </c>
      <c r="J90" t="s">
        <v>258</v>
      </c>
      <c r="K90">
        <v>4172</v>
      </c>
    </row>
    <row r="91" spans="1:11" x14ac:dyDescent="0.25">
      <c r="A91" t="s">
        <v>106</v>
      </c>
      <c r="B91" t="s">
        <v>107</v>
      </c>
      <c r="C91" t="s">
        <v>108</v>
      </c>
      <c r="D91" t="s">
        <v>259</v>
      </c>
      <c r="E91" t="s">
        <v>107</v>
      </c>
      <c r="F91" t="s">
        <v>30</v>
      </c>
      <c r="H91">
        <v>9.6359999999999992</v>
      </c>
      <c r="I91">
        <v>0.19400000000000001</v>
      </c>
      <c r="J91" t="s">
        <v>260</v>
      </c>
      <c r="K91">
        <v>4172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11308-F07B-4D17-A281-EEB95473F212}">
  <sheetPr codeName="Sheet8"/>
  <dimension ref="A1:AM26"/>
  <sheetViews>
    <sheetView workbookViewId="0">
      <selection activeCell="G29" sqref="G29"/>
    </sheetView>
  </sheetViews>
  <sheetFormatPr defaultRowHeight="15" x14ac:dyDescent="0.25"/>
  <cols>
    <col min="1" max="16384" width="9.140625" style="4"/>
  </cols>
  <sheetData>
    <row r="1" spans="1:39" ht="18.75" x14ac:dyDescent="0.25">
      <c r="A1" s="4" t="s">
        <v>109</v>
      </c>
      <c r="B1" s="4">
        <f ca="1">SUM(C3:AL25)</f>
        <v>1224.7440000000006</v>
      </c>
      <c r="C1" s="11" t="s">
        <v>56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</row>
    <row r="2" spans="1:39" x14ac:dyDescent="0.25">
      <c r="C2" s="6">
        <f t="array" aca="1" ref="C2:AL2" ca="1">TRANSPOSE(_xlfn._xlws.SORT(Unique!B2:B37))</f>
        <v>27</v>
      </c>
      <c r="D2" s="6">
        <f ca="1"/>
        <v>57</v>
      </c>
      <c r="E2" s="6">
        <f ca="1"/>
        <v>88</v>
      </c>
      <c r="F2" s="6">
        <f ca="1"/>
        <v>118</v>
      </c>
      <c r="G2" s="6">
        <f ca="1"/>
        <v>148</v>
      </c>
      <c r="H2" s="6">
        <f ca="1"/>
        <v>180</v>
      </c>
      <c r="I2" s="6">
        <f ca="1"/>
        <v>210</v>
      </c>
      <c r="J2" s="6">
        <f ca="1"/>
        <v>239</v>
      </c>
      <c r="K2" s="6">
        <f ca="1"/>
        <v>271</v>
      </c>
      <c r="L2" s="6">
        <f ca="1"/>
        <v>302</v>
      </c>
      <c r="M2" s="6">
        <f ca="1"/>
        <v>333</v>
      </c>
      <c r="N2" s="6">
        <f ca="1"/>
        <v>361</v>
      </c>
      <c r="O2" s="6">
        <f ca="1"/>
        <v>392</v>
      </c>
      <c r="P2" s="6">
        <f ca="1"/>
        <v>421</v>
      </c>
      <c r="Q2" s="6">
        <f ca="1"/>
        <v>453</v>
      </c>
      <c r="R2" s="6">
        <f ca="1"/>
        <v>483</v>
      </c>
      <c r="S2" s="6">
        <f ca="1"/>
        <v>512</v>
      </c>
      <c r="T2" s="6">
        <f ca="1"/>
        <v>545</v>
      </c>
      <c r="U2" s="6">
        <f ca="1"/>
        <v>575</v>
      </c>
      <c r="V2" s="6">
        <f ca="1"/>
        <v>606</v>
      </c>
      <c r="W2" s="6">
        <f ca="1"/>
        <v>636</v>
      </c>
      <c r="X2" s="6">
        <f ca="1"/>
        <v>666</v>
      </c>
      <c r="Y2" s="6">
        <f ca="1"/>
        <v>698</v>
      </c>
      <c r="Z2" s="6">
        <f ca="1"/>
        <v>727</v>
      </c>
      <c r="AA2" s="6">
        <f ca="1"/>
        <v>756</v>
      </c>
      <c r="AB2" s="6">
        <f ca="1"/>
        <v>788</v>
      </c>
      <c r="AC2" s="6">
        <f ca="1"/>
        <v>819</v>
      </c>
      <c r="AD2" s="6">
        <f ca="1"/>
        <v>848</v>
      </c>
      <c r="AE2" s="6">
        <f ca="1"/>
        <v>880</v>
      </c>
      <c r="AF2" s="6">
        <f ca="1"/>
        <v>911</v>
      </c>
      <c r="AG2" s="6">
        <f ca="1"/>
        <v>939</v>
      </c>
      <c r="AH2" s="6">
        <f ca="1"/>
        <v>972</v>
      </c>
      <c r="AI2" s="6">
        <f ca="1"/>
        <v>1002</v>
      </c>
      <c r="AJ2" s="6">
        <f ca="1"/>
        <v>1033</v>
      </c>
      <c r="AK2" s="6">
        <f ca="1"/>
        <v>1064</v>
      </c>
      <c r="AL2" s="6">
        <f ca="1"/>
        <v>1092</v>
      </c>
    </row>
    <row r="3" spans="1:39" ht="15" customHeight="1" x14ac:dyDescent="0.25">
      <c r="A3" s="11" t="s">
        <v>45</v>
      </c>
      <c r="B3" s="6" cm="1">
        <f t="array" ref="B3:B25">_xlfn._xlws.SORT(Unique!A2:A24)</f>
        <v>5</v>
      </c>
      <c r="C3" s="9" cm="1">
        <f t="array" aca="1" ref="C3" ca="1">_xlfn.IFNA(INDEX(jkm_call_put!$H:$H,MATCH($B3&amp;C$2&amp;$A$1,jkm_call_put!$G:$G&amp;jkm_call_put!$O:$O&amp;jkm_call_put!$F:$F,0),1),"")</f>
        <v>14.414</v>
      </c>
      <c r="D3" s="9" cm="1">
        <f t="array" aca="1" ref="D3" ca="1">_xlfn.IFNA(INDEX(jkm_call_put!$H:$H,MATCH($B3&amp;D$2&amp;$A$1,jkm_call_put!$G:$G&amp;jkm_call_put!$O:$O&amp;jkm_call_put!$F:$F,0),1),"")</f>
        <v>13.861000000000001</v>
      </c>
      <c r="E3" s="9" cm="1">
        <f t="array" aca="1" ref="E3" ca="1">_xlfn.IFNA(INDEX(jkm_call_put!$H:$H,MATCH($B3&amp;E$2&amp;$A$1,jkm_call_put!$G:$G&amp;jkm_call_put!$O:$O&amp;jkm_call_put!$F:$F,0),1),"")</f>
        <v>13.509</v>
      </c>
      <c r="F3" s="9" cm="1">
        <f t="array" aca="1" ref="F3" ca="1">_xlfn.IFNA(INDEX(jkm_call_put!$H:$H,MATCH($B3&amp;F$2&amp;$A$1,jkm_call_put!$G:$G&amp;jkm_call_put!$O:$O&amp;jkm_call_put!$F:$F,0),1),"")</f>
        <v>13.093999999999999</v>
      </c>
      <c r="G3" s="9" cm="1">
        <f t="array" aca="1" ref="G3" ca="1">_xlfn.IFNA(INDEX(jkm_call_put!$H:$H,MATCH($B3&amp;G$2&amp;$A$1,jkm_call_put!$G:$G&amp;jkm_call_put!$O:$O&amp;jkm_call_put!$F:$F,0),1),"")</f>
        <v>12.811</v>
      </c>
      <c r="H3" s="9" cm="1">
        <f t="array" aca="1" ref="H3" ca="1">_xlfn.IFNA(INDEX(jkm_call_put!$H:$H,MATCH($B3&amp;H$2&amp;$A$1,jkm_call_put!$G:$G&amp;jkm_call_put!$O:$O&amp;jkm_call_put!$F:$F,0),1),"")</f>
        <v>12.287000000000001</v>
      </c>
      <c r="I3" s="9" cm="1">
        <f t="array" aca="1" ref="I3" ca="1">_xlfn.IFNA(INDEX(jkm_call_put!$H:$H,MATCH($B3&amp;I$2&amp;$A$1,jkm_call_put!$G:$G&amp;jkm_call_put!$O:$O&amp;jkm_call_put!$F:$F,0),1),"")</f>
        <v>12.234999999999999</v>
      </c>
      <c r="J3" s="9" cm="1">
        <f t="array" aca="1" ref="J3" ca="1">_xlfn.IFNA(INDEX(jkm_call_put!$H:$H,MATCH($B3&amp;J$2&amp;$A$1,jkm_call_put!$G:$G&amp;jkm_call_put!$O:$O&amp;jkm_call_put!$F:$F,0),1),"")</f>
        <v>12.398</v>
      </c>
      <c r="K3" s="9" cm="1">
        <f t="array" aca="1" ref="K3" ca="1">_xlfn.IFNA(INDEX(jkm_call_put!$H:$H,MATCH($B3&amp;K$2&amp;$A$1,jkm_call_put!$G:$G&amp;jkm_call_put!$O:$O&amp;jkm_call_put!$F:$F,0),1),"")</f>
        <v>12.307</v>
      </c>
      <c r="L3" s="9" cm="1">
        <f t="array" aca="1" ref="L3" ca="1">_xlfn.IFNA(INDEX(jkm_call_put!$H:$H,MATCH($B3&amp;L$2&amp;$A$1,jkm_call_put!$G:$G&amp;jkm_call_put!$O:$O&amp;jkm_call_put!$F:$F,0),1),"")</f>
        <v>12.003</v>
      </c>
      <c r="M3" s="9" cm="1">
        <f t="array" aca="1" ref="M3" ca="1">_xlfn.IFNA(INDEX(jkm_call_put!$H:$H,MATCH($B3&amp;M$2&amp;$A$1,jkm_call_put!$G:$G&amp;jkm_call_put!$O:$O&amp;jkm_call_put!$F:$F,0),1),"")</f>
        <v>10.704000000000001</v>
      </c>
      <c r="N3" s="9" cm="1">
        <f t="array" aca="1" ref="N3" ca="1">_xlfn.IFNA(INDEX(jkm_call_put!$H:$H,MATCH($B3&amp;N$2&amp;$A$1,jkm_call_put!$G:$G&amp;jkm_call_put!$O:$O&amp;jkm_call_put!$F:$F,0),1),"")</f>
        <v>8.891</v>
      </c>
      <c r="O3" s="9" cm="1">
        <f t="array" aca="1" ref="O3" ca="1">_xlfn.IFNA(INDEX(jkm_call_put!$H:$H,MATCH($B3&amp;O$2&amp;$A$1,jkm_call_put!$G:$G&amp;jkm_call_put!$O:$O&amp;jkm_call_put!$F:$F,0),1),"")</f>
        <v>7.907</v>
      </c>
      <c r="P3" s="9" cm="1">
        <f t="array" aca="1" ref="P3" ca="1">_xlfn.IFNA(INDEX(jkm_call_put!$H:$H,MATCH($B3&amp;P$2&amp;$A$1,jkm_call_put!$G:$G&amp;jkm_call_put!$O:$O&amp;jkm_call_put!$F:$F,0),1),"")</f>
        <v>7.5830000000000002</v>
      </c>
      <c r="Q3" s="9" cm="1">
        <f t="array" aca="1" ref="Q3" ca="1">_xlfn.IFNA(INDEX(jkm_call_put!$H:$H,MATCH($B3&amp;Q$2&amp;$A$1,jkm_call_put!$G:$G&amp;jkm_call_put!$O:$O&amp;jkm_call_put!$F:$F,0),1),"")</f>
        <v>7.5730000000000004</v>
      </c>
      <c r="R3" s="9" cm="1">
        <f t="array" aca="1" ref="R3" ca="1">_xlfn.IFNA(INDEX(jkm_call_put!$H:$H,MATCH($B3&amp;R$2&amp;$A$1,jkm_call_put!$G:$G&amp;jkm_call_put!$O:$O&amp;jkm_call_put!$F:$F,0),1),"")</f>
        <v>7.7489999999999997</v>
      </c>
      <c r="S3" s="9" cm="1">
        <f t="array" aca="1" ref="S3" ca="1">_xlfn.IFNA(INDEX(jkm_call_put!$H:$H,MATCH($B3&amp;S$2&amp;$A$1,jkm_call_put!$G:$G&amp;jkm_call_put!$O:$O&amp;jkm_call_put!$F:$F,0),1),"")</f>
        <v>7.5289999999999999</v>
      </c>
      <c r="T3" s="9" cm="1">
        <f t="array" aca="1" ref="T3" ca="1">_xlfn.IFNA(INDEX(jkm_call_put!$H:$H,MATCH($B3&amp;T$2&amp;$A$1,jkm_call_put!$G:$G&amp;jkm_call_put!$O:$O&amp;jkm_call_put!$F:$F,0),1),"")</f>
        <v>7.3289999999999997</v>
      </c>
      <c r="U3" s="9" cm="1">
        <f t="array" aca="1" ref="U3" ca="1">_xlfn.IFNA(INDEX(jkm_call_put!$H:$H,MATCH($B3&amp;U$2&amp;$A$1,jkm_call_put!$G:$G&amp;jkm_call_put!$O:$O&amp;jkm_call_put!$F:$F,0),1),"")</f>
        <v>7.44</v>
      </c>
      <c r="V3" s="9" cm="1">
        <f t="array" aca="1" ref="V3" ca="1">_xlfn.IFNA(INDEX(jkm_call_put!$H:$H,MATCH($B3&amp;V$2&amp;$A$1,jkm_call_put!$G:$G&amp;jkm_call_put!$O:$O&amp;jkm_call_put!$F:$F,0),1),"")</f>
        <v>7.7779999999999996</v>
      </c>
      <c r="W3" s="9" cm="1">
        <f t="array" aca="1" ref="W3" ca="1">_xlfn.IFNA(INDEX(jkm_call_put!$H:$H,MATCH($B3&amp;W$2&amp;$A$1,jkm_call_put!$G:$G&amp;jkm_call_put!$O:$O&amp;jkm_call_put!$F:$F,0),1),"")</f>
        <v>7.468</v>
      </c>
      <c r="X3" s="9" cm="1">
        <f t="array" aca="1" ref="X3" ca="1">_xlfn.IFNA(INDEX(jkm_call_put!$H:$H,MATCH($B3&amp;X$2&amp;$A$1,jkm_call_put!$G:$G&amp;jkm_call_put!$O:$O&amp;jkm_call_put!$F:$F,0),1),"")</f>
        <v>7.4829999999999997</v>
      </c>
      <c r="Y3" s="9" cm="1">
        <f t="array" aca="1" ref="Y3" ca="1">_xlfn.IFNA(INDEX(jkm_call_put!$H:$H,MATCH($B3&amp;Y$2&amp;$A$1,jkm_call_put!$G:$G&amp;jkm_call_put!$O:$O&amp;jkm_call_put!$F:$F,0),1),"")</f>
        <v>6.992</v>
      </c>
      <c r="Z3" s="9" cm="1">
        <f t="array" aca="1" ref="Z3" ca="1">_xlfn.IFNA(INDEX(jkm_call_put!$H:$H,MATCH($B3&amp;Z$2&amp;$A$1,jkm_call_put!$G:$G&amp;jkm_call_put!$O:$O&amp;jkm_call_put!$F:$F,0),1),"")</f>
        <v>4.4109999999999996</v>
      </c>
      <c r="AA3" s="9" cm="1">
        <f t="array" aca="1" ref="AA3" ca="1">_xlfn.IFNA(INDEX(jkm_call_put!$H:$H,MATCH($B3&amp;AA$2&amp;$A$1,jkm_call_put!$G:$G&amp;jkm_call_put!$O:$O&amp;jkm_call_put!$F:$F,0),1),"")</f>
        <v>4.1580000000000004</v>
      </c>
      <c r="AB3" s="9" cm="1">
        <f t="array" aca="1" ref="AB3" ca="1">_xlfn.IFNA(INDEX(jkm_call_put!$H:$H,MATCH($B3&amp;AB$2&amp;$A$1,jkm_call_put!$G:$G&amp;jkm_call_put!$O:$O&amp;jkm_call_put!$F:$F,0),1),"")</f>
        <v>4.08</v>
      </c>
      <c r="AC3" s="9" cm="1">
        <f t="array" aca="1" ref="AC3" ca="1">_xlfn.IFNA(INDEX(jkm_call_put!$H:$H,MATCH($B3&amp;AC$2&amp;$A$1,jkm_call_put!$G:$G&amp;jkm_call_put!$O:$O&amp;jkm_call_put!$F:$F,0),1),"")</f>
        <v>4.1219999999999999</v>
      </c>
      <c r="AD3" s="9" cm="1">
        <f t="array" aca="1" ref="AD3" ca="1">_xlfn.IFNA(INDEX(jkm_call_put!$H:$H,MATCH($B3&amp;AD$2&amp;$A$1,jkm_call_put!$G:$G&amp;jkm_call_put!$O:$O&amp;jkm_call_put!$F:$F,0),1),"")</f>
        <v>4.1379999999999999</v>
      </c>
      <c r="AE3" s="9" cm="1">
        <f t="array" aca="1" ref="AE3" ca="1">_xlfn.IFNA(INDEX(jkm_call_put!$H:$H,MATCH($B3&amp;AE$2&amp;$A$1,jkm_call_put!$G:$G&amp;jkm_call_put!$O:$O&amp;jkm_call_put!$F:$F,0),1),"")</f>
        <v>4.1989999999999998</v>
      </c>
      <c r="AF3" s="9" cm="1">
        <f t="array" aca="1" ref="AF3" ca="1">_xlfn.IFNA(INDEX(jkm_call_put!$H:$H,MATCH($B3&amp;AF$2&amp;$A$1,jkm_call_put!$G:$G&amp;jkm_call_put!$O:$O&amp;jkm_call_put!$F:$F,0),1),"")</f>
        <v>4.375</v>
      </c>
      <c r="AG3" s="9" cm="1">
        <f t="array" aca="1" ref="AG3" ca="1">_xlfn.IFNA(INDEX(jkm_call_put!$H:$H,MATCH($B3&amp;AG$2&amp;$A$1,jkm_call_put!$G:$G&amp;jkm_call_put!$O:$O&amp;jkm_call_put!$F:$F,0),1),"")</f>
        <v>4.5350000000000001</v>
      </c>
      <c r="AH3" s="9" cm="1">
        <f t="array" aca="1" ref="AH3" ca="1">_xlfn.IFNA(INDEX(jkm_call_put!$H:$H,MATCH($B3&amp;AH$2&amp;$A$1,jkm_call_put!$G:$G&amp;jkm_call_put!$O:$O&amp;jkm_call_put!$F:$F,0),1),"")</f>
        <v>4.657</v>
      </c>
      <c r="AI3" s="9" cm="1">
        <f t="array" aca="1" ref="AI3" ca="1">_xlfn.IFNA(INDEX(jkm_call_put!$H:$H,MATCH($B3&amp;AI$2&amp;$A$1,jkm_call_put!$G:$G&amp;jkm_call_put!$O:$O&amp;jkm_call_put!$F:$F,0),1),"")</f>
        <v>4.7720000000000002</v>
      </c>
      <c r="AJ3" s="9" cm="1">
        <f t="array" aca="1" ref="AJ3" ca="1">_xlfn.IFNA(INDEX(jkm_call_put!$H:$H,MATCH($B3&amp;AJ$2&amp;$A$1,jkm_call_put!$G:$G&amp;jkm_call_put!$O:$O&amp;jkm_call_put!$F:$F,0),1),"")</f>
        <v>4.8170000000000002</v>
      </c>
      <c r="AK3" s="9" cm="1">
        <f t="array" aca="1" ref="AK3" ca="1">_xlfn.IFNA(INDEX(jkm_call_put!$H:$H,MATCH($B3&amp;AK$2&amp;$A$1,jkm_call_put!$G:$G&amp;jkm_call_put!$O:$O&amp;jkm_call_put!$F:$F,0),1),"")</f>
        <v>4.7640000000000002</v>
      </c>
      <c r="AL3" s="9" cm="1">
        <f t="array" aca="1" ref="AL3" ca="1">_xlfn.IFNA(INDEX(jkm_call_put!$H:$H,MATCH($B3&amp;AL$2&amp;$A$1,jkm_call_put!$G:$G&amp;jkm_call_put!$O:$O&amp;jkm_call_put!$F:$F,0),1),"")</f>
        <v>3.9009999999999998</v>
      </c>
    </row>
    <row r="4" spans="1:39" ht="13.5" customHeight="1" x14ac:dyDescent="0.25">
      <c r="A4" s="11"/>
      <c r="B4" s="6">
        <v>6</v>
      </c>
      <c r="C4" s="9" t="str" cm="1">
        <f t="array" aca="1" ref="C4" ca="1">_xlfn.IFNA(INDEX(jkm_call_put!$H:$H,MATCH($B4&amp;C$2&amp;$A$1,jkm_call_put!$G:$G&amp;jkm_call_put!$O:$O&amp;jkm_call_put!$F:$F,0),1),"")</f>
        <v/>
      </c>
      <c r="D4" s="9" t="str" cm="1">
        <f t="array" aca="1" ref="D4" ca="1">_xlfn.IFNA(INDEX(jkm_call_put!$H:$H,MATCH($B4&amp;D$2&amp;$A$1,jkm_call_put!$G:$G&amp;jkm_call_put!$O:$O&amp;jkm_call_put!$F:$F,0),1),"")</f>
        <v/>
      </c>
      <c r="E4" s="9" t="str" cm="1">
        <f t="array" aca="1" ref="E4" ca="1">_xlfn.IFNA(INDEX(jkm_call_put!$H:$H,MATCH($B4&amp;E$2&amp;$A$1,jkm_call_put!$G:$G&amp;jkm_call_put!$O:$O&amp;jkm_call_put!$F:$F,0),1),"")</f>
        <v/>
      </c>
      <c r="F4" s="9" t="str" cm="1">
        <f t="array" aca="1" ref="F4" ca="1">_xlfn.IFNA(INDEX(jkm_call_put!$H:$H,MATCH($B4&amp;F$2&amp;$A$1,jkm_call_put!$G:$G&amp;jkm_call_put!$O:$O&amp;jkm_call_put!$F:$F,0),1),"")</f>
        <v/>
      </c>
      <c r="G4" s="9" t="str" cm="1">
        <f t="array" aca="1" ref="G4" ca="1">_xlfn.IFNA(INDEX(jkm_call_put!$H:$H,MATCH($B4&amp;G$2&amp;$A$1,jkm_call_put!$G:$G&amp;jkm_call_put!$O:$O&amp;jkm_call_put!$F:$F,0),1),"")</f>
        <v/>
      </c>
      <c r="H4" s="9" t="str" cm="1">
        <f t="array" aca="1" ref="H4" ca="1">_xlfn.IFNA(INDEX(jkm_call_put!$H:$H,MATCH($B4&amp;H$2&amp;$A$1,jkm_call_put!$G:$G&amp;jkm_call_put!$O:$O&amp;jkm_call_put!$F:$F,0),1),"")</f>
        <v/>
      </c>
      <c r="I4" s="9" t="str" cm="1">
        <f t="array" aca="1" ref="I4" ca="1">_xlfn.IFNA(INDEX(jkm_call_put!$H:$H,MATCH($B4&amp;I$2&amp;$A$1,jkm_call_put!$G:$G&amp;jkm_call_put!$O:$O&amp;jkm_call_put!$F:$F,0),1),"")</f>
        <v/>
      </c>
      <c r="J4" s="9" t="str" cm="1">
        <f t="array" aca="1" ref="J4" ca="1">_xlfn.IFNA(INDEX(jkm_call_put!$H:$H,MATCH($B4&amp;J$2&amp;$A$1,jkm_call_put!$G:$G&amp;jkm_call_put!$O:$O&amp;jkm_call_put!$F:$F,0),1),"")</f>
        <v/>
      </c>
      <c r="K4" s="9" cm="1">
        <f t="array" aca="1" ref="K4" ca="1">_xlfn.IFNA(INDEX(jkm_call_put!$H:$H,MATCH($B4&amp;K$2&amp;$A$1,jkm_call_put!$G:$G&amp;jkm_call_put!$O:$O&amp;jkm_call_put!$F:$F,0),1),"")</f>
        <v>11.340999999999999</v>
      </c>
      <c r="L4" s="9" t="str" cm="1">
        <f t="array" aca="1" ref="L4" ca="1">_xlfn.IFNA(INDEX(jkm_call_put!$H:$H,MATCH($B4&amp;L$2&amp;$A$1,jkm_call_put!$G:$G&amp;jkm_call_put!$O:$O&amp;jkm_call_put!$F:$F,0),1),"")</f>
        <v/>
      </c>
      <c r="M4" s="9" t="str" cm="1">
        <f t="array" aca="1" ref="M4" ca="1">_xlfn.IFNA(INDEX(jkm_call_put!$H:$H,MATCH($B4&amp;M$2&amp;$A$1,jkm_call_put!$G:$G&amp;jkm_call_put!$O:$O&amp;jkm_call_put!$F:$F,0),1),"")</f>
        <v/>
      </c>
      <c r="N4" s="9" t="str" cm="1">
        <f t="array" aca="1" ref="N4" ca="1">_xlfn.IFNA(INDEX(jkm_call_put!$H:$H,MATCH($B4&amp;N$2&amp;$A$1,jkm_call_put!$G:$G&amp;jkm_call_put!$O:$O&amp;jkm_call_put!$F:$F,0),1),"")</f>
        <v/>
      </c>
      <c r="O4" s="9" t="str" cm="1">
        <f t="array" aca="1" ref="O4" ca="1">_xlfn.IFNA(INDEX(jkm_call_put!$H:$H,MATCH($B4&amp;O$2&amp;$A$1,jkm_call_put!$G:$G&amp;jkm_call_put!$O:$O&amp;jkm_call_put!$F:$F,0),1),"")</f>
        <v/>
      </c>
      <c r="P4" s="9" t="str" cm="1">
        <f t="array" aca="1" ref="P4" ca="1">_xlfn.IFNA(INDEX(jkm_call_put!$H:$H,MATCH($B4&amp;P$2&amp;$A$1,jkm_call_put!$G:$G&amp;jkm_call_put!$O:$O&amp;jkm_call_put!$F:$F,0),1),"")</f>
        <v/>
      </c>
      <c r="Q4" s="9" t="str" cm="1">
        <f t="array" aca="1" ref="Q4" ca="1">_xlfn.IFNA(INDEX(jkm_call_put!$H:$H,MATCH($B4&amp;Q$2&amp;$A$1,jkm_call_put!$G:$G&amp;jkm_call_put!$O:$O&amp;jkm_call_put!$F:$F,0),1),"")</f>
        <v/>
      </c>
      <c r="R4" s="9" t="str" cm="1">
        <f t="array" aca="1" ref="R4" ca="1">_xlfn.IFNA(INDEX(jkm_call_put!$H:$H,MATCH($B4&amp;R$2&amp;$A$1,jkm_call_put!$G:$G&amp;jkm_call_put!$O:$O&amp;jkm_call_put!$F:$F,0),1),"")</f>
        <v/>
      </c>
      <c r="S4" s="9" t="str" cm="1">
        <f t="array" aca="1" ref="S4" ca="1">_xlfn.IFNA(INDEX(jkm_call_put!$H:$H,MATCH($B4&amp;S$2&amp;$A$1,jkm_call_put!$G:$G&amp;jkm_call_put!$O:$O&amp;jkm_call_put!$F:$F,0),1),"")</f>
        <v/>
      </c>
      <c r="T4" s="9" t="str" cm="1">
        <f t="array" aca="1" ref="T4" ca="1">_xlfn.IFNA(INDEX(jkm_call_put!$H:$H,MATCH($B4&amp;T$2&amp;$A$1,jkm_call_put!$G:$G&amp;jkm_call_put!$O:$O&amp;jkm_call_put!$F:$F,0),1),"")</f>
        <v/>
      </c>
      <c r="U4" s="9" t="str" cm="1">
        <f t="array" aca="1" ref="U4" ca="1">_xlfn.IFNA(INDEX(jkm_call_put!$H:$H,MATCH($B4&amp;U$2&amp;$A$1,jkm_call_put!$G:$G&amp;jkm_call_put!$O:$O&amp;jkm_call_put!$F:$F,0),1),"")</f>
        <v/>
      </c>
      <c r="V4" s="9" t="str" cm="1">
        <f t="array" aca="1" ref="V4" ca="1">_xlfn.IFNA(INDEX(jkm_call_put!$H:$H,MATCH($B4&amp;V$2&amp;$A$1,jkm_call_put!$G:$G&amp;jkm_call_put!$O:$O&amp;jkm_call_put!$F:$F,0),1),"")</f>
        <v/>
      </c>
      <c r="W4" s="9" t="str" cm="1">
        <f t="array" aca="1" ref="W4" ca="1">_xlfn.IFNA(INDEX(jkm_call_put!$H:$H,MATCH($B4&amp;W$2&amp;$A$1,jkm_call_put!$G:$G&amp;jkm_call_put!$O:$O&amp;jkm_call_put!$F:$F,0),1),"")</f>
        <v/>
      </c>
      <c r="X4" s="9" t="str" cm="1">
        <f t="array" aca="1" ref="X4" ca="1">_xlfn.IFNA(INDEX(jkm_call_put!$H:$H,MATCH($B4&amp;X$2&amp;$A$1,jkm_call_put!$G:$G&amp;jkm_call_put!$O:$O&amp;jkm_call_put!$F:$F,0),1),"")</f>
        <v/>
      </c>
      <c r="Y4" s="9" t="str" cm="1">
        <f t="array" aca="1" ref="Y4" ca="1">_xlfn.IFNA(INDEX(jkm_call_put!$H:$H,MATCH($B4&amp;Y$2&amp;$A$1,jkm_call_put!$G:$G&amp;jkm_call_put!$O:$O&amp;jkm_call_put!$F:$F,0),1),"")</f>
        <v/>
      </c>
      <c r="Z4" s="9" t="str" cm="1">
        <f t="array" aca="1" ref="Z4" ca="1">_xlfn.IFNA(INDEX(jkm_call_put!$H:$H,MATCH($B4&amp;Z$2&amp;$A$1,jkm_call_put!$G:$G&amp;jkm_call_put!$O:$O&amp;jkm_call_put!$F:$F,0),1),"")</f>
        <v/>
      </c>
      <c r="AA4" s="9" t="str" cm="1">
        <f t="array" aca="1" ref="AA4" ca="1">_xlfn.IFNA(INDEX(jkm_call_put!$H:$H,MATCH($B4&amp;AA$2&amp;$A$1,jkm_call_put!$G:$G&amp;jkm_call_put!$O:$O&amp;jkm_call_put!$F:$F,0),1),"")</f>
        <v/>
      </c>
      <c r="AB4" s="9" t="str" cm="1">
        <f t="array" aca="1" ref="AB4" ca="1">_xlfn.IFNA(INDEX(jkm_call_put!$H:$H,MATCH($B4&amp;AB$2&amp;$A$1,jkm_call_put!$G:$G&amp;jkm_call_put!$O:$O&amp;jkm_call_put!$F:$F,0),1),"")</f>
        <v/>
      </c>
      <c r="AC4" s="9" t="str" cm="1">
        <f t="array" aca="1" ref="AC4" ca="1">_xlfn.IFNA(INDEX(jkm_call_put!$H:$H,MATCH($B4&amp;AC$2&amp;$A$1,jkm_call_put!$G:$G&amp;jkm_call_put!$O:$O&amp;jkm_call_put!$F:$F,0),1),"")</f>
        <v/>
      </c>
      <c r="AD4" s="9" t="str" cm="1">
        <f t="array" aca="1" ref="AD4" ca="1">_xlfn.IFNA(INDEX(jkm_call_put!$H:$H,MATCH($B4&amp;AD$2&amp;$A$1,jkm_call_put!$G:$G&amp;jkm_call_put!$O:$O&amp;jkm_call_put!$F:$F,0),1),"")</f>
        <v/>
      </c>
      <c r="AE4" s="9" t="str" cm="1">
        <f t="array" aca="1" ref="AE4" ca="1">_xlfn.IFNA(INDEX(jkm_call_put!$H:$H,MATCH($B4&amp;AE$2&amp;$A$1,jkm_call_put!$G:$G&amp;jkm_call_put!$O:$O&amp;jkm_call_put!$F:$F,0),1),"")</f>
        <v/>
      </c>
      <c r="AF4" s="9" t="str" cm="1">
        <f t="array" aca="1" ref="AF4" ca="1">_xlfn.IFNA(INDEX(jkm_call_put!$H:$H,MATCH($B4&amp;AF$2&amp;$A$1,jkm_call_put!$G:$G&amp;jkm_call_put!$O:$O&amp;jkm_call_put!$F:$F,0),1),"")</f>
        <v/>
      </c>
      <c r="AG4" s="9" t="str" cm="1">
        <f t="array" aca="1" ref="AG4" ca="1">_xlfn.IFNA(INDEX(jkm_call_put!$H:$H,MATCH($B4&amp;AG$2&amp;$A$1,jkm_call_put!$G:$G&amp;jkm_call_put!$O:$O&amp;jkm_call_put!$F:$F,0),1),"")</f>
        <v/>
      </c>
      <c r="AH4" s="9" t="str" cm="1">
        <f t="array" aca="1" ref="AH4" ca="1">_xlfn.IFNA(INDEX(jkm_call_put!$H:$H,MATCH($B4&amp;AH$2&amp;$A$1,jkm_call_put!$G:$G&amp;jkm_call_put!$O:$O&amp;jkm_call_put!$F:$F,0),1),"")</f>
        <v/>
      </c>
      <c r="AI4" s="9" t="str" cm="1">
        <f t="array" aca="1" ref="AI4" ca="1">_xlfn.IFNA(INDEX(jkm_call_put!$H:$H,MATCH($B4&amp;AI$2&amp;$A$1,jkm_call_put!$G:$G&amp;jkm_call_put!$O:$O&amp;jkm_call_put!$F:$F,0),1),"")</f>
        <v/>
      </c>
      <c r="AJ4" s="9" t="str" cm="1">
        <f t="array" aca="1" ref="AJ4" ca="1">_xlfn.IFNA(INDEX(jkm_call_put!$H:$H,MATCH($B4&amp;AJ$2&amp;$A$1,jkm_call_put!$G:$G&amp;jkm_call_put!$O:$O&amp;jkm_call_put!$F:$F,0),1),"")</f>
        <v/>
      </c>
      <c r="AK4" s="9" t="str" cm="1">
        <f t="array" aca="1" ref="AK4" ca="1">_xlfn.IFNA(INDEX(jkm_call_put!$H:$H,MATCH($B4&amp;AK$2&amp;$A$1,jkm_call_put!$G:$G&amp;jkm_call_put!$O:$O&amp;jkm_call_put!$F:$F,0),1),"")</f>
        <v/>
      </c>
      <c r="AL4" s="9" t="str" cm="1">
        <f t="array" aca="1" ref="AL4" ca="1">_xlfn.IFNA(INDEX(jkm_call_put!$H:$H,MATCH($B4&amp;AL$2&amp;$A$1,jkm_call_put!$G:$G&amp;jkm_call_put!$O:$O&amp;jkm_call_put!$F:$F,0),1),"")</f>
        <v/>
      </c>
    </row>
    <row r="5" spans="1:39" ht="15" customHeight="1" x14ac:dyDescent="0.25">
      <c r="A5" s="11"/>
      <c r="B5" s="6">
        <v>7</v>
      </c>
      <c r="C5" s="9" t="str" cm="1">
        <f t="array" aca="1" ref="C5" ca="1">_xlfn.IFNA(INDEX(jkm_call_put!$H:$H,MATCH($B5&amp;C$2&amp;$A$1,jkm_call_put!$G:$G&amp;jkm_call_put!$O:$O&amp;jkm_call_put!$F:$F,0),1),"")</f>
        <v/>
      </c>
      <c r="D5" s="9" t="str" cm="1">
        <f t="array" aca="1" ref="D5" ca="1">_xlfn.IFNA(INDEX(jkm_call_put!$H:$H,MATCH($B5&amp;D$2&amp;$A$1,jkm_call_put!$G:$G&amp;jkm_call_put!$O:$O&amp;jkm_call_put!$F:$F,0),1),"")</f>
        <v/>
      </c>
      <c r="E5" s="9" t="str" cm="1">
        <f t="array" aca="1" ref="E5" ca="1">_xlfn.IFNA(INDEX(jkm_call_put!$H:$H,MATCH($B5&amp;E$2&amp;$A$1,jkm_call_put!$G:$G&amp;jkm_call_put!$O:$O&amp;jkm_call_put!$F:$F,0),1),"")</f>
        <v/>
      </c>
      <c r="F5" s="9" t="str" cm="1">
        <f t="array" aca="1" ref="F5" ca="1">_xlfn.IFNA(INDEX(jkm_call_put!$H:$H,MATCH($B5&amp;F$2&amp;$A$1,jkm_call_put!$G:$G&amp;jkm_call_put!$O:$O&amp;jkm_call_put!$F:$F,0),1),"")</f>
        <v/>
      </c>
      <c r="G5" s="9" t="str" cm="1">
        <f t="array" aca="1" ref="G5" ca="1">_xlfn.IFNA(INDEX(jkm_call_put!$H:$H,MATCH($B5&amp;G$2&amp;$A$1,jkm_call_put!$G:$G&amp;jkm_call_put!$O:$O&amp;jkm_call_put!$F:$F,0),1),"")</f>
        <v/>
      </c>
      <c r="H5" s="9" t="str" cm="1">
        <f t="array" aca="1" ref="H5" ca="1">_xlfn.IFNA(INDEX(jkm_call_put!$H:$H,MATCH($B5&amp;H$2&amp;$A$1,jkm_call_put!$G:$G&amp;jkm_call_put!$O:$O&amp;jkm_call_put!$F:$F,0),1),"")</f>
        <v/>
      </c>
      <c r="I5" s="9" t="str" cm="1">
        <f t="array" aca="1" ref="I5" ca="1">_xlfn.IFNA(INDEX(jkm_call_put!$H:$H,MATCH($B5&amp;I$2&amp;$A$1,jkm_call_put!$G:$G&amp;jkm_call_put!$O:$O&amp;jkm_call_put!$F:$F,0),1),"")</f>
        <v/>
      </c>
      <c r="J5" s="9" t="str" cm="1">
        <f t="array" aca="1" ref="J5" ca="1">_xlfn.IFNA(INDEX(jkm_call_put!$H:$H,MATCH($B5&amp;J$2&amp;$A$1,jkm_call_put!$G:$G&amp;jkm_call_put!$O:$O&amp;jkm_call_put!$F:$F,0),1),"")</f>
        <v/>
      </c>
      <c r="K5" s="9" cm="1">
        <f t="array" aca="1" ref="K5" ca="1">_xlfn.IFNA(INDEX(jkm_call_put!$H:$H,MATCH($B5&amp;K$2&amp;$A$1,jkm_call_put!$G:$G&amp;jkm_call_put!$O:$O&amp;jkm_call_put!$F:$F,0),1),"")</f>
        <v>10.404999999999999</v>
      </c>
      <c r="L5" s="9" t="str" cm="1">
        <f t="array" aca="1" ref="L5" ca="1">_xlfn.IFNA(INDEX(jkm_call_put!$H:$H,MATCH($B5&amp;L$2&amp;$A$1,jkm_call_put!$G:$G&amp;jkm_call_put!$O:$O&amp;jkm_call_put!$F:$F,0),1),"")</f>
        <v/>
      </c>
      <c r="M5" s="9" t="str" cm="1">
        <f t="array" aca="1" ref="M5" ca="1">_xlfn.IFNA(INDEX(jkm_call_put!$H:$H,MATCH($B5&amp;M$2&amp;$A$1,jkm_call_put!$G:$G&amp;jkm_call_put!$O:$O&amp;jkm_call_put!$F:$F,0),1),"")</f>
        <v/>
      </c>
      <c r="N5" s="9" t="str" cm="1">
        <f t="array" aca="1" ref="N5" ca="1">_xlfn.IFNA(INDEX(jkm_call_put!$H:$H,MATCH($B5&amp;N$2&amp;$A$1,jkm_call_put!$G:$G&amp;jkm_call_put!$O:$O&amp;jkm_call_put!$F:$F,0),1),"")</f>
        <v/>
      </c>
      <c r="O5" s="9" t="str" cm="1">
        <f t="array" aca="1" ref="O5" ca="1">_xlfn.IFNA(INDEX(jkm_call_put!$H:$H,MATCH($B5&amp;O$2&amp;$A$1,jkm_call_put!$G:$G&amp;jkm_call_put!$O:$O&amp;jkm_call_put!$F:$F,0),1),"")</f>
        <v/>
      </c>
      <c r="P5" s="9" t="str" cm="1">
        <f t="array" aca="1" ref="P5" ca="1">_xlfn.IFNA(INDEX(jkm_call_put!$H:$H,MATCH($B5&amp;P$2&amp;$A$1,jkm_call_put!$G:$G&amp;jkm_call_put!$O:$O&amp;jkm_call_put!$F:$F,0),1),"")</f>
        <v/>
      </c>
      <c r="Q5" s="9" t="str" cm="1">
        <f t="array" aca="1" ref="Q5" ca="1">_xlfn.IFNA(INDEX(jkm_call_put!$H:$H,MATCH($B5&amp;Q$2&amp;$A$1,jkm_call_put!$G:$G&amp;jkm_call_put!$O:$O&amp;jkm_call_put!$F:$F,0),1),"")</f>
        <v/>
      </c>
      <c r="R5" s="9" t="str" cm="1">
        <f t="array" aca="1" ref="R5" ca="1">_xlfn.IFNA(INDEX(jkm_call_put!$H:$H,MATCH($B5&amp;R$2&amp;$A$1,jkm_call_put!$G:$G&amp;jkm_call_put!$O:$O&amp;jkm_call_put!$F:$F,0),1),"")</f>
        <v/>
      </c>
      <c r="S5" s="9" t="str" cm="1">
        <f t="array" aca="1" ref="S5" ca="1">_xlfn.IFNA(INDEX(jkm_call_put!$H:$H,MATCH($B5&amp;S$2&amp;$A$1,jkm_call_put!$G:$G&amp;jkm_call_put!$O:$O&amp;jkm_call_put!$F:$F,0),1),"")</f>
        <v/>
      </c>
      <c r="T5" s="9" t="str" cm="1">
        <f t="array" aca="1" ref="T5" ca="1">_xlfn.IFNA(INDEX(jkm_call_put!$H:$H,MATCH($B5&amp;T$2&amp;$A$1,jkm_call_put!$G:$G&amp;jkm_call_put!$O:$O&amp;jkm_call_put!$F:$F,0),1),"")</f>
        <v/>
      </c>
      <c r="U5" s="9" t="str" cm="1">
        <f t="array" aca="1" ref="U5" ca="1">_xlfn.IFNA(INDEX(jkm_call_put!$H:$H,MATCH($B5&amp;U$2&amp;$A$1,jkm_call_put!$G:$G&amp;jkm_call_put!$O:$O&amp;jkm_call_put!$F:$F,0),1),"")</f>
        <v/>
      </c>
      <c r="V5" s="9" t="str" cm="1">
        <f t="array" aca="1" ref="V5" ca="1">_xlfn.IFNA(INDEX(jkm_call_put!$H:$H,MATCH($B5&amp;V$2&amp;$A$1,jkm_call_put!$G:$G&amp;jkm_call_put!$O:$O&amp;jkm_call_put!$F:$F,0),1),"")</f>
        <v/>
      </c>
      <c r="W5" s="9" t="str" cm="1">
        <f t="array" aca="1" ref="W5" ca="1">_xlfn.IFNA(INDEX(jkm_call_put!$H:$H,MATCH($B5&amp;W$2&amp;$A$1,jkm_call_put!$G:$G&amp;jkm_call_put!$O:$O&amp;jkm_call_put!$F:$F,0),1),"")</f>
        <v/>
      </c>
      <c r="X5" s="9" t="str" cm="1">
        <f t="array" aca="1" ref="X5" ca="1">_xlfn.IFNA(INDEX(jkm_call_put!$H:$H,MATCH($B5&amp;X$2&amp;$A$1,jkm_call_put!$G:$G&amp;jkm_call_put!$O:$O&amp;jkm_call_put!$F:$F,0),1),"")</f>
        <v/>
      </c>
      <c r="Y5" s="9" t="str" cm="1">
        <f t="array" aca="1" ref="Y5" ca="1">_xlfn.IFNA(INDEX(jkm_call_put!$H:$H,MATCH($B5&amp;Y$2&amp;$A$1,jkm_call_put!$G:$G&amp;jkm_call_put!$O:$O&amp;jkm_call_put!$F:$F,0),1),"")</f>
        <v/>
      </c>
      <c r="Z5" s="9" cm="1">
        <f t="array" aca="1" ref="Z5" ca="1">_xlfn.IFNA(INDEX(jkm_call_put!$H:$H,MATCH($B5&amp;Z$2&amp;$A$1,jkm_call_put!$G:$G&amp;jkm_call_put!$O:$O&amp;jkm_call_put!$F:$F,0),1),"")</f>
        <v>2.8290000000000002</v>
      </c>
      <c r="AA5" s="9" cm="1">
        <f t="array" aca="1" ref="AA5" ca="1">_xlfn.IFNA(INDEX(jkm_call_put!$H:$H,MATCH($B5&amp;AA$2&amp;$A$1,jkm_call_put!$G:$G&amp;jkm_call_put!$O:$O&amp;jkm_call_put!$F:$F,0),1),"")</f>
        <v>2.6309999999999998</v>
      </c>
      <c r="AB5" s="9" cm="1">
        <f t="array" aca="1" ref="AB5" ca="1">_xlfn.IFNA(INDEX(jkm_call_put!$H:$H,MATCH($B5&amp;AB$2&amp;$A$1,jkm_call_put!$G:$G&amp;jkm_call_put!$O:$O&amp;jkm_call_put!$F:$F,0),1),"")</f>
        <v>2.58</v>
      </c>
      <c r="AC5" s="9" cm="1">
        <f t="array" aca="1" ref="AC5" ca="1">_xlfn.IFNA(INDEX(jkm_call_put!$H:$H,MATCH($B5&amp;AC$2&amp;$A$1,jkm_call_put!$G:$G&amp;jkm_call_put!$O:$O&amp;jkm_call_put!$F:$F,0),1),"")</f>
        <v>2.63</v>
      </c>
      <c r="AD5" s="9" cm="1">
        <f t="array" aca="1" ref="AD5" ca="1">_xlfn.IFNA(INDEX(jkm_call_put!$H:$H,MATCH($B5&amp;AD$2&amp;$A$1,jkm_call_put!$G:$G&amp;jkm_call_put!$O:$O&amp;jkm_call_put!$F:$F,0),1),"")</f>
        <v>2.6579999999999999</v>
      </c>
      <c r="AE5" s="9" cm="1">
        <f t="array" aca="1" ref="AE5" ca="1">_xlfn.IFNA(INDEX(jkm_call_put!$H:$H,MATCH($B5&amp;AE$2&amp;$A$1,jkm_call_put!$G:$G&amp;jkm_call_put!$O:$O&amp;jkm_call_put!$F:$F,0),1),"")</f>
        <v>2.7250000000000001</v>
      </c>
      <c r="AF5" s="9" t="str" cm="1">
        <f t="array" aca="1" ref="AF5" ca="1">_xlfn.IFNA(INDEX(jkm_call_put!$H:$H,MATCH($B5&amp;AF$2&amp;$A$1,jkm_call_put!$G:$G&amp;jkm_call_put!$O:$O&amp;jkm_call_put!$F:$F,0),1),"")</f>
        <v/>
      </c>
      <c r="AG5" s="9" t="str" cm="1">
        <f t="array" aca="1" ref="AG5" ca="1">_xlfn.IFNA(INDEX(jkm_call_put!$H:$H,MATCH($B5&amp;AG$2&amp;$A$1,jkm_call_put!$G:$G&amp;jkm_call_put!$O:$O&amp;jkm_call_put!$F:$F,0),1),"")</f>
        <v/>
      </c>
      <c r="AH5" s="9" t="str" cm="1">
        <f t="array" aca="1" ref="AH5" ca="1">_xlfn.IFNA(INDEX(jkm_call_put!$H:$H,MATCH($B5&amp;AH$2&amp;$A$1,jkm_call_put!$G:$G&amp;jkm_call_put!$O:$O&amp;jkm_call_put!$F:$F,0),1),"")</f>
        <v/>
      </c>
      <c r="AI5" s="9" t="str" cm="1">
        <f t="array" aca="1" ref="AI5" ca="1">_xlfn.IFNA(INDEX(jkm_call_put!$H:$H,MATCH($B5&amp;AI$2&amp;$A$1,jkm_call_put!$G:$G&amp;jkm_call_put!$O:$O&amp;jkm_call_put!$F:$F,0),1),"")</f>
        <v/>
      </c>
      <c r="AJ5" s="9" t="str" cm="1">
        <f t="array" aca="1" ref="AJ5" ca="1">_xlfn.IFNA(INDEX(jkm_call_put!$H:$H,MATCH($B5&amp;AJ$2&amp;$A$1,jkm_call_put!$G:$G&amp;jkm_call_put!$O:$O&amp;jkm_call_put!$F:$F,0),1),"")</f>
        <v/>
      </c>
      <c r="AK5" s="9" t="str" cm="1">
        <f t="array" aca="1" ref="AK5" ca="1">_xlfn.IFNA(INDEX(jkm_call_put!$H:$H,MATCH($B5&amp;AK$2&amp;$A$1,jkm_call_put!$G:$G&amp;jkm_call_put!$O:$O&amp;jkm_call_put!$F:$F,0),1),"")</f>
        <v/>
      </c>
      <c r="AL5" s="9" t="str" cm="1">
        <f t="array" aca="1" ref="AL5" ca="1">_xlfn.IFNA(INDEX(jkm_call_put!$H:$H,MATCH($B5&amp;AL$2&amp;$A$1,jkm_call_put!$G:$G&amp;jkm_call_put!$O:$O&amp;jkm_call_put!$F:$F,0),1),"")</f>
        <v/>
      </c>
    </row>
    <row r="6" spans="1:39" ht="15" customHeight="1" x14ac:dyDescent="0.25">
      <c r="A6" s="11"/>
      <c r="B6" s="6">
        <v>7.6</v>
      </c>
      <c r="C6" s="9" t="str" cm="1">
        <f t="array" aca="1" ref="C6" ca="1">_xlfn.IFNA(INDEX(jkm_call_put!$H:$H,MATCH($B6&amp;C$2&amp;$A$1,jkm_call_put!$G:$G&amp;jkm_call_put!$O:$O&amp;jkm_call_put!$F:$F,0),1),"")</f>
        <v/>
      </c>
      <c r="D6" s="9" t="str" cm="1">
        <f t="array" aca="1" ref="D6" ca="1">_xlfn.IFNA(INDEX(jkm_call_put!$H:$H,MATCH($B6&amp;D$2&amp;$A$1,jkm_call_put!$G:$G&amp;jkm_call_put!$O:$O&amp;jkm_call_put!$F:$F,0),1),"")</f>
        <v/>
      </c>
      <c r="E6" s="9" t="str" cm="1">
        <f t="array" aca="1" ref="E6" ca="1">_xlfn.IFNA(INDEX(jkm_call_put!$H:$H,MATCH($B6&amp;E$2&amp;$A$1,jkm_call_put!$G:$G&amp;jkm_call_put!$O:$O&amp;jkm_call_put!$F:$F,0),1),"")</f>
        <v/>
      </c>
      <c r="F6" s="9" t="str" cm="1">
        <f t="array" aca="1" ref="F6" ca="1">_xlfn.IFNA(INDEX(jkm_call_put!$H:$H,MATCH($B6&amp;F$2&amp;$A$1,jkm_call_put!$G:$G&amp;jkm_call_put!$O:$O&amp;jkm_call_put!$F:$F,0),1),"")</f>
        <v/>
      </c>
      <c r="G6" s="9" t="str" cm="1">
        <f t="array" aca="1" ref="G6" ca="1">_xlfn.IFNA(INDEX(jkm_call_put!$H:$H,MATCH($B6&amp;G$2&amp;$A$1,jkm_call_put!$G:$G&amp;jkm_call_put!$O:$O&amp;jkm_call_put!$F:$F,0),1),"")</f>
        <v/>
      </c>
      <c r="H6" s="9" t="str" cm="1">
        <f t="array" aca="1" ref="H6" ca="1">_xlfn.IFNA(INDEX(jkm_call_put!$H:$H,MATCH($B6&amp;H$2&amp;$A$1,jkm_call_put!$G:$G&amp;jkm_call_put!$O:$O&amp;jkm_call_put!$F:$F,0),1),"")</f>
        <v/>
      </c>
      <c r="I6" s="9" t="str" cm="1">
        <f t="array" aca="1" ref="I6" ca="1">_xlfn.IFNA(INDEX(jkm_call_put!$H:$H,MATCH($B6&amp;I$2&amp;$A$1,jkm_call_put!$G:$G&amp;jkm_call_put!$O:$O&amp;jkm_call_put!$F:$F,0),1),"")</f>
        <v/>
      </c>
      <c r="J6" s="9" t="str" cm="1">
        <f t="array" aca="1" ref="J6" ca="1">_xlfn.IFNA(INDEX(jkm_call_put!$H:$H,MATCH($B6&amp;J$2&amp;$A$1,jkm_call_put!$G:$G&amp;jkm_call_put!$O:$O&amp;jkm_call_put!$F:$F,0),1),"")</f>
        <v/>
      </c>
      <c r="K6" s="9" t="str" cm="1">
        <f t="array" aca="1" ref="K6" ca="1">_xlfn.IFNA(INDEX(jkm_call_put!$H:$H,MATCH($B6&amp;K$2&amp;$A$1,jkm_call_put!$G:$G&amp;jkm_call_put!$O:$O&amp;jkm_call_put!$F:$F,0),1),"")</f>
        <v/>
      </c>
      <c r="L6" s="9" t="str" cm="1">
        <f t="array" aca="1" ref="L6" ca="1">_xlfn.IFNA(INDEX(jkm_call_put!$H:$H,MATCH($B6&amp;L$2&amp;$A$1,jkm_call_put!$G:$G&amp;jkm_call_put!$O:$O&amp;jkm_call_put!$F:$F,0),1),"")</f>
        <v/>
      </c>
      <c r="M6" s="9" t="str" cm="1">
        <f t="array" aca="1" ref="M6" ca="1">_xlfn.IFNA(INDEX(jkm_call_put!$H:$H,MATCH($B6&amp;M$2&amp;$A$1,jkm_call_put!$G:$G&amp;jkm_call_put!$O:$O&amp;jkm_call_put!$F:$F,0),1),"")</f>
        <v/>
      </c>
      <c r="N6" s="9" t="str" cm="1">
        <f t="array" aca="1" ref="N6" ca="1">_xlfn.IFNA(INDEX(jkm_call_put!$H:$H,MATCH($B6&amp;N$2&amp;$A$1,jkm_call_put!$G:$G&amp;jkm_call_put!$O:$O&amp;jkm_call_put!$F:$F,0),1),"")</f>
        <v/>
      </c>
      <c r="O6" s="9" t="str" cm="1">
        <f t="array" aca="1" ref="O6" ca="1">_xlfn.IFNA(INDEX(jkm_call_put!$H:$H,MATCH($B6&amp;O$2&amp;$A$1,jkm_call_put!$G:$G&amp;jkm_call_put!$O:$O&amp;jkm_call_put!$F:$F,0),1),"")</f>
        <v/>
      </c>
      <c r="P6" s="9" t="str" cm="1">
        <f t="array" aca="1" ref="P6" ca="1">_xlfn.IFNA(INDEX(jkm_call_put!$H:$H,MATCH($B6&amp;P$2&amp;$A$1,jkm_call_put!$G:$G&amp;jkm_call_put!$O:$O&amp;jkm_call_put!$F:$F,0),1),"")</f>
        <v/>
      </c>
      <c r="Q6" s="9" t="str" cm="1">
        <f t="array" aca="1" ref="Q6" ca="1">_xlfn.IFNA(INDEX(jkm_call_put!$H:$H,MATCH($B6&amp;Q$2&amp;$A$1,jkm_call_put!$G:$G&amp;jkm_call_put!$O:$O&amp;jkm_call_put!$F:$F,0),1),"")</f>
        <v/>
      </c>
      <c r="R6" s="9" t="str" cm="1">
        <f t="array" aca="1" ref="R6" ca="1">_xlfn.IFNA(INDEX(jkm_call_put!$H:$H,MATCH($B6&amp;R$2&amp;$A$1,jkm_call_put!$G:$G&amp;jkm_call_put!$O:$O&amp;jkm_call_put!$F:$F,0),1),"")</f>
        <v/>
      </c>
      <c r="S6" s="9" t="str" cm="1">
        <f t="array" aca="1" ref="S6" ca="1">_xlfn.IFNA(INDEX(jkm_call_put!$H:$H,MATCH($B6&amp;S$2&amp;$A$1,jkm_call_put!$G:$G&amp;jkm_call_put!$O:$O&amp;jkm_call_put!$F:$F,0),1),"")</f>
        <v/>
      </c>
      <c r="T6" s="9" t="str" cm="1">
        <f t="array" aca="1" ref="T6" ca="1">_xlfn.IFNA(INDEX(jkm_call_put!$H:$H,MATCH($B6&amp;T$2&amp;$A$1,jkm_call_put!$G:$G&amp;jkm_call_put!$O:$O&amp;jkm_call_put!$F:$F,0),1),"")</f>
        <v/>
      </c>
      <c r="U6" s="9" t="str" cm="1">
        <f t="array" aca="1" ref="U6" ca="1">_xlfn.IFNA(INDEX(jkm_call_put!$H:$H,MATCH($B6&amp;U$2&amp;$A$1,jkm_call_put!$G:$G&amp;jkm_call_put!$O:$O&amp;jkm_call_put!$F:$F,0),1),"")</f>
        <v/>
      </c>
      <c r="V6" s="9" t="str" cm="1">
        <f t="array" aca="1" ref="V6" ca="1">_xlfn.IFNA(INDEX(jkm_call_put!$H:$H,MATCH($B6&amp;V$2&amp;$A$1,jkm_call_put!$G:$G&amp;jkm_call_put!$O:$O&amp;jkm_call_put!$F:$F,0),1),"")</f>
        <v/>
      </c>
      <c r="W6" s="9" t="str" cm="1">
        <f t="array" aca="1" ref="W6" ca="1">_xlfn.IFNA(INDEX(jkm_call_put!$H:$H,MATCH($B6&amp;W$2&amp;$A$1,jkm_call_put!$G:$G&amp;jkm_call_put!$O:$O&amp;jkm_call_put!$F:$F,0),1),"")</f>
        <v/>
      </c>
      <c r="X6" s="9" t="str" cm="1">
        <f t="array" aca="1" ref="X6" ca="1">_xlfn.IFNA(INDEX(jkm_call_put!$H:$H,MATCH($B6&amp;X$2&amp;$A$1,jkm_call_put!$G:$G&amp;jkm_call_put!$O:$O&amp;jkm_call_put!$F:$F,0),1),"")</f>
        <v/>
      </c>
      <c r="Y6" s="9" t="str" cm="1">
        <f t="array" aca="1" ref="Y6" ca="1">_xlfn.IFNA(INDEX(jkm_call_put!$H:$H,MATCH($B6&amp;Y$2&amp;$A$1,jkm_call_put!$G:$G&amp;jkm_call_put!$O:$O&amp;jkm_call_put!$F:$F,0),1),"")</f>
        <v/>
      </c>
      <c r="Z6" s="9" t="str" cm="1">
        <f t="array" aca="1" ref="Z6" ca="1">_xlfn.IFNA(INDEX(jkm_call_put!$H:$H,MATCH($B6&amp;Z$2&amp;$A$1,jkm_call_put!$G:$G&amp;jkm_call_put!$O:$O&amp;jkm_call_put!$F:$F,0),1),"")</f>
        <v/>
      </c>
      <c r="AA6" s="9" t="str" cm="1">
        <f t="array" aca="1" ref="AA6" ca="1">_xlfn.IFNA(INDEX(jkm_call_put!$H:$H,MATCH($B6&amp;AA$2&amp;$A$1,jkm_call_put!$G:$G&amp;jkm_call_put!$O:$O&amp;jkm_call_put!$F:$F,0),1),"")</f>
        <v/>
      </c>
      <c r="AB6" s="9" t="str" cm="1">
        <f t="array" aca="1" ref="AB6" ca="1">_xlfn.IFNA(INDEX(jkm_call_put!$H:$H,MATCH($B6&amp;AB$2&amp;$A$1,jkm_call_put!$G:$G&amp;jkm_call_put!$O:$O&amp;jkm_call_put!$F:$F,0),1),"")</f>
        <v/>
      </c>
      <c r="AC6" s="9" t="str" cm="1">
        <f t="array" aca="1" ref="AC6" ca="1">_xlfn.IFNA(INDEX(jkm_call_put!$H:$H,MATCH($B6&amp;AC$2&amp;$A$1,jkm_call_put!$G:$G&amp;jkm_call_put!$O:$O&amp;jkm_call_put!$F:$F,0),1),"")</f>
        <v/>
      </c>
      <c r="AD6" s="9" t="str" cm="1">
        <f t="array" aca="1" ref="AD6" ca="1">_xlfn.IFNA(INDEX(jkm_call_put!$H:$H,MATCH($B6&amp;AD$2&amp;$A$1,jkm_call_put!$G:$G&amp;jkm_call_put!$O:$O&amp;jkm_call_put!$F:$F,0),1),"")</f>
        <v/>
      </c>
      <c r="AE6" s="9" cm="1">
        <f t="array" aca="1" ref="AE6" ca="1">_xlfn.IFNA(INDEX(jkm_call_put!$H:$H,MATCH($B6&amp;AE$2&amp;$A$1,jkm_call_put!$G:$G&amp;jkm_call_put!$O:$O&amp;jkm_call_put!$F:$F,0),1),"")</f>
        <v>2.37</v>
      </c>
      <c r="AF6" s="9" t="str" cm="1">
        <f t="array" aca="1" ref="AF6" ca="1">_xlfn.IFNA(INDEX(jkm_call_put!$H:$H,MATCH($B6&amp;AF$2&amp;$A$1,jkm_call_put!$G:$G&amp;jkm_call_put!$O:$O&amp;jkm_call_put!$F:$F,0),1),"")</f>
        <v/>
      </c>
      <c r="AG6" s="9" t="str" cm="1">
        <f t="array" aca="1" ref="AG6" ca="1">_xlfn.IFNA(INDEX(jkm_call_put!$H:$H,MATCH($B6&amp;AG$2&amp;$A$1,jkm_call_put!$G:$G&amp;jkm_call_put!$O:$O&amp;jkm_call_put!$F:$F,0),1),"")</f>
        <v/>
      </c>
      <c r="AH6" s="9" t="str" cm="1">
        <f t="array" aca="1" ref="AH6" ca="1">_xlfn.IFNA(INDEX(jkm_call_put!$H:$H,MATCH($B6&amp;AH$2&amp;$A$1,jkm_call_put!$G:$G&amp;jkm_call_put!$O:$O&amp;jkm_call_put!$F:$F,0),1),"")</f>
        <v/>
      </c>
      <c r="AI6" s="9" t="str" cm="1">
        <f t="array" aca="1" ref="AI6" ca="1">_xlfn.IFNA(INDEX(jkm_call_put!$H:$H,MATCH($B6&amp;AI$2&amp;$A$1,jkm_call_put!$G:$G&amp;jkm_call_put!$O:$O&amp;jkm_call_put!$F:$F,0),1),"")</f>
        <v/>
      </c>
      <c r="AJ6" s="9" t="str" cm="1">
        <f t="array" aca="1" ref="AJ6" ca="1">_xlfn.IFNA(INDEX(jkm_call_put!$H:$H,MATCH($B6&amp;AJ$2&amp;$A$1,jkm_call_put!$G:$G&amp;jkm_call_put!$O:$O&amp;jkm_call_put!$F:$F,0),1),"")</f>
        <v/>
      </c>
      <c r="AK6" s="9" t="str" cm="1">
        <f t="array" aca="1" ref="AK6" ca="1">_xlfn.IFNA(INDEX(jkm_call_put!$H:$H,MATCH($B6&amp;AK$2&amp;$A$1,jkm_call_put!$G:$G&amp;jkm_call_put!$O:$O&amp;jkm_call_put!$F:$F,0),1),"")</f>
        <v/>
      </c>
      <c r="AL6" s="9" t="str" cm="1">
        <f t="array" aca="1" ref="AL6" ca="1">_xlfn.IFNA(INDEX(jkm_call_put!$H:$H,MATCH($B6&amp;AL$2&amp;$A$1,jkm_call_put!$G:$G&amp;jkm_call_put!$O:$O&amp;jkm_call_put!$F:$F,0),1),"")</f>
        <v/>
      </c>
    </row>
    <row r="7" spans="1:39" ht="15" customHeight="1" x14ac:dyDescent="0.25">
      <c r="A7" s="11"/>
      <c r="B7" s="6">
        <v>8</v>
      </c>
      <c r="C7" s="9" cm="1">
        <f t="array" aca="1" ref="C7" ca="1">_xlfn.IFNA(INDEX(jkm_call_put!$H:$H,MATCH($B7&amp;C$2&amp;$A$1,jkm_call_put!$G:$G&amp;jkm_call_put!$O:$O&amp;jkm_call_put!$F:$F,0),1),"")</f>
        <v>11.414</v>
      </c>
      <c r="D7" s="9" cm="1">
        <f t="array" aca="1" ref="D7" ca="1">_xlfn.IFNA(INDEX(jkm_call_put!$H:$H,MATCH($B7&amp;D$2&amp;$A$1,jkm_call_put!$G:$G&amp;jkm_call_put!$O:$O&amp;jkm_call_put!$F:$F,0),1),"")</f>
        <v>10.861000000000001</v>
      </c>
      <c r="E7" s="9" cm="1">
        <f t="array" aca="1" ref="E7" ca="1">_xlfn.IFNA(INDEX(jkm_call_put!$H:$H,MATCH($B7&amp;E$2&amp;$A$1,jkm_call_put!$G:$G&amp;jkm_call_put!$O:$O&amp;jkm_call_put!$F:$F,0),1),"")</f>
        <v>10.528</v>
      </c>
      <c r="F7" s="9" cm="1">
        <f t="array" aca="1" ref="F7" ca="1">_xlfn.IFNA(INDEX(jkm_call_put!$H:$H,MATCH($B7&amp;F$2&amp;$A$1,jkm_call_put!$G:$G&amp;jkm_call_put!$O:$O&amp;jkm_call_put!$F:$F,0),1),"")</f>
        <v>10.161</v>
      </c>
      <c r="G7" s="9" cm="1">
        <f t="array" aca="1" ref="G7" ca="1">_xlfn.IFNA(INDEX(jkm_call_put!$H:$H,MATCH($B7&amp;G$2&amp;$A$1,jkm_call_put!$G:$G&amp;jkm_call_put!$O:$O&amp;jkm_call_put!$F:$F,0),1),"")</f>
        <v>9.9480000000000004</v>
      </c>
      <c r="H7" s="9" t="str" cm="1">
        <f t="array" aca="1" ref="H7" ca="1">_xlfn.IFNA(INDEX(jkm_call_put!$H:$H,MATCH($B7&amp;H$2&amp;$A$1,jkm_call_put!$G:$G&amp;jkm_call_put!$O:$O&amp;jkm_call_put!$F:$F,0),1),"")</f>
        <v/>
      </c>
      <c r="I7" s="9" t="str" cm="1">
        <f t="array" aca="1" ref="I7" ca="1">_xlfn.IFNA(INDEX(jkm_call_put!$H:$H,MATCH($B7&amp;I$2&amp;$A$1,jkm_call_put!$G:$G&amp;jkm_call_put!$O:$O&amp;jkm_call_put!$F:$F,0),1),"")</f>
        <v/>
      </c>
      <c r="J7" s="9" cm="1">
        <f t="array" aca="1" ref="J7" ca="1">_xlfn.IFNA(INDEX(jkm_call_put!$H:$H,MATCH($B7&amp;J$2&amp;$A$1,jkm_call_put!$G:$G&amp;jkm_call_put!$O:$O&amp;jkm_call_put!$F:$F,0),1),"")</f>
        <v>9.5530000000000008</v>
      </c>
      <c r="K7" s="9" cm="1">
        <f t="array" aca="1" ref="K7" ca="1">_xlfn.IFNA(INDEX(jkm_call_put!$H:$H,MATCH($B7&amp;K$2&amp;$A$1,jkm_call_put!$G:$G&amp;jkm_call_put!$O:$O&amp;jkm_call_put!$F:$F,0),1),"")</f>
        <v>9.51</v>
      </c>
      <c r="L7" s="9" cm="1">
        <f t="array" aca="1" ref="L7" ca="1">_xlfn.IFNA(INDEX(jkm_call_put!$H:$H,MATCH($B7&amp;L$2&amp;$A$1,jkm_call_put!$G:$G&amp;jkm_call_put!$O:$O&amp;jkm_call_put!$F:$F,0),1),"")</f>
        <v>9.2690000000000001</v>
      </c>
      <c r="M7" s="9" cm="1">
        <f t="array" aca="1" ref="M7" ca="1">_xlfn.IFNA(INDEX(jkm_call_put!$H:$H,MATCH($B7&amp;M$2&amp;$A$1,jkm_call_put!$G:$G&amp;jkm_call_put!$O:$O&amp;jkm_call_put!$F:$F,0),1),"")</f>
        <v>8.0950000000000006</v>
      </c>
      <c r="N7" s="9" t="str" cm="1">
        <f t="array" aca="1" ref="N7" ca="1">_xlfn.IFNA(INDEX(jkm_call_put!$H:$H,MATCH($B7&amp;N$2&amp;$A$1,jkm_call_put!$G:$G&amp;jkm_call_put!$O:$O&amp;jkm_call_put!$F:$F,0),1),"")</f>
        <v/>
      </c>
      <c r="O7" s="9" cm="1">
        <f t="array" aca="1" ref="O7" ca="1">_xlfn.IFNA(INDEX(jkm_call_put!$H:$H,MATCH($B7&amp;O$2&amp;$A$1,jkm_call_put!$G:$G&amp;jkm_call_put!$O:$O&amp;jkm_call_put!$F:$F,0),1),"")</f>
        <v>5.3120000000000003</v>
      </c>
      <c r="P7" s="9" cm="1">
        <f t="array" aca="1" ref="P7" ca="1">_xlfn.IFNA(INDEX(jkm_call_put!$H:$H,MATCH($B7&amp;P$2&amp;$A$1,jkm_call_put!$G:$G&amp;jkm_call_put!$O:$O&amp;jkm_call_put!$F:$F,0),1),"")</f>
        <v>5.0640000000000001</v>
      </c>
      <c r="Q7" s="9" t="str" cm="1">
        <f t="array" aca="1" ref="Q7" ca="1">_xlfn.IFNA(INDEX(jkm_call_put!$H:$H,MATCH($B7&amp;Q$2&amp;$A$1,jkm_call_put!$G:$G&amp;jkm_call_put!$O:$O&amp;jkm_call_put!$F:$F,0),1),"")</f>
        <v/>
      </c>
      <c r="R7" s="9" t="str" cm="1">
        <f t="array" aca="1" ref="R7" ca="1">_xlfn.IFNA(INDEX(jkm_call_put!$H:$H,MATCH($B7&amp;R$2&amp;$A$1,jkm_call_put!$G:$G&amp;jkm_call_put!$O:$O&amp;jkm_call_put!$F:$F,0),1),"")</f>
        <v/>
      </c>
      <c r="S7" s="9" t="str" cm="1">
        <f t="array" aca="1" ref="S7" ca="1">_xlfn.IFNA(INDEX(jkm_call_put!$H:$H,MATCH($B7&amp;S$2&amp;$A$1,jkm_call_put!$G:$G&amp;jkm_call_put!$O:$O&amp;jkm_call_put!$F:$F,0),1),"")</f>
        <v/>
      </c>
      <c r="T7" s="9" t="str" cm="1">
        <f t="array" aca="1" ref="T7" ca="1">_xlfn.IFNA(INDEX(jkm_call_put!$H:$H,MATCH($B7&amp;T$2&amp;$A$1,jkm_call_put!$G:$G&amp;jkm_call_put!$O:$O&amp;jkm_call_put!$F:$F,0),1),"")</f>
        <v/>
      </c>
      <c r="U7" s="9" t="str" cm="1">
        <f t="array" aca="1" ref="U7" ca="1">_xlfn.IFNA(INDEX(jkm_call_put!$H:$H,MATCH($B7&amp;U$2&amp;$A$1,jkm_call_put!$G:$G&amp;jkm_call_put!$O:$O&amp;jkm_call_put!$F:$F,0),1),"")</f>
        <v/>
      </c>
      <c r="V7" s="9" t="str" cm="1">
        <f t="array" aca="1" ref="V7" ca="1">_xlfn.IFNA(INDEX(jkm_call_put!$H:$H,MATCH($B7&amp;V$2&amp;$A$1,jkm_call_put!$G:$G&amp;jkm_call_put!$O:$O&amp;jkm_call_put!$F:$F,0),1),"")</f>
        <v/>
      </c>
      <c r="W7" s="9" cm="1">
        <f t="array" aca="1" ref="W7" ca="1">_xlfn.IFNA(INDEX(jkm_call_put!$H:$H,MATCH($B7&amp;W$2&amp;$A$1,jkm_call_put!$G:$G&amp;jkm_call_put!$O:$O&amp;jkm_call_put!$F:$F,0),1),"")</f>
        <v>4.8490000000000002</v>
      </c>
      <c r="X7" s="9" cm="1">
        <f t="array" aca="1" ref="X7" ca="1">_xlfn.IFNA(INDEX(jkm_call_put!$H:$H,MATCH($B7&amp;X$2&amp;$A$1,jkm_call_put!$G:$G&amp;jkm_call_put!$O:$O&amp;jkm_call_put!$F:$F,0),1),"")</f>
        <v>4.8860000000000001</v>
      </c>
      <c r="Y7" s="9" cm="1">
        <f t="array" aca="1" ref="Y7" ca="1">_xlfn.IFNA(INDEX(jkm_call_put!$H:$H,MATCH($B7&amp;Y$2&amp;$A$1,jkm_call_put!$G:$G&amp;jkm_call_put!$O:$O&amp;jkm_call_put!$F:$F,0),1),"")</f>
        <v>4.4740000000000002</v>
      </c>
      <c r="Z7" s="9" cm="1">
        <f t="array" aca="1" ref="Z7" ca="1">_xlfn.IFNA(INDEX(jkm_call_put!$H:$H,MATCH($B7&amp;Z$2&amp;$A$1,jkm_call_put!$G:$G&amp;jkm_call_put!$O:$O&amp;jkm_call_put!$F:$F,0),1),"")</f>
        <v>2.21</v>
      </c>
      <c r="AA7" s="9" cm="1">
        <f t="array" aca="1" ref="AA7" ca="1">_xlfn.IFNA(INDEX(jkm_call_put!$H:$H,MATCH($B7&amp;AA$2&amp;$A$1,jkm_call_put!$G:$G&amp;jkm_call_put!$O:$O&amp;jkm_call_put!$F:$F,0),1),"")</f>
        <v>2.0430000000000001</v>
      </c>
      <c r="AB7" s="9" cm="1">
        <f t="array" aca="1" ref="AB7" ca="1">_xlfn.IFNA(INDEX(jkm_call_put!$H:$H,MATCH($B7&amp;AB$2&amp;$A$1,jkm_call_put!$G:$G&amp;jkm_call_put!$O:$O&amp;jkm_call_put!$F:$F,0),1),"")</f>
        <v>2.0070000000000001</v>
      </c>
      <c r="AC7" s="9" cm="1">
        <f t="array" aca="1" ref="AC7" ca="1">_xlfn.IFNA(INDEX(jkm_call_put!$H:$H,MATCH($B7&amp;AC$2&amp;$A$1,jkm_call_put!$G:$G&amp;jkm_call_put!$O:$O&amp;jkm_call_put!$F:$F,0),1),"")</f>
        <v>2.0579999999999998</v>
      </c>
      <c r="AD7" s="9" cm="1">
        <f t="array" aca="1" ref="AD7" ca="1">_xlfn.IFNA(INDEX(jkm_call_put!$H:$H,MATCH($B7&amp;AD$2&amp;$A$1,jkm_call_put!$G:$G&amp;jkm_call_put!$O:$O&amp;jkm_call_put!$F:$F,0),1),"")</f>
        <v>2.09</v>
      </c>
      <c r="AE7" s="9" cm="1">
        <f t="array" aca="1" ref="AE7" ca="1">_xlfn.IFNA(INDEX(jkm_call_put!$H:$H,MATCH($B7&amp;AE$2&amp;$A$1,jkm_call_put!$G:$G&amp;jkm_call_put!$O:$O&amp;jkm_call_put!$F:$F,0),1),"")</f>
        <v>2.1549999999999998</v>
      </c>
      <c r="AF7" s="9" cm="1">
        <f t="array" aca="1" ref="AF7" ca="1">_xlfn.IFNA(INDEX(jkm_call_put!$H:$H,MATCH($B7&amp;AF$2&amp;$A$1,jkm_call_put!$G:$G&amp;jkm_call_put!$O:$O&amp;jkm_call_put!$F:$F,0),1),"")</f>
        <v>2.476</v>
      </c>
      <c r="AG7" s="9" cm="1">
        <f t="array" aca="1" ref="AG7" ca="1">_xlfn.IFNA(INDEX(jkm_call_put!$H:$H,MATCH($B7&amp;AG$2&amp;$A$1,jkm_call_put!$G:$G&amp;jkm_call_put!$O:$O&amp;jkm_call_put!$F:$F,0),1),"")</f>
        <v>2.6190000000000002</v>
      </c>
      <c r="AH7" s="9" cm="1">
        <f t="array" aca="1" ref="AH7" ca="1">_xlfn.IFNA(INDEX(jkm_call_put!$H:$H,MATCH($B7&amp;AH$2&amp;$A$1,jkm_call_put!$G:$G&amp;jkm_call_put!$O:$O&amp;jkm_call_put!$F:$F,0),1),"")</f>
        <v>2.7330000000000001</v>
      </c>
      <c r="AI7" s="9" t="str" cm="1">
        <f t="array" aca="1" ref="AI7" ca="1">_xlfn.IFNA(INDEX(jkm_call_put!$H:$H,MATCH($B7&amp;AI$2&amp;$A$1,jkm_call_put!$G:$G&amp;jkm_call_put!$O:$O&amp;jkm_call_put!$F:$F,0),1),"")</f>
        <v/>
      </c>
      <c r="AJ7" s="9" t="str" cm="1">
        <f t="array" aca="1" ref="AJ7" ca="1">_xlfn.IFNA(INDEX(jkm_call_put!$H:$H,MATCH($B7&amp;AJ$2&amp;$A$1,jkm_call_put!$G:$G&amp;jkm_call_put!$O:$O&amp;jkm_call_put!$F:$F,0),1),"")</f>
        <v/>
      </c>
      <c r="AK7" s="9" t="str" cm="1">
        <f t="array" aca="1" ref="AK7" ca="1">_xlfn.IFNA(INDEX(jkm_call_put!$H:$H,MATCH($B7&amp;AK$2&amp;$A$1,jkm_call_put!$G:$G&amp;jkm_call_put!$O:$O&amp;jkm_call_put!$F:$F,0),1),"")</f>
        <v/>
      </c>
      <c r="AL7" s="9" t="str" cm="1">
        <f t="array" aca="1" ref="AL7" ca="1">_xlfn.IFNA(INDEX(jkm_call_put!$H:$H,MATCH($B7&amp;AL$2&amp;$A$1,jkm_call_put!$G:$G&amp;jkm_call_put!$O:$O&amp;jkm_call_put!$F:$F,0),1),"")</f>
        <v/>
      </c>
    </row>
    <row r="8" spans="1:39" ht="15" customHeight="1" x14ac:dyDescent="0.25">
      <c r="A8" s="11"/>
      <c r="B8" s="6">
        <v>8.5</v>
      </c>
      <c r="C8" s="9" t="str" cm="1">
        <f t="array" aca="1" ref="C8" ca="1">_xlfn.IFNA(INDEX(jkm_call_put!$H:$H,MATCH($B8&amp;C$2&amp;$A$1,jkm_call_put!$G:$G&amp;jkm_call_put!$O:$O&amp;jkm_call_put!$F:$F,0),1),"")</f>
        <v/>
      </c>
      <c r="D8" s="9" cm="1">
        <f t="array" aca="1" ref="D8" ca="1">_xlfn.IFNA(INDEX(jkm_call_put!$H:$H,MATCH($B8&amp;D$2&amp;$A$1,jkm_call_put!$G:$G&amp;jkm_call_put!$O:$O&amp;jkm_call_put!$F:$F,0),1),"")</f>
        <v>10.361000000000001</v>
      </c>
      <c r="E8" s="9" cm="1">
        <f t="array" aca="1" ref="E8" ca="1">_xlfn.IFNA(INDEX(jkm_call_put!$H:$H,MATCH($B8&amp;E$2&amp;$A$1,jkm_call_put!$G:$G&amp;jkm_call_put!$O:$O&amp;jkm_call_put!$F:$F,0),1),"")</f>
        <v>10.039999999999999</v>
      </c>
      <c r="F8" s="9" t="str" cm="1">
        <f t="array" aca="1" ref="F8" ca="1">_xlfn.IFNA(INDEX(jkm_call_put!$H:$H,MATCH($B8&amp;F$2&amp;$A$1,jkm_call_put!$G:$G&amp;jkm_call_put!$O:$O&amp;jkm_call_put!$F:$F,0),1),"")</f>
        <v/>
      </c>
      <c r="G8" s="9" t="str" cm="1">
        <f t="array" aca="1" ref="G8" ca="1">_xlfn.IFNA(INDEX(jkm_call_put!$H:$H,MATCH($B8&amp;G$2&amp;$A$1,jkm_call_put!$G:$G&amp;jkm_call_put!$O:$O&amp;jkm_call_put!$F:$F,0),1),"")</f>
        <v/>
      </c>
      <c r="H8" s="9" cm="1">
        <f t="array" aca="1" ref="H8" ca="1">_xlfn.IFNA(INDEX(jkm_call_put!$H:$H,MATCH($B8&amp;H$2&amp;$A$1,jkm_call_put!$G:$G&amp;jkm_call_put!$O:$O&amp;jkm_call_put!$F:$F,0),1),"")</f>
        <v>8.8970000000000002</v>
      </c>
      <c r="I8" s="9" cm="1">
        <f t="array" aca="1" ref="I8" ca="1">_xlfn.IFNA(INDEX(jkm_call_put!$H:$H,MATCH($B8&amp;I$2&amp;$A$1,jkm_call_put!$G:$G&amp;jkm_call_put!$O:$O&amp;jkm_call_put!$F:$F,0),1),"")</f>
        <v>8.9</v>
      </c>
      <c r="J8" s="9" t="str" cm="1">
        <f t="array" aca="1" ref="J8" ca="1">_xlfn.IFNA(INDEX(jkm_call_put!$H:$H,MATCH($B8&amp;J$2&amp;$A$1,jkm_call_put!$G:$G&amp;jkm_call_put!$O:$O&amp;jkm_call_put!$F:$F,0),1),"")</f>
        <v/>
      </c>
      <c r="K8" s="9" cm="1">
        <f t="array" aca="1" ref="K8" ca="1">_xlfn.IFNA(INDEX(jkm_call_put!$H:$H,MATCH($B8&amp;K$2&amp;$A$1,jkm_call_put!$G:$G&amp;jkm_call_put!$O:$O&amp;jkm_call_put!$F:$F,0),1),"")</f>
        <v>9.08</v>
      </c>
      <c r="L8" s="9" t="str" cm="1">
        <f t="array" aca="1" ref="L8" ca="1">_xlfn.IFNA(INDEX(jkm_call_put!$H:$H,MATCH($B8&amp;L$2&amp;$A$1,jkm_call_put!$G:$G&amp;jkm_call_put!$O:$O&amp;jkm_call_put!$F:$F,0),1),"")</f>
        <v/>
      </c>
      <c r="M8" s="9" t="str" cm="1">
        <f t="array" aca="1" ref="M8" ca="1">_xlfn.IFNA(INDEX(jkm_call_put!$H:$H,MATCH($B8&amp;M$2&amp;$A$1,jkm_call_put!$G:$G&amp;jkm_call_put!$O:$O&amp;jkm_call_put!$F:$F,0),1),"")</f>
        <v/>
      </c>
      <c r="N8" s="9" t="str" cm="1">
        <f t="array" aca="1" ref="N8" ca="1">_xlfn.IFNA(INDEX(jkm_call_put!$H:$H,MATCH($B8&amp;N$2&amp;$A$1,jkm_call_put!$G:$G&amp;jkm_call_put!$O:$O&amp;jkm_call_put!$F:$F,0),1),"")</f>
        <v/>
      </c>
      <c r="O8" s="9" t="str" cm="1">
        <f t="array" aca="1" ref="O8" ca="1">_xlfn.IFNA(INDEX(jkm_call_put!$H:$H,MATCH($B8&amp;O$2&amp;$A$1,jkm_call_put!$G:$G&amp;jkm_call_put!$O:$O&amp;jkm_call_put!$F:$F,0),1),"")</f>
        <v/>
      </c>
      <c r="P8" s="9" t="str" cm="1">
        <f t="array" aca="1" ref="P8" ca="1">_xlfn.IFNA(INDEX(jkm_call_put!$H:$H,MATCH($B8&amp;P$2&amp;$A$1,jkm_call_put!$G:$G&amp;jkm_call_put!$O:$O&amp;jkm_call_put!$F:$F,0),1),"")</f>
        <v/>
      </c>
      <c r="Q8" s="9" t="str" cm="1">
        <f t="array" aca="1" ref="Q8" ca="1">_xlfn.IFNA(INDEX(jkm_call_put!$H:$H,MATCH($B8&amp;Q$2&amp;$A$1,jkm_call_put!$G:$G&amp;jkm_call_put!$O:$O&amp;jkm_call_put!$F:$F,0),1),"")</f>
        <v/>
      </c>
      <c r="R8" s="9" t="str" cm="1">
        <f t="array" aca="1" ref="R8" ca="1">_xlfn.IFNA(INDEX(jkm_call_put!$H:$H,MATCH($B8&amp;R$2&amp;$A$1,jkm_call_put!$G:$G&amp;jkm_call_put!$O:$O&amp;jkm_call_put!$F:$F,0),1),"")</f>
        <v/>
      </c>
      <c r="S8" s="9" t="str" cm="1">
        <f t="array" aca="1" ref="S8" ca="1">_xlfn.IFNA(INDEX(jkm_call_put!$H:$H,MATCH($B8&amp;S$2&amp;$A$1,jkm_call_put!$G:$G&amp;jkm_call_put!$O:$O&amp;jkm_call_put!$F:$F,0),1),"")</f>
        <v/>
      </c>
      <c r="T8" s="9" t="str" cm="1">
        <f t="array" aca="1" ref="T8" ca="1">_xlfn.IFNA(INDEX(jkm_call_put!$H:$H,MATCH($B8&amp;T$2&amp;$A$1,jkm_call_put!$G:$G&amp;jkm_call_put!$O:$O&amp;jkm_call_put!$F:$F,0),1),"")</f>
        <v/>
      </c>
      <c r="U8" s="9" t="str" cm="1">
        <f t="array" aca="1" ref="U8" ca="1">_xlfn.IFNA(INDEX(jkm_call_put!$H:$H,MATCH($B8&amp;U$2&amp;$A$1,jkm_call_put!$G:$G&amp;jkm_call_put!$O:$O&amp;jkm_call_put!$F:$F,0),1),"")</f>
        <v/>
      </c>
      <c r="V8" s="9" t="str" cm="1">
        <f t="array" aca="1" ref="V8" ca="1">_xlfn.IFNA(INDEX(jkm_call_put!$H:$H,MATCH($B8&amp;V$2&amp;$A$1,jkm_call_put!$G:$G&amp;jkm_call_put!$O:$O&amp;jkm_call_put!$F:$F,0),1),"")</f>
        <v/>
      </c>
      <c r="W8" s="9" t="str" cm="1">
        <f t="array" aca="1" ref="W8" ca="1">_xlfn.IFNA(INDEX(jkm_call_put!$H:$H,MATCH($B8&amp;W$2&amp;$A$1,jkm_call_put!$G:$G&amp;jkm_call_put!$O:$O&amp;jkm_call_put!$F:$F,0),1),"")</f>
        <v/>
      </c>
      <c r="X8" s="9" t="str" cm="1">
        <f t="array" aca="1" ref="X8" ca="1">_xlfn.IFNA(INDEX(jkm_call_put!$H:$H,MATCH($B8&amp;X$2&amp;$A$1,jkm_call_put!$G:$G&amp;jkm_call_put!$O:$O&amp;jkm_call_put!$F:$F,0),1),"")</f>
        <v/>
      </c>
      <c r="Y8" s="9" t="str" cm="1">
        <f t="array" aca="1" ref="Y8" ca="1">_xlfn.IFNA(INDEX(jkm_call_put!$H:$H,MATCH($B8&amp;Y$2&amp;$A$1,jkm_call_put!$G:$G&amp;jkm_call_put!$O:$O&amp;jkm_call_put!$F:$F,0),1),"")</f>
        <v/>
      </c>
      <c r="Z8" s="9" t="str" cm="1">
        <f t="array" aca="1" ref="Z8" ca="1">_xlfn.IFNA(INDEX(jkm_call_put!$H:$H,MATCH($B8&amp;Z$2&amp;$A$1,jkm_call_put!$G:$G&amp;jkm_call_put!$O:$O&amp;jkm_call_put!$F:$F,0),1),"")</f>
        <v/>
      </c>
      <c r="AA8" s="9" t="str" cm="1">
        <f t="array" aca="1" ref="AA8" ca="1">_xlfn.IFNA(INDEX(jkm_call_put!$H:$H,MATCH($B8&amp;AA$2&amp;$A$1,jkm_call_put!$G:$G&amp;jkm_call_put!$O:$O&amp;jkm_call_put!$F:$F,0),1),"")</f>
        <v/>
      </c>
      <c r="AB8" s="9" t="str" cm="1">
        <f t="array" aca="1" ref="AB8" ca="1">_xlfn.IFNA(INDEX(jkm_call_put!$H:$H,MATCH($B8&amp;AB$2&amp;$A$1,jkm_call_put!$G:$G&amp;jkm_call_put!$O:$O&amp;jkm_call_put!$F:$F,0),1),"")</f>
        <v/>
      </c>
      <c r="AC8" s="9" t="str" cm="1">
        <f t="array" aca="1" ref="AC8" ca="1">_xlfn.IFNA(INDEX(jkm_call_put!$H:$H,MATCH($B8&amp;AC$2&amp;$A$1,jkm_call_put!$G:$G&amp;jkm_call_put!$O:$O&amp;jkm_call_put!$F:$F,0),1),"")</f>
        <v/>
      </c>
      <c r="AD8" s="9" t="str" cm="1">
        <f t="array" aca="1" ref="AD8" ca="1">_xlfn.IFNA(INDEX(jkm_call_put!$H:$H,MATCH($B8&amp;AD$2&amp;$A$1,jkm_call_put!$G:$G&amp;jkm_call_put!$O:$O&amp;jkm_call_put!$F:$F,0),1),"")</f>
        <v/>
      </c>
      <c r="AE8" s="9" t="str" cm="1">
        <f t="array" aca="1" ref="AE8" ca="1">_xlfn.IFNA(INDEX(jkm_call_put!$H:$H,MATCH($B8&amp;AE$2&amp;$A$1,jkm_call_put!$G:$G&amp;jkm_call_put!$O:$O&amp;jkm_call_put!$F:$F,0),1),"")</f>
        <v/>
      </c>
      <c r="AF8" s="9" t="str" cm="1">
        <f t="array" aca="1" ref="AF8" ca="1">_xlfn.IFNA(INDEX(jkm_call_put!$H:$H,MATCH($B8&amp;AF$2&amp;$A$1,jkm_call_put!$G:$G&amp;jkm_call_put!$O:$O&amp;jkm_call_put!$F:$F,0),1),"")</f>
        <v/>
      </c>
      <c r="AG8" s="9" t="str" cm="1">
        <f t="array" aca="1" ref="AG8" ca="1">_xlfn.IFNA(INDEX(jkm_call_put!$H:$H,MATCH($B8&amp;AG$2&amp;$A$1,jkm_call_put!$G:$G&amp;jkm_call_put!$O:$O&amp;jkm_call_put!$F:$F,0),1),"")</f>
        <v/>
      </c>
      <c r="AH8" s="9" t="str" cm="1">
        <f t="array" aca="1" ref="AH8" ca="1">_xlfn.IFNA(INDEX(jkm_call_put!$H:$H,MATCH($B8&amp;AH$2&amp;$A$1,jkm_call_put!$G:$G&amp;jkm_call_put!$O:$O&amp;jkm_call_put!$F:$F,0),1),"")</f>
        <v/>
      </c>
      <c r="AI8" s="9" t="str" cm="1">
        <f t="array" aca="1" ref="AI8" ca="1">_xlfn.IFNA(INDEX(jkm_call_put!$H:$H,MATCH($B8&amp;AI$2&amp;$A$1,jkm_call_put!$G:$G&amp;jkm_call_put!$O:$O&amp;jkm_call_put!$F:$F,0),1),"")</f>
        <v/>
      </c>
      <c r="AJ8" s="9" t="str" cm="1">
        <f t="array" aca="1" ref="AJ8" ca="1">_xlfn.IFNA(INDEX(jkm_call_put!$H:$H,MATCH($B8&amp;AJ$2&amp;$A$1,jkm_call_put!$G:$G&amp;jkm_call_put!$O:$O&amp;jkm_call_put!$F:$F,0),1),"")</f>
        <v/>
      </c>
      <c r="AK8" s="9" t="str" cm="1">
        <f t="array" aca="1" ref="AK8" ca="1">_xlfn.IFNA(INDEX(jkm_call_put!$H:$H,MATCH($B8&amp;AK$2&amp;$A$1,jkm_call_put!$G:$G&amp;jkm_call_put!$O:$O&amp;jkm_call_put!$F:$F,0),1),"")</f>
        <v/>
      </c>
      <c r="AL8" s="9" t="str" cm="1">
        <f t="array" aca="1" ref="AL8" ca="1">_xlfn.IFNA(INDEX(jkm_call_put!$H:$H,MATCH($B8&amp;AL$2&amp;$A$1,jkm_call_put!$G:$G&amp;jkm_call_put!$O:$O&amp;jkm_call_put!$F:$F,0),1),"")</f>
        <v/>
      </c>
    </row>
    <row r="9" spans="1:39" ht="15" customHeight="1" x14ac:dyDescent="0.25">
      <c r="A9" s="11"/>
      <c r="B9" s="6">
        <v>9</v>
      </c>
      <c r="C9" s="9" cm="1">
        <f t="array" aca="1" ref="C9" ca="1">_xlfn.IFNA(INDEX(jkm_call_put!$H:$H,MATCH($B9&amp;C$2&amp;$A$1,jkm_call_put!$G:$G&amp;jkm_call_put!$O:$O&amp;jkm_call_put!$F:$F,0),1),"")</f>
        <v>10.414</v>
      </c>
      <c r="D9" s="9" cm="1">
        <f t="array" aca="1" ref="D9" ca="1">_xlfn.IFNA(INDEX(jkm_call_put!$H:$H,MATCH($B9&amp;D$2&amp;$A$1,jkm_call_put!$G:$G&amp;jkm_call_put!$O:$O&amp;jkm_call_put!$F:$F,0),1),"")</f>
        <v>9.8610000000000007</v>
      </c>
      <c r="E9" s="9" cm="1">
        <f t="array" aca="1" ref="E9" ca="1">_xlfn.IFNA(INDEX(jkm_call_put!$H:$H,MATCH($B9&amp;E$2&amp;$A$1,jkm_call_put!$G:$G&amp;jkm_call_put!$O:$O&amp;jkm_call_put!$F:$F,0),1),"")</f>
        <v>9.5579999999999998</v>
      </c>
      <c r="F9" s="9" cm="1">
        <f t="array" aca="1" ref="F9" ca="1">_xlfn.IFNA(INDEX(jkm_call_put!$H:$H,MATCH($B9&amp;F$2&amp;$A$1,jkm_call_put!$G:$G&amp;jkm_call_put!$O:$O&amp;jkm_call_put!$F:$F,0),1),"")</f>
        <v>9.2309999999999999</v>
      </c>
      <c r="G9" s="9" cm="1">
        <f t="array" aca="1" ref="G9" ca="1">_xlfn.IFNA(INDEX(jkm_call_put!$H:$H,MATCH($B9&amp;G$2&amp;$A$1,jkm_call_put!$G:$G&amp;jkm_call_put!$O:$O&amp;jkm_call_put!$F:$F,0),1),"")</f>
        <v>9.0630000000000006</v>
      </c>
      <c r="H9" s="9" cm="1">
        <f t="array" aca="1" ref="H9" ca="1">_xlfn.IFNA(INDEX(jkm_call_put!$H:$H,MATCH($B9&amp;H$2&amp;$A$1,jkm_call_put!$G:$G&amp;jkm_call_put!$O:$O&amp;jkm_call_put!$F:$F,0),1),"")</f>
        <v>8.4429999999999996</v>
      </c>
      <c r="I9" s="9" cm="1">
        <f t="array" aca="1" ref="I9" ca="1">_xlfn.IFNA(INDEX(jkm_call_put!$H:$H,MATCH($B9&amp;I$2&amp;$A$1,jkm_call_put!$G:$G&amp;jkm_call_put!$O:$O&amp;jkm_call_put!$F:$F,0),1),"")</f>
        <v>8.4589999999999996</v>
      </c>
      <c r="J9" s="9" cm="1">
        <f t="array" aca="1" ref="J9" ca="1">_xlfn.IFNA(INDEX(jkm_call_put!$H:$H,MATCH($B9&amp;J$2&amp;$A$1,jkm_call_put!$G:$G&amp;jkm_call_put!$O:$O&amp;jkm_call_put!$F:$F,0),1),"")</f>
        <v>8.68</v>
      </c>
      <c r="K9" s="9" cm="1">
        <f t="array" aca="1" ref="K9" ca="1">_xlfn.IFNA(INDEX(jkm_call_put!$H:$H,MATCH($B9&amp;K$2&amp;$A$1,jkm_call_put!$G:$G&amp;jkm_call_put!$O:$O&amp;jkm_call_put!$F:$F,0),1),"")</f>
        <v>8.6630000000000003</v>
      </c>
      <c r="L9" s="9" cm="1">
        <f t="array" aca="1" ref="L9" ca="1">_xlfn.IFNA(INDEX(jkm_call_put!$H:$H,MATCH($B9&amp;L$2&amp;$A$1,jkm_call_put!$G:$G&amp;jkm_call_put!$O:$O&amp;jkm_call_put!$F:$F,0),1),"")</f>
        <v>8.452</v>
      </c>
      <c r="M9" s="9" cm="1">
        <f t="array" aca="1" ref="M9" ca="1">_xlfn.IFNA(INDEX(jkm_call_put!$H:$H,MATCH($B9&amp;M$2&amp;$A$1,jkm_call_put!$G:$G&amp;jkm_call_put!$O:$O&amp;jkm_call_put!$F:$F,0),1),"")</f>
        <v>7.3390000000000004</v>
      </c>
      <c r="N9" s="9" t="str" cm="1">
        <f t="array" aca="1" ref="N9" ca="1">_xlfn.IFNA(INDEX(jkm_call_put!$H:$H,MATCH($B9&amp;N$2&amp;$A$1,jkm_call_put!$G:$G&amp;jkm_call_put!$O:$O&amp;jkm_call_put!$F:$F,0),1),"")</f>
        <v/>
      </c>
      <c r="O9" s="9" t="str" cm="1">
        <f t="array" aca="1" ref="O9" ca="1">_xlfn.IFNA(INDEX(jkm_call_put!$H:$H,MATCH($B9&amp;O$2&amp;$A$1,jkm_call_put!$G:$G&amp;jkm_call_put!$O:$O&amp;jkm_call_put!$F:$F,0),1),"")</f>
        <v/>
      </c>
      <c r="P9" s="9" t="str" cm="1">
        <f t="array" aca="1" ref="P9" ca="1">_xlfn.IFNA(INDEX(jkm_call_put!$H:$H,MATCH($B9&amp;P$2&amp;$A$1,jkm_call_put!$G:$G&amp;jkm_call_put!$O:$O&amp;jkm_call_put!$F:$F,0),1),"")</f>
        <v/>
      </c>
      <c r="Q9" s="9" t="str" cm="1">
        <f t="array" aca="1" ref="Q9" ca="1">_xlfn.IFNA(INDEX(jkm_call_put!$H:$H,MATCH($B9&amp;Q$2&amp;$A$1,jkm_call_put!$G:$G&amp;jkm_call_put!$O:$O&amp;jkm_call_put!$F:$F,0),1),"")</f>
        <v/>
      </c>
      <c r="R9" s="9" t="str" cm="1">
        <f t="array" aca="1" ref="R9" ca="1">_xlfn.IFNA(INDEX(jkm_call_put!$H:$H,MATCH($B9&amp;R$2&amp;$A$1,jkm_call_put!$G:$G&amp;jkm_call_put!$O:$O&amp;jkm_call_put!$F:$F,0),1),"")</f>
        <v/>
      </c>
      <c r="S9" s="9" t="str" cm="1">
        <f t="array" aca="1" ref="S9" ca="1">_xlfn.IFNA(INDEX(jkm_call_put!$H:$H,MATCH($B9&amp;S$2&amp;$A$1,jkm_call_put!$G:$G&amp;jkm_call_put!$O:$O&amp;jkm_call_put!$F:$F,0),1),"")</f>
        <v/>
      </c>
      <c r="T9" s="9" t="str" cm="1">
        <f t="array" aca="1" ref="T9" ca="1">_xlfn.IFNA(INDEX(jkm_call_put!$H:$H,MATCH($B9&amp;T$2&amp;$A$1,jkm_call_put!$G:$G&amp;jkm_call_put!$O:$O&amp;jkm_call_put!$F:$F,0),1),"")</f>
        <v/>
      </c>
      <c r="U9" s="9" t="str" cm="1">
        <f t="array" aca="1" ref="U9" ca="1">_xlfn.IFNA(INDEX(jkm_call_put!$H:$H,MATCH($B9&amp;U$2&amp;$A$1,jkm_call_put!$G:$G&amp;jkm_call_put!$O:$O&amp;jkm_call_put!$F:$F,0),1),"")</f>
        <v/>
      </c>
      <c r="V9" s="9" t="str" cm="1">
        <f t="array" aca="1" ref="V9" ca="1">_xlfn.IFNA(INDEX(jkm_call_put!$H:$H,MATCH($B9&amp;V$2&amp;$A$1,jkm_call_put!$G:$G&amp;jkm_call_put!$O:$O&amp;jkm_call_put!$F:$F,0),1),"")</f>
        <v/>
      </c>
      <c r="W9" s="9" t="str" cm="1">
        <f t="array" aca="1" ref="W9" ca="1">_xlfn.IFNA(INDEX(jkm_call_put!$H:$H,MATCH($B9&amp;W$2&amp;$A$1,jkm_call_put!$G:$G&amp;jkm_call_put!$O:$O&amp;jkm_call_put!$F:$F,0),1),"")</f>
        <v/>
      </c>
      <c r="X9" s="9" t="str" cm="1">
        <f t="array" aca="1" ref="X9" ca="1">_xlfn.IFNA(INDEX(jkm_call_put!$H:$H,MATCH($B9&amp;X$2&amp;$A$1,jkm_call_put!$G:$G&amp;jkm_call_put!$O:$O&amp;jkm_call_put!$F:$F,0),1),"")</f>
        <v/>
      </c>
      <c r="Y9" s="9" t="str" cm="1">
        <f t="array" aca="1" ref="Y9" ca="1">_xlfn.IFNA(INDEX(jkm_call_put!$H:$H,MATCH($B9&amp;Y$2&amp;$A$1,jkm_call_put!$G:$G&amp;jkm_call_put!$O:$O&amp;jkm_call_put!$F:$F,0),1),"")</f>
        <v/>
      </c>
      <c r="Z9" s="9" t="str" cm="1">
        <f t="array" aca="1" ref="Z9" ca="1">_xlfn.IFNA(INDEX(jkm_call_put!$H:$H,MATCH($B9&amp;Z$2&amp;$A$1,jkm_call_put!$G:$G&amp;jkm_call_put!$O:$O&amp;jkm_call_put!$F:$F,0),1),"")</f>
        <v/>
      </c>
      <c r="AA9" s="9" t="str" cm="1">
        <f t="array" aca="1" ref="AA9" ca="1">_xlfn.IFNA(INDEX(jkm_call_put!$H:$H,MATCH($B9&amp;AA$2&amp;$A$1,jkm_call_put!$G:$G&amp;jkm_call_put!$O:$O&amp;jkm_call_put!$F:$F,0),1),"")</f>
        <v/>
      </c>
      <c r="AB9" s="9" t="str" cm="1">
        <f t="array" aca="1" ref="AB9" ca="1">_xlfn.IFNA(INDEX(jkm_call_put!$H:$H,MATCH($B9&amp;AB$2&amp;$A$1,jkm_call_put!$G:$G&amp;jkm_call_put!$O:$O&amp;jkm_call_put!$F:$F,0),1),"")</f>
        <v/>
      </c>
      <c r="AC9" s="9" t="str" cm="1">
        <f t="array" aca="1" ref="AC9" ca="1">_xlfn.IFNA(INDEX(jkm_call_put!$H:$H,MATCH($B9&amp;AC$2&amp;$A$1,jkm_call_put!$G:$G&amp;jkm_call_put!$O:$O&amp;jkm_call_put!$F:$F,0),1),"")</f>
        <v/>
      </c>
      <c r="AD9" s="9" t="str" cm="1">
        <f t="array" aca="1" ref="AD9" ca="1">_xlfn.IFNA(INDEX(jkm_call_put!$H:$H,MATCH($B9&amp;AD$2&amp;$A$1,jkm_call_put!$G:$G&amp;jkm_call_put!$O:$O&amp;jkm_call_put!$F:$F,0),1),"")</f>
        <v/>
      </c>
      <c r="AE9" s="9" t="str" cm="1">
        <f t="array" aca="1" ref="AE9" ca="1">_xlfn.IFNA(INDEX(jkm_call_put!$H:$H,MATCH($B9&amp;AE$2&amp;$A$1,jkm_call_put!$G:$G&amp;jkm_call_put!$O:$O&amp;jkm_call_put!$F:$F,0),1),"")</f>
        <v/>
      </c>
      <c r="AF9" s="9" t="str" cm="1">
        <f t="array" aca="1" ref="AF9" ca="1">_xlfn.IFNA(INDEX(jkm_call_put!$H:$H,MATCH($B9&amp;AF$2&amp;$A$1,jkm_call_put!$G:$G&amp;jkm_call_put!$O:$O&amp;jkm_call_put!$F:$F,0),1),"")</f>
        <v/>
      </c>
      <c r="AG9" s="9" t="str" cm="1">
        <f t="array" aca="1" ref="AG9" ca="1">_xlfn.IFNA(INDEX(jkm_call_put!$H:$H,MATCH($B9&amp;AG$2&amp;$A$1,jkm_call_put!$G:$G&amp;jkm_call_put!$O:$O&amp;jkm_call_put!$F:$F,0),1),"")</f>
        <v/>
      </c>
      <c r="AH9" s="9" t="str" cm="1">
        <f t="array" aca="1" ref="AH9" ca="1">_xlfn.IFNA(INDEX(jkm_call_put!$H:$H,MATCH($B9&amp;AH$2&amp;$A$1,jkm_call_put!$G:$G&amp;jkm_call_put!$O:$O&amp;jkm_call_put!$F:$F,0),1),"")</f>
        <v/>
      </c>
      <c r="AI9" s="9" t="str" cm="1">
        <f t="array" aca="1" ref="AI9" ca="1">_xlfn.IFNA(INDEX(jkm_call_put!$H:$H,MATCH($B9&amp;AI$2&amp;$A$1,jkm_call_put!$G:$G&amp;jkm_call_put!$O:$O&amp;jkm_call_put!$F:$F,0),1),"")</f>
        <v/>
      </c>
      <c r="AJ9" s="9" t="str" cm="1">
        <f t="array" aca="1" ref="AJ9" ca="1">_xlfn.IFNA(INDEX(jkm_call_put!$H:$H,MATCH($B9&amp;AJ$2&amp;$A$1,jkm_call_put!$G:$G&amp;jkm_call_put!$O:$O&amp;jkm_call_put!$F:$F,0),1),"")</f>
        <v/>
      </c>
      <c r="AK9" s="9" t="str" cm="1">
        <f t="array" aca="1" ref="AK9" ca="1">_xlfn.IFNA(INDEX(jkm_call_put!$H:$H,MATCH($B9&amp;AK$2&amp;$A$1,jkm_call_put!$G:$G&amp;jkm_call_put!$O:$O&amp;jkm_call_put!$F:$F,0),1),"")</f>
        <v/>
      </c>
      <c r="AL9" s="9" t="str" cm="1">
        <f t="array" aca="1" ref="AL9" ca="1">_xlfn.IFNA(INDEX(jkm_call_put!$H:$H,MATCH($B9&amp;AL$2&amp;$A$1,jkm_call_put!$G:$G&amp;jkm_call_put!$O:$O&amp;jkm_call_put!$F:$F,0),1),"")</f>
        <v/>
      </c>
    </row>
    <row r="10" spans="1:39" ht="15" customHeight="1" x14ac:dyDescent="0.25">
      <c r="A10" s="11"/>
      <c r="B10" s="6">
        <v>9.5</v>
      </c>
      <c r="C10" s="9" t="str" cm="1">
        <f t="array" aca="1" ref="C10" ca="1">_xlfn.IFNA(INDEX(jkm_call_put!$H:$H,MATCH($B10&amp;C$2&amp;$A$1,jkm_call_put!$G:$G&amp;jkm_call_put!$O:$O&amp;jkm_call_put!$F:$F,0),1),"")</f>
        <v/>
      </c>
      <c r="D10" s="9" t="str" cm="1">
        <f t="array" aca="1" ref="D10" ca="1">_xlfn.IFNA(INDEX(jkm_call_put!$H:$H,MATCH($B10&amp;D$2&amp;$A$1,jkm_call_put!$G:$G&amp;jkm_call_put!$O:$O&amp;jkm_call_put!$F:$F,0),1),"")</f>
        <v/>
      </c>
      <c r="E10" s="9" cm="1">
        <f t="array" aca="1" ref="E10" ca="1">_xlfn.IFNA(INDEX(jkm_call_put!$H:$H,MATCH($B10&amp;E$2&amp;$A$1,jkm_call_put!$G:$G&amp;jkm_call_put!$O:$O&amp;jkm_call_put!$F:$F,0),1),"")</f>
        <v>9.0809999999999995</v>
      </c>
      <c r="F10" s="9" t="str" cm="1">
        <f t="array" aca="1" ref="F10" ca="1">_xlfn.IFNA(INDEX(jkm_call_put!$H:$H,MATCH($B10&amp;F$2&amp;$A$1,jkm_call_put!$G:$G&amp;jkm_call_put!$O:$O&amp;jkm_call_put!$F:$F,0),1),"")</f>
        <v/>
      </c>
      <c r="G10" s="9" t="str" cm="1">
        <f t="array" aca="1" ref="G10" ca="1">_xlfn.IFNA(INDEX(jkm_call_put!$H:$H,MATCH($B10&amp;G$2&amp;$A$1,jkm_call_put!$G:$G&amp;jkm_call_put!$O:$O&amp;jkm_call_put!$F:$F,0),1),"")</f>
        <v/>
      </c>
      <c r="H10" s="9" cm="1">
        <f t="array" aca="1" ref="H10" ca="1">_xlfn.IFNA(INDEX(jkm_call_put!$H:$H,MATCH($B10&amp;H$2&amp;$A$1,jkm_call_put!$G:$G&amp;jkm_call_put!$O:$O&amp;jkm_call_put!$F:$F,0),1),"")</f>
        <v>7.9989999999999997</v>
      </c>
      <c r="I10" s="9" cm="1">
        <f t="array" aca="1" ref="I10" ca="1">_xlfn.IFNA(INDEX(jkm_call_put!$H:$H,MATCH($B10&amp;I$2&amp;$A$1,jkm_call_put!$G:$G&amp;jkm_call_put!$O:$O&amp;jkm_call_put!$F:$F,0),1),"")</f>
        <v>8.0310000000000006</v>
      </c>
      <c r="J10" s="9" cm="1">
        <f t="array" aca="1" ref="J10" ca="1">_xlfn.IFNA(INDEX(jkm_call_put!$H:$H,MATCH($B10&amp;J$2&amp;$A$1,jkm_call_put!$G:$G&amp;jkm_call_put!$O:$O&amp;jkm_call_put!$F:$F,0),1),"")</f>
        <v>8.2629999999999999</v>
      </c>
      <c r="K10" s="9" cm="1">
        <f t="array" aca="1" ref="K10" ca="1">_xlfn.IFNA(INDEX(jkm_call_put!$H:$H,MATCH($B10&amp;K$2&amp;$A$1,jkm_call_put!$G:$G&amp;jkm_call_put!$O:$O&amp;jkm_call_put!$F:$F,0),1),"")</f>
        <v>8.2590000000000003</v>
      </c>
      <c r="L10" s="9" cm="1">
        <f t="array" aca="1" ref="L10" ca="1">_xlfn.IFNA(INDEX(jkm_call_put!$H:$H,MATCH($B10&amp;L$2&amp;$A$1,jkm_call_put!$G:$G&amp;jkm_call_put!$O:$O&amp;jkm_call_put!$F:$F,0),1),"")</f>
        <v>8.0640000000000001</v>
      </c>
      <c r="M10" s="9" cm="1">
        <f t="array" aca="1" ref="M10" ca="1">_xlfn.IFNA(INDEX(jkm_call_put!$H:$H,MATCH($B10&amp;M$2&amp;$A$1,jkm_call_put!$G:$G&amp;jkm_call_put!$O:$O&amp;jkm_call_put!$F:$F,0),1),"")</f>
        <v>6.984</v>
      </c>
      <c r="N10" s="9" t="str" cm="1">
        <f t="array" aca="1" ref="N10" ca="1">_xlfn.IFNA(INDEX(jkm_call_put!$H:$H,MATCH($B10&amp;N$2&amp;$A$1,jkm_call_put!$G:$G&amp;jkm_call_put!$O:$O&amp;jkm_call_put!$F:$F,0),1),"")</f>
        <v/>
      </c>
      <c r="O10" s="9" t="str" cm="1">
        <f t="array" aca="1" ref="O10" ca="1">_xlfn.IFNA(INDEX(jkm_call_put!$H:$H,MATCH($B10&amp;O$2&amp;$A$1,jkm_call_put!$G:$G&amp;jkm_call_put!$O:$O&amp;jkm_call_put!$F:$F,0),1),"")</f>
        <v/>
      </c>
      <c r="P10" s="9" t="str" cm="1">
        <f t="array" aca="1" ref="P10" ca="1">_xlfn.IFNA(INDEX(jkm_call_put!$H:$H,MATCH($B10&amp;P$2&amp;$A$1,jkm_call_put!$G:$G&amp;jkm_call_put!$O:$O&amp;jkm_call_put!$F:$F,0),1),"")</f>
        <v/>
      </c>
      <c r="Q10" s="9" t="str" cm="1">
        <f t="array" aca="1" ref="Q10" ca="1">_xlfn.IFNA(INDEX(jkm_call_put!$H:$H,MATCH($B10&amp;Q$2&amp;$A$1,jkm_call_put!$G:$G&amp;jkm_call_put!$O:$O&amp;jkm_call_put!$F:$F,0),1),"")</f>
        <v/>
      </c>
      <c r="R10" s="9" t="str" cm="1">
        <f t="array" aca="1" ref="R10" ca="1">_xlfn.IFNA(INDEX(jkm_call_put!$H:$H,MATCH($B10&amp;R$2&amp;$A$1,jkm_call_put!$G:$G&amp;jkm_call_put!$O:$O&amp;jkm_call_put!$F:$F,0),1),"")</f>
        <v/>
      </c>
      <c r="S10" s="9" t="str" cm="1">
        <f t="array" aca="1" ref="S10" ca="1">_xlfn.IFNA(INDEX(jkm_call_put!$H:$H,MATCH($B10&amp;S$2&amp;$A$1,jkm_call_put!$G:$G&amp;jkm_call_put!$O:$O&amp;jkm_call_put!$F:$F,0),1),"")</f>
        <v/>
      </c>
      <c r="T10" s="9" t="str" cm="1">
        <f t="array" aca="1" ref="T10" ca="1">_xlfn.IFNA(INDEX(jkm_call_put!$H:$H,MATCH($B10&amp;T$2&amp;$A$1,jkm_call_put!$G:$G&amp;jkm_call_put!$O:$O&amp;jkm_call_put!$F:$F,0),1),"")</f>
        <v/>
      </c>
      <c r="U10" s="9" t="str" cm="1">
        <f t="array" aca="1" ref="U10" ca="1">_xlfn.IFNA(INDEX(jkm_call_put!$H:$H,MATCH($B10&amp;U$2&amp;$A$1,jkm_call_put!$G:$G&amp;jkm_call_put!$O:$O&amp;jkm_call_put!$F:$F,0),1),"")</f>
        <v/>
      </c>
      <c r="V10" s="9" t="str" cm="1">
        <f t="array" aca="1" ref="V10" ca="1">_xlfn.IFNA(INDEX(jkm_call_put!$H:$H,MATCH($B10&amp;V$2&amp;$A$1,jkm_call_put!$G:$G&amp;jkm_call_put!$O:$O&amp;jkm_call_put!$F:$F,0),1),"")</f>
        <v/>
      </c>
      <c r="W10" s="9" t="str" cm="1">
        <f t="array" aca="1" ref="W10" ca="1">_xlfn.IFNA(INDEX(jkm_call_put!$H:$H,MATCH($B10&amp;W$2&amp;$A$1,jkm_call_put!$G:$G&amp;jkm_call_put!$O:$O&amp;jkm_call_put!$F:$F,0),1),"")</f>
        <v/>
      </c>
      <c r="X10" s="9" t="str" cm="1">
        <f t="array" aca="1" ref="X10" ca="1">_xlfn.IFNA(INDEX(jkm_call_put!$H:$H,MATCH($B10&amp;X$2&amp;$A$1,jkm_call_put!$G:$G&amp;jkm_call_put!$O:$O&amp;jkm_call_put!$F:$F,0),1),"")</f>
        <v/>
      </c>
      <c r="Y10" s="9" t="str" cm="1">
        <f t="array" aca="1" ref="Y10" ca="1">_xlfn.IFNA(INDEX(jkm_call_put!$H:$H,MATCH($B10&amp;Y$2&amp;$A$1,jkm_call_put!$G:$G&amp;jkm_call_put!$O:$O&amp;jkm_call_put!$F:$F,0),1),"")</f>
        <v/>
      </c>
      <c r="Z10" s="9" t="str" cm="1">
        <f t="array" aca="1" ref="Z10" ca="1">_xlfn.IFNA(INDEX(jkm_call_put!$H:$H,MATCH($B10&amp;Z$2&amp;$A$1,jkm_call_put!$G:$G&amp;jkm_call_put!$O:$O&amp;jkm_call_put!$F:$F,0),1),"")</f>
        <v/>
      </c>
      <c r="AA10" s="9" t="str" cm="1">
        <f t="array" aca="1" ref="AA10" ca="1">_xlfn.IFNA(INDEX(jkm_call_put!$H:$H,MATCH($B10&amp;AA$2&amp;$A$1,jkm_call_put!$G:$G&amp;jkm_call_put!$O:$O&amp;jkm_call_put!$F:$F,0),1),"")</f>
        <v/>
      </c>
      <c r="AB10" s="9" t="str" cm="1">
        <f t="array" aca="1" ref="AB10" ca="1">_xlfn.IFNA(INDEX(jkm_call_put!$H:$H,MATCH($B10&amp;AB$2&amp;$A$1,jkm_call_put!$G:$G&amp;jkm_call_put!$O:$O&amp;jkm_call_put!$F:$F,0),1),"")</f>
        <v/>
      </c>
      <c r="AC10" s="9" t="str" cm="1">
        <f t="array" aca="1" ref="AC10" ca="1">_xlfn.IFNA(INDEX(jkm_call_put!$H:$H,MATCH($B10&amp;AC$2&amp;$A$1,jkm_call_put!$G:$G&amp;jkm_call_put!$O:$O&amp;jkm_call_put!$F:$F,0),1),"")</f>
        <v/>
      </c>
      <c r="AD10" s="9" t="str" cm="1">
        <f t="array" aca="1" ref="AD10" ca="1">_xlfn.IFNA(INDEX(jkm_call_put!$H:$H,MATCH($B10&amp;AD$2&amp;$A$1,jkm_call_put!$G:$G&amp;jkm_call_put!$O:$O&amp;jkm_call_put!$F:$F,0),1),"")</f>
        <v/>
      </c>
      <c r="AE10" s="9" t="str" cm="1">
        <f t="array" aca="1" ref="AE10" ca="1">_xlfn.IFNA(INDEX(jkm_call_put!$H:$H,MATCH($B10&amp;AE$2&amp;$A$1,jkm_call_put!$G:$G&amp;jkm_call_put!$O:$O&amp;jkm_call_put!$F:$F,0),1),"")</f>
        <v/>
      </c>
      <c r="AF10" s="9" t="str" cm="1">
        <f t="array" aca="1" ref="AF10" ca="1">_xlfn.IFNA(INDEX(jkm_call_put!$H:$H,MATCH($B10&amp;AF$2&amp;$A$1,jkm_call_put!$G:$G&amp;jkm_call_put!$O:$O&amp;jkm_call_put!$F:$F,0),1),"")</f>
        <v/>
      </c>
      <c r="AG10" s="9" t="str" cm="1">
        <f t="array" aca="1" ref="AG10" ca="1">_xlfn.IFNA(INDEX(jkm_call_put!$H:$H,MATCH($B10&amp;AG$2&amp;$A$1,jkm_call_put!$G:$G&amp;jkm_call_put!$O:$O&amp;jkm_call_put!$F:$F,0),1),"")</f>
        <v/>
      </c>
      <c r="AH10" s="9" t="str" cm="1">
        <f t="array" aca="1" ref="AH10" ca="1">_xlfn.IFNA(INDEX(jkm_call_put!$H:$H,MATCH($B10&amp;AH$2&amp;$A$1,jkm_call_put!$G:$G&amp;jkm_call_put!$O:$O&amp;jkm_call_put!$F:$F,0),1),"")</f>
        <v/>
      </c>
      <c r="AI10" s="9" t="str" cm="1">
        <f t="array" aca="1" ref="AI10" ca="1">_xlfn.IFNA(INDEX(jkm_call_put!$H:$H,MATCH($B10&amp;AI$2&amp;$A$1,jkm_call_put!$G:$G&amp;jkm_call_put!$O:$O&amp;jkm_call_put!$F:$F,0),1),"")</f>
        <v/>
      </c>
      <c r="AJ10" s="9" t="str" cm="1">
        <f t="array" aca="1" ref="AJ10" ca="1">_xlfn.IFNA(INDEX(jkm_call_put!$H:$H,MATCH($B10&amp;AJ$2&amp;$A$1,jkm_call_put!$G:$G&amp;jkm_call_put!$O:$O&amp;jkm_call_put!$F:$F,0),1),"")</f>
        <v/>
      </c>
      <c r="AK10" s="9" t="str" cm="1">
        <f t="array" aca="1" ref="AK10" ca="1">_xlfn.IFNA(INDEX(jkm_call_put!$H:$H,MATCH($B10&amp;AK$2&amp;$A$1,jkm_call_put!$G:$G&amp;jkm_call_put!$O:$O&amp;jkm_call_put!$F:$F,0),1),"")</f>
        <v/>
      </c>
      <c r="AL10" s="9" t="str" cm="1">
        <f t="array" aca="1" ref="AL10" ca="1">_xlfn.IFNA(INDEX(jkm_call_put!$H:$H,MATCH($B10&amp;AL$2&amp;$A$1,jkm_call_put!$G:$G&amp;jkm_call_put!$O:$O&amp;jkm_call_put!$F:$F,0),1),"")</f>
        <v/>
      </c>
    </row>
    <row r="11" spans="1:39" ht="15" customHeight="1" x14ac:dyDescent="0.25">
      <c r="A11" s="11"/>
      <c r="B11" s="6">
        <v>9.6999999999999993</v>
      </c>
      <c r="C11" s="9" t="str" cm="1">
        <f t="array" aca="1" ref="C11" ca="1">_xlfn.IFNA(INDEX(jkm_call_put!$H:$H,MATCH($B11&amp;C$2&amp;$A$1,jkm_call_put!$G:$G&amp;jkm_call_put!$O:$O&amp;jkm_call_put!$F:$F,0),1),"")</f>
        <v/>
      </c>
      <c r="D11" s="9" t="str" cm="1">
        <f t="array" aca="1" ref="D11" ca="1">_xlfn.IFNA(INDEX(jkm_call_put!$H:$H,MATCH($B11&amp;D$2&amp;$A$1,jkm_call_put!$G:$G&amp;jkm_call_put!$O:$O&amp;jkm_call_put!$F:$F,0),1),"")</f>
        <v/>
      </c>
      <c r="E11" s="9" t="str" cm="1">
        <f t="array" aca="1" ref="E11" ca="1">_xlfn.IFNA(INDEX(jkm_call_put!$H:$H,MATCH($B11&amp;E$2&amp;$A$1,jkm_call_put!$G:$G&amp;jkm_call_put!$O:$O&amp;jkm_call_put!$F:$F,0),1),"")</f>
        <v/>
      </c>
      <c r="F11" s="9" t="str" cm="1">
        <f t="array" aca="1" ref="F11" ca="1">_xlfn.IFNA(INDEX(jkm_call_put!$H:$H,MATCH($B11&amp;F$2&amp;$A$1,jkm_call_put!$G:$G&amp;jkm_call_put!$O:$O&amp;jkm_call_put!$F:$F,0),1),"")</f>
        <v/>
      </c>
      <c r="G11" s="9" cm="1">
        <f t="array" aca="1" ref="G11" ca="1">_xlfn.IFNA(INDEX(jkm_call_put!$H:$H,MATCH($B11&amp;G$2&amp;$A$1,jkm_call_put!$G:$G&amp;jkm_call_put!$O:$O&amp;jkm_call_put!$F:$F,0),1),"")</f>
        <v>8.4719999999999995</v>
      </c>
      <c r="H11" s="9" t="str" cm="1">
        <f t="array" aca="1" ref="H11" ca="1">_xlfn.IFNA(INDEX(jkm_call_put!$H:$H,MATCH($B11&amp;H$2&amp;$A$1,jkm_call_put!$G:$G&amp;jkm_call_put!$O:$O&amp;jkm_call_put!$F:$F,0),1),"")</f>
        <v/>
      </c>
      <c r="I11" s="9" t="str" cm="1">
        <f t="array" aca="1" ref="I11" ca="1">_xlfn.IFNA(INDEX(jkm_call_put!$H:$H,MATCH($B11&amp;I$2&amp;$A$1,jkm_call_put!$G:$G&amp;jkm_call_put!$O:$O&amp;jkm_call_put!$F:$F,0),1),"")</f>
        <v/>
      </c>
      <c r="J11" s="9" t="str" cm="1">
        <f t="array" aca="1" ref="J11" ca="1">_xlfn.IFNA(INDEX(jkm_call_put!$H:$H,MATCH($B11&amp;J$2&amp;$A$1,jkm_call_put!$G:$G&amp;jkm_call_put!$O:$O&amp;jkm_call_put!$F:$F,0),1),"")</f>
        <v/>
      </c>
      <c r="K11" s="9" t="str" cm="1">
        <f t="array" aca="1" ref="K11" ca="1">_xlfn.IFNA(INDEX(jkm_call_put!$H:$H,MATCH($B11&amp;K$2&amp;$A$1,jkm_call_put!$G:$G&amp;jkm_call_put!$O:$O&amp;jkm_call_put!$F:$F,0),1),"")</f>
        <v/>
      </c>
      <c r="L11" s="9" t="str" cm="1">
        <f t="array" aca="1" ref="L11" ca="1">_xlfn.IFNA(INDEX(jkm_call_put!$H:$H,MATCH($B11&amp;L$2&amp;$A$1,jkm_call_put!$G:$G&amp;jkm_call_put!$O:$O&amp;jkm_call_put!$F:$F,0),1),"")</f>
        <v/>
      </c>
      <c r="M11" s="9" t="str" cm="1">
        <f t="array" aca="1" ref="M11" ca="1">_xlfn.IFNA(INDEX(jkm_call_put!$H:$H,MATCH($B11&amp;M$2&amp;$A$1,jkm_call_put!$G:$G&amp;jkm_call_put!$O:$O&amp;jkm_call_put!$F:$F,0),1),"")</f>
        <v/>
      </c>
      <c r="N11" s="9" t="str" cm="1">
        <f t="array" aca="1" ref="N11" ca="1">_xlfn.IFNA(INDEX(jkm_call_put!$H:$H,MATCH($B11&amp;N$2&amp;$A$1,jkm_call_put!$G:$G&amp;jkm_call_put!$O:$O&amp;jkm_call_put!$F:$F,0),1),"")</f>
        <v/>
      </c>
      <c r="O11" s="9" t="str" cm="1">
        <f t="array" aca="1" ref="O11" ca="1">_xlfn.IFNA(INDEX(jkm_call_put!$H:$H,MATCH($B11&amp;O$2&amp;$A$1,jkm_call_put!$G:$G&amp;jkm_call_put!$O:$O&amp;jkm_call_put!$F:$F,0),1),"")</f>
        <v/>
      </c>
      <c r="P11" s="9" t="str" cm="1">
        <f t="array" aca="1" ref="P11" ca="1">_xlfn.IFNA(INDEX(jkm_call_put!$H:$H,MATCH($B11&amp;P$2&amp;$A$1,jkm_call_put!$G:$G&amp;jkm_call_put!$O:$O&amp;jkm_call_put!$F:$F,0),1),"")</f>
        <v/>
      </c>
      <c r="Q11" s="9" t="str" cm="1">
        <f t="array" aca="1" ref="Q11" ca="1">_xlfn.IFNA(INDEX(jkm_call_put!$H:$H,MATCH($B11&amp;Q$2&amp;$A$1,jkm_call_put!$G:$G&amp;jkm_call_put!$O:$O&amp;jkm_call_put!$F:$F,0),1),"")</f>
        <v/>
      </c>
      <c r="R11" s="9" t="str" cm="1">
        <f t="array" aca="1" ref="R11" ca="1">_xlfn.IFNA(INDEX(jkm_call_put!$H:$H,MATCH($B11&amp;R$2&amp;$A$1,jkm_call_put!$G:$G&amp;jkm_call_put!$O:$O&amp;jkm_call_put!$F:$F,0),1),"")</f>
        <v/>
      </c>
      <c r="S11" s="9" t="str" cm="1">
        <f t="array" aca="1" ref="S11" ca="1">_xlfn.IFNA(INDEX(jkm_call_put!$H:$H,MATCH($B11&amp;S$2&amp;$A$1,jkm_call_put!$G:$G&amp;jkm_call_put!$O:$O&amp;jkm_call_put!$F:$F,0),1),"")</f>
        <v/>
      </c>
      <c r="T11" s="9" t="str" cm="1">
        <f t="array" aca="1" ref="T11" ca="1">_xlfn.IFNA(INDEX(jkm_call_put!$H:$H,MATCH($B11&amp;T$2&amp;$A$1,jkm_call_put!$G:$G&amp;jkm_call_put!$O:$O&amp;jkm_call_put!$F:$F,0),1),"")</f>
        <v/>
      </c>
      <c r="U11" s="9" t="str" cm="1">
        <f t="array" aca="1" ref="U11" ca="1">_xlfn.IFNA(INDEX(jkm_call_put!$H:$H,MATCH($B11&amp;U$2&amp;$A$1,jkm_call_put!$G:$G&amp;jkm_call_put!$O:$O&amp;jkm_call_put!$F:$F,0),1),"")</f>
        <v/>
      </c>
      <c r="V11" s="9" t="str" cm="1">
        <f t="array" aca="1" ref="V11" ca="1">_xlfn.IFNA(INDEX(jkm_call_put!$H:$H,MATCH($B11&amp;V$2&amp;$A$1,jkm_call_put!$G:$G&amp;jkm_call_put!$O:$O&amp;jkm_call_put!$F:$F,0),1),"")</f>
        <v/>
      </c>
      <c r="W11" s="9" t="str" cm="1">
        <f t="array" aca="1" ref="W11" ca="1">_xlfn.IFNA(INDEX(jkm_call_put!$H:$H,MATCH($B11&amp;W$2&amp;$A$1,jkm_call_put!$G:$G&amp;jkm_call_put!$O:$O&amp;jkm_call_put!$F:$F,0),1),"")</f>
        <v/>
      </c>
      <c r="X11" s="9" t="str" cm="1">
        <f t="array" aca="1" ref="X11" ca="1">_xlfn.IFNA(INDEX(jkm_call_put!$H:$H,MATCH($B11&amp;X$2&amp;$A$1,jkm_call_put!$G:$G&amp;jkm_call_put!$O:$O&amp;jkm_call_put!$F:$F,0),1),"")</f>
        <v/>
      </c>
      <c r="Y11" s="9" t="str" cm="1">
        <f t="array" aca="1" ref="Y11" ca="1">_xlfn.IFNA(INDEX(jkm_call_put!$H:$H,MATCH($B11&amp;Y$2&amp;$A$1,jkm_call_put!$G:$G&amp;jkm_call_put!$O:$O&amp;jkm_call_put!$F:$F,0),1),"")</f>
        <v/>
      </c>
      <c r="Z11" s="9" t="str" cm="1">
        <f t="array" aca="1" ref="Z11" ca="1">_xlfn.IFNA(INDEX(jkm_call_put!$H:$H,MATCH($B11&amp;Z$2&amp;$A$1,jkm_call_put!$G:$G&amp;jkm_call_put!$O:$O&amp;jkm_call_put!$F:$F,0),1),"")</f>
        <v/>
      </c>
      <c r="AA11" s="9" t="str" cm="1">
        <f t="array" aca="1" ref="AA11" ca="1">_xlfn.IFNA(INDEX(jkm_call_put!$H:$H,MATCH($B11&amp;AA$2&amp;$A$1,jkm_call_put!$G:$G&amp;jkm_call_put!$O:$O&amp;jkm_call_put!$F:$F,0),1),"")</f>
        <v/>
      </c>
      <c r="AB11" s="9" t="str" cm="1">
        <f t="array" aca="1" ref="AB11" ca="1">_xlfn.IFNA(INDEX(jkm_call_put!$H:$H,MATCH($B11&amp;AB$2&amp;$A$1,jkm_call_put!$G:$G&amp;jkm_call_put!$O:$O&amp;jkm_call_put!$F:$F,0),1),"")</f>
        <v/>
      </c>
      <c r="AC11" s="9" t="str" cm="1">
        <f t="array" aca="1" ref="AC11" ca="1">_xlfn.IFNA(INDEX(jkm_call_put!$H:$H,MATCH($B11&amp;AC$2&amp;$A$1,jkm_call_put!$G:$G&amp;jkm_call_put!$O:$O&amp;jkm_call_put!$F:$F,0),1),"")</f>
        <v/>
      </c>
      <c r="AD11" s="9" t="str" cm="1">
        <f t="array" aca="1" ref="AD11" ca="1">_xlfn.IFNA(INDEX(jkm_call_put!$H:$H,MATCH($B11&amp;AD$2&amp;$A$1,jkm_call_put!$G:$G&amp;jkm_call_put!$O:$O&amp;jkm_call_put!$F:$F,0),1),"")</f>
        <v/>
      </c>
      <c r="AE11" s="9" t="str" cm="1">
        <f t="array" aca="1" ref="AE11" ca="1">_xlfn.IFNA(INDEX(jkm_call_put!$H:$H,MATCH($B11&amp;AE$2&amp;$A$1,jkm_call_put!$G:$G&amp;jkm_call_put!$O:$O&amp;jkm_call_put!$F:$F,0),1),"")</f>
        <v/>
      </c>
      <c r="AF11" s="9" t="str" cm="1">
        <f t="array" aca="1" ref="AF11" ca="1">_xlfn.IFNA(INDEX(jkm_call_put!$H:$H,MATCH($B11&amp;AF$2&amp;$A$1,jkm_call_put!$G:$G&amp;jkm_call_put!$O:$O&amp;jkm_call_put!$F:$F,0),1),"")</f>
        <v/>
      </c>
      <c r="AG11" s="9" t="str" cm="1">
        <f t="array" aca="1" ref="AG11" ca="1">_xlfn.IFNA(INDEX(jkm_call_put!$H:$H,MATCH($B11&amp;AG$2&amp;$A$1,jkm_call_put!$G:$G&amp;jkm_call_put!$O:$O&amp;jkm_call_put!$F:$F,0),1),"")</f>
        <v/>
      </c>
      <c r="AH11" s="9" t="str" cm="1">
        <f t="array" aca="1" ref="AH11" ca="1">_xlfn.IFNA(INDEX(jkm_call_put!$H:$H,MATCH($B11&amp;AH$2&amp;$A$1,jkm_call_put!$G:$G&amp;jkm_call_put!$O:$O&amp;jkm_call_put!$F:$F,0),1),"")</f>
        <v/>
      </c>
      <c r="AI11" s="9" t="str" cm="1">
        <f t="array" aca="1" ref="AI11" ca="1">_xlfn.IFNA(INDEX(jkm_call_put!$H:$H,MATCH($B11&amp;AI$2&amp;$A$1,jkm_call_put!$G:$G&amp;jkm_call_put!$O:$O&amp;jkm_call_put!$F:$F,0),1),"")</f>
        <v/>
      </c>
      <c r="AJ11" s="9" t="str" cm="1">
        <f t="array" aca="1" ref="AJ11" ca="1">_xlfn.IFNA(INDEX(jkm_call_put!$H:$H,MATCH($B11&amp;AJ$2&amp;$A$1,jkm_call_put!$G:$G&amp;jkm_call_put!$O:$O&amp;jkm_call_put!$F:$F,0),1),"")</f>
        <v/>
      </c>
      <c r="AK11" s="9" t="str" cm="1">
        <f t="array" aca="1" ref="AK11" ca="1">_xlfn.IFNA(INDEX(jkm_call_put!$H:$H,MATCH($B11&amp;AK$2&amp;$A$1,jkm_call_put!$G:$G&amp;jkm_call_put!$O:$O&amp;jkm_call_put!$F:$F,0),1),"")</f>
        <v/>
      </c>
      <c r="AL11" s="9" t="str" cm="1">
        <f t="array" aca="1" ref="AL11" ca="1">_xlfn.IFNA(INDEX(jkm_call_put!$H:$H,MATCH($B11&amp;AL$2&amp;$A$1,jkm_call_put!$G:$G&amp;jkm_call_put!$O:$O&amp;jkm_call_put!$F:$F,0),1),"")</f>
        <v/>
      </c>
    </row>
    <row r="12" spans="1:39" ht="15" customHeight="1" x14ac:dyDescent="0.25">
      <c r="A12" s="11"/>
      <c r="B12" s="6">
        <v>9.8000000000000007</v>
      </c>
      <c r="C12" s="9" t="str" cm="1">
        <f t="array" aca="1" ref="C12" ca="1">_xlfn.IFNA(INDEX(jkm_call_put!$H:$H,MATCH($B12&amp;C$2&amp;$A$1,jkm_call_put!$G:$G&amp;jkm_call_put!$O:$O&amp;jkm_call_put!$F:$F,0),1),"")</f>
        <v/>
      </c>
      <c r="D12" s="9" t="str" cm="1">
        <f t="array" aca="1" ref="D12" ca="1">_xlfn.IFNA(INDEX(jkm_call_put!$H:$H,MATCH($B12&amp;D$2&amp;$A$1,jkm_call_put!$G:$G&amp;jkm_call_put!$O:$O&amp;jkm_call_put!$F:$F,0),1),"")</f>
        <v/>
      </c>
      <c r="E12" s="9" t="str" cm="1">
        <f t="array" aca="1" ref="E12" ca="1">_xlfn.IFNA(INDEX(jkm_call_put!$H:$H,MATCH($B12&amp;E$2&amp;$A$1,jkm_call_put!$G:$G&amp;jkm_call_put!$O:$O&amp;jkm_call_put!$F:$F,0),1),"")</f>
        <v/>
      </c>
      <c r="F12" s="9" t="str" cm="1">
        <f t="array" aca="1" ref="F12" ca="1">_xlfn.IFNA(INDEX(jkm_call_put!$H:$H,MATCH($B12&amp;F$2&amp;$A$1,jkm_call_put!$G:$G&amp;jkm_call_put!$O:$O&amp;jkm_call_put!$F:$F,0),1),"")</f>
        <v/>
      </c>
      <c r="G12" s="9" cm="1">
        <f t="array" aca="1" ref="G12" ca="1">_xlfn.IFNA(INDEX(jkm_call_put!$H:$H,MATCH($B12&amp;G$2&amp;$A$1,jkm_call_put!$G:$G&amp;jkm_call_put!$O:$O&amp;jkm_call_put!$F:$F,0),1),"")</f>
        <v>8.39</v>
      </c>
      <c r="H12" s="9" t="str" cm="1">
        <f t="array" aca="1" ref="H12" ca="1">_xlfn.IFNA(INDEX(jkm_call_put!$H:$H,MATCH($B12&amp;H$2&amp;$A$1,jkm_call_put!$G:$G&amp;jkm_call_put!$O:$O&amp;jkm_call_put!$F:$F,0),1),"")</f>
        <v/>
      </c>
      <c r="I12" s="9" t="str" cm="1">
        <f t="array" aca="1" ref="I12" ca="1">_xlfn.IFNA(INDEX(jkm_call_put!$H:$H,MATCH($B12&amp;I$2&amp;$A$1,jkm_call_put!$G:$G&amp;jkm_call_put!$O:$O&amp;jkm_call_put!$F:$F,0),1),"")</f>
        <v/>
      </c>
      <c r="J12" s="9" t="str" cm="1">
        <f t="array" aca="1" ref="J12" ca="1">_xlfn.IFNA(INDEX(jkm_call_put!$H:$H,MATCH($B12&amp;J$2&amp;$A$1,jkm_call_put!$G:$G&amp;jkm_call_put!$O:$O&amp;jkm_call_put!$F:$F,0),1),"")</f>
        <v/>
      </c>
      <c r="K12" s="9" t="str" cm="1">
        <f t="array" aca="1" ref="K12" ca="1">_xlfn.IFNA(INDEX(jkm_call_put!$H:$H,MATCH($B12&amp;K$2&amp;$A$1,jkm_call_put!$G:$G&amp;jkm_call_put!$O:$O&amp;jkm_call_put!$F:$F,0),1),"")</f>
        <v/>
      </c>
      <c r="L12" s="9" t="str" cm="1">
        <f t="array" aca="1" ref="L12" ca="1">_xlfn.IFNA(INDEX(jkm_call_put!$H:$H,MATCH($B12&amp;L$2&amp;$A$1,jkm_call_put!$G:$G&amp;jkm_call_put!$O:$O&amp;jkm_call_put!$F:$F,0),1),"")</f>
        <v/>
      </c>
      <c r="M12" s="9" t="str" cm="1">
        <f t="array" aca="1" ref="M12" ca="1">_xlfn.IFNA(INDEX(jkm_call_put!$H:$H,MATCH($B12&amp;M$2&amp;$A$1,jkm_call_put!$G:$G&amp;jkm_call_put!$O:$O&amp;jkm_call_put!$F:$F,0),1),"")</f>
        <v/>
      </c>
      <c r="N12" s="9" t="str" cm="1">
        <f t="array" aca="1" ref="N12" ca="1">_xlfn.IFNA(INDEX(jkm_call_put!$H:$H,MATCH($B12&amp;N$2&amp;$A$1,jkm_call_put!$G:$G&amp;jkm_call_put!$O:$O&amp;jkm_call_put!$F:$F,0),1),"")</f>
        <v/>
      </c>
      <c r="O12" s="9" t="str" cm="1">
        <f t="array" aca="1" ref="O12" ca="1">_xlfn.IFNA(INDEX(jkm_call_put!$H:$H,MATCH($B12&amp;O$2&amp;$A$1,jkm_call_put!$G:$G&amp;jkm_call_put!$O:$O&amp;jkm_call_put!$F:$F,0),1),"")</f>
        <v/>
      </c>
      <c r="P12" s="9" t="str" cm="1">
        <f t="array" aca="1" ref="P12" ca="1">_xlfn.IFNA(INDEX(jkm_call_put!$H:$H,MATCH($B12&amp;P$2&amp;$A$1,jkm_call_put!$G:$G&amp;jkm_call_put!$O:$O&amp;jkm_call_put!$F:$F,0),1),"")</f>
        <v/>
      </c>
      <c r="Q12" s="9" t="str" cm="1">
        <f t="array" aca="1" ref="Q12" ca="1">_xlfn.IFNA(INDEX(jkm_call_put!$H:$H,MATCH($B12&amp;Q$2&amp;$A$1,jkm_call_put!$G:$G&amp;jkm_call_put!$O:$O&amp;jkm_call_put!$F:$F,0),1),"")</f>
        <v/>
      </c>
      <c r="R12" s="9" t="str" cm="1">
        <f t="array" aca="1" ref="R12" ca="1">_xlfn.IFNA(INDEX(jkm_call_put!$H:$H,MATCH($B12&amp;R$2&amp;$A$1,jkm_call_put!$G:$G&amp;jkm_call_put!$O:$O&amp;jkm_call_put!$F:$F,0),1),"")</f>
        <v/>
      </c>
      <c r="S12" s="9" t="str" cm="1">
        <f t="array" aca="1" ref="S12" ca="1">_xlfn.IFNA(INDEX(jkm_call_put!$H:$H,MATCH($B12&amp;S$2&amp;$A$1,jkm_call_put!$G:$G&amp;jkm_call_put!$O:$O&amp;jkm_call_put!$F:$F,0),1),"")</f>
        <v/>
      </c>
      <c r="T12" s="9" t="str" cm="1">
        <f t="array" aca="1" ref="T12" ca="1">_xlfn.IFNA(INDEX(jkm_call_put!$H:$H,MATCH($B12&amp;T$2&amp;$A$1,jkm_call_put!$G:$G&amp;jkm_call_put!$O:$O&amp;jkm_call_put!$F:$F,0),1),"")</f>
        <v/>
      </c>
      <c r="U12" s="9" t="str" cm="1">
        <f t="array" aca="1" ref="U12" ca="1">_xlfn.IFNA(INDEX(jkm_call_put!$H:$H,MATCH($B12&amp;U$2&amp;$A$1,jkm_call_put!$G:$G&amp;jkm_call_put!$O:$O&amp;jkm_call_put!$F:$F,0),1),"")</f>
        <v/>
      </c>
      <c r="V12" s="9" t="str" cm="1">
        <f t="array" aca="1" ref="V12" ca="1">_xlfn.IFNA(INDEX(jkm_call_put!$H:$H,MATCH($B12&amp;V$2&amp;$A$1,jkm_call_put!$G:$G&amp;jkm_call_put!$O:$O&amp;jkm_call_put!$F:$F,0),1),"")</f>
        <v/>
      </c>
      <c r="W12" s="9" t="str" cm="1">
        <f t="array" aca="1" ref="W12" ca="1">_xlfn.IFNA(INDEX(jkm_call_put!$H:$H,MATCH($B12&amp;W$2&amp;$A$1,jkm_call_put!$G:$G&amp;jkm_call_put!$O:$O&amp;jkm_call_put!$F:$F,0),1),"")</f>
        <v/>
      </c>
      <c r="X12" s="9" t="str" cm="1">
        <f t="array" aca="1" ref="X12" ca="1">_xlfn.IFNA(INDEX(jkm_call_put!$H:$H,MATCH($B12&amp;X$2&amp;$A$1,jkm_call_put!$G:$G&amp;jkm_call_put!$O:$O&amp;jkm_call_put!$F:$F,0),1),"")</f>
        <v/>
      </c>
      <c r="Y12" s="9" t="str" cm="1">
        <f t="array" aca="1" ref="Y12" ca="1">_xlfn.IFNA(INDEX(jkm_call_put!$H:$H,MATCH($B12&amp;Y$2&amp;$A$1,jkm_call_put!$G:$G&amp;jkm_call_put!$O:$O&amp;jkm_call_put!$F:$F,0),1),"")</f>
        <v/>
      </c>
      <c r="Z12" s="9" t="str" cm="1">
        <f t="array" aca="1" ref="Z12" ca="1">_xlfn.IFNA(INDEX(jkm_call_put!$H:$H,MATCH($B12&amp;Z$2&amp;$A$1,jkm_call_put!$G:$G&amp;jkm_call_put!$O:$O&amp;jkm_call_put!$F:$F,0),1),"")</f>
        <v/>
      </c>
      <c r="AA12" s="9" t="str" cm="1">
        <f t="array" aca="1" ref="AA12" ca="1">_xlfn.IFNA(INDEX(jkm_call_put!$H:$H,MATCH($B12&amp;AA$2&amp;$A$1,jkm_call_put!$G:$G&amp;jkm_call_put!$O:$O&amp;jkm_call_put!$F:$F,0),1),"")</f>
        <v/>
      </c>
      <c r="AB12" s="9" t="str" cm="1">
        <f t="array" aca="1" ref="AB12" ca="1">_xlfn.IFNA(INDEX(jkm_call_put!$H:$H,MATCH($B12&amp;AB$2&amp;$A$1,jkm_call_put!$G:$G&amp;jkm_call_put!$O:$O&amp;jkm_call_put!$F:$F,0),1),"")</f>
        <v/>
      </c>
      <c r="AC12" s="9" t="str" cm="1">
        <f t="array" aca="1" ref="AC12" ca="1">_xlfn.IFNA(INDEX(jkm_call_put!$H:$H,MATCH($B12&amp;AC$2&amp;$A$1,jkm_call_put!$G:$G&amp;jkm_call_put!$O:$O&amp;jkm_call_put!$F:$F,0),1),"")</f>
        <v/>
      </c>
      <c r="AD12" s="9" t="str" cm="1">
        <f t="array" aca="1" ref="AD12" ca="1">_xlfn.IFNA(INDEX(jkm_call_put!$H:$H,MATCH($B12&amp;AD$2&amp;$A$1,jkm_call_put!$G:$G&amp;jkm_call_put!$O:$O&amp;jkm_call_put!$F:$F,0),1),"")</f>
        <v/>
      </c>
      <c r="AE12" s="9" t="str" cm="1">
        <f t="array" aca="1" ref="AE12" ca="1">_xlfn.IFNA(INDEX(jkm_call_put!$H:$H,MATCH($B12&amp;AE$2&amp;$A$1,jkm_call_put!$G:$G&amp;jkm_call_put!$O:$O&amp;jkm_call_put!$F:$F,0),1),"")</f>
        <v/>
      </c>
      <c r="AF12" s="9" t="str" cm="1">
        <f t="array" aca="1" ref="AF12" ca="1">_xlfn.IFNA(INDEX(jkm_call_put!$H:$H,MATCH($B12&amp;AF$2&amp;$A$1,jkm_call_put!$G:$G&amp;jkm_call_put!$O:$O&amp;jkm_call_put!$F:$F,0),1),"")</f>
        <v/>
      </c>
      <c r="AG12" s="9" t="str" cm="1">
        <f t="array" aca="1" ref="AG12" ca="1">_xlfn.IFNA(INDEX(jkm_call_put!$H:$H,MATCH($B12&amp;AG$2&amp;$A$1,jkm_call_put!$G:$G&amp;jkm_call_put!$O:$O&amp;jkm_call_put!$F:$F,0),1),"")</f>
        <v/>
      </c>
      <c r="AH12" s="9" t="str" cm="1">
        <f t="array" aca="1" ref="AH12" ca="1">_xlfn.IFNA(INDEX(jkm_call_put!$H:$H,MATCH($B12&amp;AH$2&amp;$A$1,jkm_call_put!$G:$G&amp;jkm_call_put!$O:$O&amp;jkm_call_put!$F:$F,0),1),"")</f>
        <v/>
      </c>
      <c r="AI12" s="9" t="str" cm="1">
        <f t="array" aca="1" ref="AI12" ca="1">_xlfn.IFNA(INDEX(jkm_call_put!$H:$H,MATCH($B12&amp;AI$2&amp;$A$1,jkm_call_put!$G:$G&amp;jkm_call_put!$O:$O&amp;jkm_call_put!$F:$F,0),1),"")</f>
        <v/>
      </c>
      <c r="AJ12" s="9" t="str" cm="1">
        <f t="array" aca="1" ref="AJ12" ca="1">_xlfn.IFNA(INDEX(jkm_call_put!$H:$H,MATCH($B12&amp;AJ$2&amp;$A$1,jkm_call_put!$G:$G&amp;jkm_call_put!$O:$O&amp;jkm_call_put!$F:$F,0),1),"")</f>
        <v/>
      </c>
      <c r="AK12" s="9" t="str" cm="1">
        <f t="array" aca="1" ref="AK12" ca="1">_xlfn.IFNA(INDEX(jkm_call_put!$H:$H,MATCH($B12&amp;AK$2&amp;$A$1,jkm_call_put!$G:$G&amp;jkm_call_put!$O:$O&amp;jkm_call_put!$F:$F,0),1),"")</f>
        <v/>
      </c>
      <c r="AL12" s="9" t="str" cm="1">
        <f t="array" aca="1" ref="AL12" ca="1">_xlfn.IFNA(INDEX(jkm_call_put!$H:$H,MATCH($B12&amp;AL$2&amp;$A$1,jkm_call_put!$G:$G&amp;jkm_call_put!$O:$O&amp;jkm_call_put!$F:$F,0),1),"")</f>
        <v/>
      </c>
    </row>
    <row r="13" spans="1:39" ht="15" customHeight="1" x14ac:dyDescent="0.25">
      <c r="A13" s="11"/>
      <c r="B13" s="6">
        <v>10</v>
      </c>
      <c r="C13" s="9" cm="1">
        <f t="array" aca="1" ref="C13" ca="1">_xlfn.IFNA(INDEX(jkm_call_put!$H:$H,MATCH($B13&amp;C$2&amp;$A$1,jkm_call_put!$G:$G&amp;jkm_call_put!$O:$O&amp;jkm_call_put!$F:$F,0),1),"")</f>
        <v>9.4139999999999997</v>
      </c>
      <c r="D13" s="9" cm="1">
        <f t="array" aca="1" ref="D13" ca="1">_xlfn.IFNA(INDEX(jkm_call_put!$H:$H,MATCH($B13&amp;D$2&amp;$A$1,jkm_call_put!$G:$G&amp;jkm_call_put!$O:$O&amp;jkm_call_put!$F:$F,0),1),"")</f>
        <v>8.8610000000000007</v>
      </c>
      <c r="E13" s="9" cm="1">
        <f t="array" aca="1" ref="E13" ca="1">_xlfn.IFNA(INDEX(jkm_call_put!$H:$H,MATCH($B13&amp;E$2&amp;$A$1,jkm_call_put!$G:$G&amp;jkm_call_put!$O:$O&amp;jkm_call_put!$F:$F,0),1),"")</f>
        <v>8.6129999999999995</v>
      </c>
      <c r="F13" s="9" cm="1">
        <f t="array" aca="1" ref="F13" ca="1">_xlfn.IFNA(INDEX(jkm_call_put!$H:$H,MATCH($B13&amp;F$2&amp;$A$1,jkm_call_put!$G:$G&amp;jkm_call_put!$O:$O&amp;jkm_call_put!$F:$F,0),1),"")</f>
        <v>8.3420000000000005</v>
      </c>
      <c r="G13" s="9" cm="1">
        <f t="array" aca="1" ref="G13" ca="1">_xlfn.IFNA(INDEX(jkm_call_put!$H:$H,MATCH($B13&amp;G$2&amp;$A$1,jkm_call_put!$G:$G&amp;jkm_call_put!$O:$O&amp;jkm_call_put!$F:$F,0),1),"")</f>
        <v>8.2260000000000009</v>
      </c>
      <c r="H13" s="9" cm="1">
        <f t="array" aca="1" ref="H13" ca="1">_xlfn.IFNA(INDEX(jkm_call_put!$H:$H,MATCH($B13&amp;H$2&amp;$A$1,jkm_call_put!$G:$G&amp;jkm_call_put!$O:$O&amp;jkm_call_put!$F:$F,0),1),"")</f>
        <v>7.5679999999999996</v>
      </c>
      <c r="I13" s="9" cm="1">
        <f t="array" aca="1" ref="I13" ca="1">_xlfn.IFNA(INDEX(jkm_call_put!$H:$H,MATCH($B13&amp;I$2&amp;$A$1,jkm_call_put!$G:$G&amp;jkm_call_put!$O:$O&amp;jkm_call_put!$F:$F,0),1),"")</f>
        <v>7.6159999999999997</v>
      </c>
      <c r="J13" s="9" cm="1">
        <f t="array" aca="1" ref="J13" ca="1">_xlfn.IFNA(INDEX(jkm_call_put!$H:$H,MATCH($B13&amp;J$2&amp;$A$1,jkm_call_put!$G:$G&amp;jkm_call_put!$O:$O&amp;jkm_call_put!$F:$F,0),1),"")</f>
        <v>7.859</v>
      </c>
      <c r="K13" s="9" cm="1">
        <f t="array" aca="1" ref="K13" ca="1">_xlfn.IFNA(INDEX(jkm_call_put!$H:$H,MATCH($B13&amp;K$2&amp;$A$1,jkm_call_put!$G:$G&amp;jkm_call_put!$O:$O&amp;jkm_call_put!$F:$F,0),1),"")</f>
        <v>7.8689999999999998</v>
      </c>
      <c r="L13" s="9" cm="1">
        <f t="array" aca="1" ref="L13" ca="1">_xlfn.IFNA(INDEX(jkm_call_put!$H:$H,MATCH($B13&amp;L$2&amp;$A$1,jkm_call_put!$G:$G&amp;jkm_call_put!$O:$O&amp;jkm_call_put!$F:$F,0),1),"")</f>
        <v>7.6909999999999998</v>
      </c>
      <c r="M13" s="9" cm="1">
        <f t="array" aca="1" ref="M13" ca="1">_xlfn.IFNA(INDEX(jkm_call_put!$H:$H,MATCH($B13&amp;M$2&amp;$A$1,jkm_call_put!$G:$G&amp;jkm_call_put!$O:$O&amp;jkm_call_put!$F:$F,0),1),"")</f>
        <v>6.6440000000000001</v>
      </c>
      <c r="N13" s="9" cm="1">
        <f t="array" aca="1" ref="N13" ca="1">_xlfn.IFNA(INDEX(jkm_call_put!$H:$H,MATCH($B13&amp;N$2&amp;$A$1,jkm_call_put!$G:$G&amp;jkm_call_put!$O:$O&amp;jkm_call_put!$F:$F,0),1),"")</f>
        <v>4.6740000000000004</v>
      </c>
      <c r="O13" s="9" cm="1">
        <f t="array" aca="1" ref="O13" ca="1">_xlfn.IFNA(INDEX(jkm_call_put!$H:$H,MATCH($B13&amp;O$2&amp;$A$1,jkm_call_put!$G:$G&amp;jkm_call_put!$O:$O&amp;jkm_call_put!$F:$F,0),1),"")</f>
        <v>3.9449999999999998</v>
      </c>
      <c r="P13" s="9" cm="1">
        <f t="array" aca="1" ref="P13" ca="1">_xlfn.IFNA(INDEX(jkm_call_put!$H:$H,MATCH($B13&amp;P$2&amp;$A$1,jkm_call_put!$G:$G&amp;jkm_call_put!$O:$O&amp;jkm_call_put!$F:$F,0),1),"")</f>
        <v>3.762</v>
      </c>
      <c r="Q13" s="9" cm="1">
        <f t="array" aca="1" ref="Q13" ca="1">_xlfn.IFNA(INDEX(jkm_call_put!$H:$H,MATCH($B13&amp;Q$2&amp;$A$1,jkm_call_put!$G:$G&amp;jkm_call_put!$O:$O&amp;jkm_call_put!$F:$F,0),1),"")</f>
        <v>3.8170000000000002</v>
      </c>
      <c r="R13" s="9" cm="1">
        <f t="array" aca="1" ref="R13" ca="1">_xlfn.IFNA(INDEX(jkm_call_put!$H:$H,MATCH($B13&amp;R$2&amp;$A$1,jkm_call_put!$G:$G&amp;jkm_call_put!$O:$O&amp;jkm_call_put!$F:$F,0),1),"")</f>
        <v>4.0110000000000001</v>
      </c>
      <c r="S13" s="9" cm="1">
        <f t="array" aca="1" ref="S13" ca="1">_xlfn.IFNA(INDEX(jkm_call_put!$H:$H,MATCH($B13&amp;S$2&amp;$A$1,jkm_call_put!$G:$G&amp;jkm_call_put!$O:$O&amp;jkm_call_put!$F:$F,0),1),"")</f>
        <v>3.8980000000000001</v>
      </c>
      <c r="T13" s="9" cm="1">
        <f t="array" aca="1" ref="T13" ca="1">_xlfn.IFNA(INDEX(jkm_call_put!$H:$H,MATCH($B13&amp;T$2&amp;$A$1,jkm_call_put!$G:$G&amp;jkm_call_put!$O:$O&amp;jkm_call_put!$F:$F,0),1),"")</f>
        <v>3.2669999999999999</v>
      </c>
      <c r="U13" s="9" cm="1">
        <f t="array" aca="1" ref="U13" ca="1">_xlfn.IFNA(INDEX(jkm_call_put!$H:$H,MATCH($B13&amp;U$2&amp;$A$1,jkm_call_put!$G:$G&amp;jkm_call_put!$O:$O&amp;jkm_call_put!$F:$F,0),1),"")</f>
        <v>3.39</v>
      </c>
      <c r="V13" s="9" cm="1">
        <f t="array" aca="1" ref="V13" ca="1">_xlfn.IFNA(INDEX(jkm_call_put!$H:$H,MATCH($B13&amp;V$2&amp;$A$1,jkm_call_put!$G:$G&amp;jkm_call_put!$O:$O&amp;jkm_call_put!$F:$F,0),1),"")</f>
        <v>3.6890000000000001</v>
      </c>
      <c r="W13" s="9" cm="1">
        <f t="array" aca="1" ref="W13" ca="1">_xlfn.IFNA(INDEX(jkm_call_put!$H:$H,MATCH($B13&amp;W$2&amp;$A$1,jkm_call_put!$G:$G&amp;jkm_call_put!$O:$O&amp;jkm_call_put!$F:$F,0),1),"")</f>
        <v>3.484</v>
      </c>
      <c r="X13" s="9" cm="1">
        <f t="array" aca="1" ref="X13" ca="1">_xlfn.IFNA(INDEX(jkm_call_put!$H:$H,MATCH($B13&amp;X$2&amp;$A$1,jkm_call_put!$G:$G&amp;jkm_call_put!$O:$O&amp;jkm_call_put!$F:$F,0),1),"")</f>
        <v>3.536</v>
      </c>
      <c r="Y13" s="9" cm="1">
        <f t="array" aca="1" ref="Y13" ca="1">_xlfn.IFNA(INDEX(jkm_call_put!$H:$H,MATCH($B13&amp;Y$2&amp;$A$1,jkm_call_put!$G:$G&amp;jkm_call_put!$O:$O&amp;jkm_call_put!$F:$F,0),1),"")</f>
        <v>3.202</v>
      </c>
      <c r="Z13" s="9" cm="1">
        <f t="array" aca="1" ref="Z13" ca="1">_xlfn.IFNA(INDEX(jkm_call_put!$H:$H,MATCH($B13&amp;Z$2&amp;$A$1,jkm_call_put!$G:$G&amp;jkm_call_put!$O:$O&amp;jkm_call_put!$F:$F,0),1),"")</f>
        <v>1.3049999999999999</v>
      </c>
      <c r="AA13" s="9" cm="1">
        <f t="array" aca="1" ref="AA13" ca="1">_xlfn.IFNA(INDEX(jkm_call_put!$H:$H,MATCH($B13&amp;AA$2&amp;$A$1,jkm_call_put!$G:$G&amp;jkm_call_put!$O:$O&amp;jkm_call_put!$F:$F,0),1),"")</f>
        <v>1.1970000000000001</v>
      </c>
      <c r="AB13" s="9" cm="1">
        <f t="array" aca="1" ref="AB13" ca="1">_xlfn.IFNA(INDEX(jkm_call_put!$H:$H,MATCH($B13&amp;AB$2&amp;$A$1,jkm_call_put!$G:$G&amp;jkm_call_put!$O:$O&amp;jkm_call_put!$F:$F,0),1),"")</f>
        <v>1.1819999999999999</v>
      </c>
      <c r="AC13" s="9" cm="1">
        <f t="array" aca="1" ref="AC13" ca="1">_xlfn.IFNA(INDEX(jkm_call_put!$H:$H,MATCH($B13&amp;AC$2&amp;$A$1,jkm_call_put!$G:$G&amp;jkm_call_put!$O:$O&amp;jkm_call_put!$F:$F,0),1),"")</f>
        <v>1.23</v>
      </c>
      <c r="AD13" s="9" cm="1">
        <f t="array" aca="1" ref="AD13" ca="1">_xlfn.IFNA(INDEX(jkm_call_put!$H:$H,MATCH($B13&amp;AD$2&amp;$A$1,jkm_call_put!$G:$G&amp;jkm_call_put!$O:$O&amp;jkm_call_put!$F:$F,0),1),"")</f>
        <v>1.264</v>
      </c>
      <c r="AE13" s="9" cm="1">
        <f t="array" aca="1" ref="AE13" ca="1">_xlfn.IFNA(INDEX(jkm_call_put!$H:$H,MATCH($B13&amp;AE$2&amp;$A$1,jkm_call_put!$G:$G&amp;jkm_call_put!$O:$O&amp;jkm_call_put!$F:$F,0),1),"")</f>
        <v>1.321</v>
      </c>
      <c r="AF13" s="9" cm="1">
        <f t="array" aca="1" ref="AF13" ca="1">_xlfn.IFNA(INDEX(jkm_call_put!$H:$H,MATCH($B13&amp;AF$2&amp;$A$1,jkm_call_put!$G:$G&amp;jkm_call_put!$O:$O&amp;jkm_call_put!$F:$F,0),1),"")</f>
        <v>1.669</v>
      </c>
      <c r="AG13" s="9" cm="1">
        <f t="array" aca="1" ref="AG13" ca="1">_xlfn.IFNA(INDEX(jkm_call_put!$H:$H,MATCH($B13&amp;AG$2&amp;$A$1,jkm_call_put!$G:$G&amp;jkm_call_put!$O:$O&amp;jkm_call_put!$F:$F,0),1),"")</f>
        <v>1.7909999999999999</v>
      </c>
      <c r="AH13" s="9" cm="1">
        <f t="array" aca="1" ref="AH13" ca="1">_xlfn.IFNA(INDEX(jkm_call_put!$H:$H,MATCH($B13&amp;AH$2&amp;$A$1,jkm_call_put!$G:$G&amp;jkm_call_put!$O:$O&amp;jkm_call_put!$F:$F,0),1),"")</f>
        <v>1.8919999999999999</v>
      </c>
      <c r="AI13" s="9" cm="1">
        <f t="array" aca="1" ref="AI13" ca="1">_xlfn.IFNA(INDEX(jkm_call_put!$H:$H,MATCH($B13&amp;AI$2&amp;$A$1,jkm_call_put!$G:$G&amp;jkm_call_put!$O:$O&amp;jkm_call_put!$F:$F,0),1),"")</f>
        <v>1.99</v>
      </c>
      <c r="AJ13" s="9" cm="1">
        <f t="array" aca="1" ref="AJ13" ca="1">_xlfn.IFNA(INDEX(jkm_call_put!$H:$H,MATCH($B13&amp;AJ$2&amp;$A$1,jkm_call_put!$G:$G&amp;jkm_call_put!$O:$O&amp;jkm_call_put!$F:$F,0),1),"")</f>
        <v>2.0430000000000001</v>
      </c>
      <c r="AK13" s="9" cm="1">
        <f t="array" aca="1" ref="AK13" ca="1">_xlfn.IFNA(INDEX(jkm_call_put!$H:$H,MATCH($B13&amp;AK$2&amp;$A$1,jkm_call_put!$G:$G&amp;jkm_call_put!$O:$O&amp;jkm_call_put!$F:$F,0),1),"")</f>
        <v>2.032</v>
      </c>
      <c r="AL13" s="9" cm="1">
        <f t="array" aca="1" ref="AL13" ca="1">_xlfn.IFNA(INDEX(jkm_call_put!$H:$H,MATCH($B13&amp;AL$2&amp;$A$1,jkm_call_put!$G:$G&amp;jkm_call_put!$O:$O&amp;jkm_call_put!$F:$F,0),1),"")</f>
        <v>1.5269999999999999</v>
      </c>
    </row>
    <row r="14" spans="1:39" ht="15" customHeight="1" x14ac:dyDescent="0.25">
      <c r="A14" s="11"/>
      <c r="B14" s="6">
        <v>10.5</v>
      </c>
      <c r="C14" s="9" t="str" cm="1">
        <f t="array" aca="1" ref="C14" ca="1">_xlfn.IFNA(INDEX(jkm_call_put!$H:$H,MATCH($B14&amp;C$2&amp;$A$1,jkm_call_put!$G:$G&amp;jkm_call_put!$O:$O&amp;jkm_call_put!$F:$F,0),1),"")</f>
        <v/>
      </c>
      <c r="D14" s="9" t="str" cm="1">
        <f t="array" aca="1" ref="D14" ca="1">_xlfn.IFNA(INDEX(jkm_call_put!$H:$H,MATCH($B14&amp;D$2&amp;$A$1,jkm_call_put!$G:$G&amp;jkm_call_put!$O:$O&amp;jkm_call_put!$F:$F,0),1),"")</f>
        <v/>
      </c>
      <c r="E14" s="9" t="str" cm="1">
        <f t="array" aca="1" ref="E14" ca="1">_xlfn.IFNA(INDEX(jkm_call_put!$H:$H,MATCH($B14&amp;E$2&amp;$A$1,jkm_call_put!$G:$G&amp;jkm_call_put!$O:$O&amp;jkm_call_put!$F:$F,0),1),"")</f>
        <v/>
      </c>
      <c r="F14" s="9" t="str" cm="1">
        <f t="array" aca="1" ref="F14" ca="1">_xlfn.IFNA(INDEX(jkm_call_put!$H:$H,MATCH($B14&amp;F$2&amp;$A$1,jkm_call_put!$G:$G&amp;jkm_call_put!$O:$O&amp;jkm_call_put!$F:$F,0),1),"")</f>
        <v/>
      </c>
      <c r="G14" s="9" t="str" cm="1">
        <f t="array" aca="1" ref="G14" ca="1">_xlfn.IFNA(INDEX(jkm_call_put!$H:$H,MATCH($B14&amp;G$2&amp;$A$1,jkm_call_put!$G:$G&amp;jkm_call_put!$O:$O&amp;jkm_call_put!$F:$F,0),1),"")</f>
        <v/>
      </c>
      <c r="H14" s="9" cm="1">
        <f t="array" aca="1" ref="H14" ca="1">_xlfn.IFNA(INDEX(jkm_call_put!$H:$H,MATCH($B14&amp;H$2&amp;$A$1,jkm_call_put!$G:$G&amp;jkm_call_put!$O:$O&amp;jkm_call_put!$F:$F,0),1),"")</f>
        <v>7.1509999999999998</v>
      </c>
      <c r="I14" s="9" cm="1">
        <f t="array" aca="1" ref="I14" ca="1">_xlfn.IFNA(INDEX(jkm_call_put!$H:$H,MATCH($B14&amp;I$2&amp;$A$1,jkm_call_put!$G:$G&amp;jkm_call_put!$O:$O&amp;jkm_call_put!$F:$F,0),1),"")</f>
        <v>7.2160000000000002</v>
      </c>
      <c r="J14" s="9" cm="1">
        <f t="array" aca="1" ref="J14" ca="1">_xlfn.IFNA(INDEX(jkm_call_put!$H:$H,MATCH($B14&amp;J$2&amp;$A$1,jkm_call_put!$G:$G&amp;jkm_call_put!$O:$O&amp;jkm_call_put!$F:$F,0),1),"")</f>
        <v>7.4690000000000003</v>
      </c>
      <c r="K14" s="9" cm="1">
        <f t="array" aca="1" ref="K14" ca="1">_xlfn.IFNA(INDEX(jkm_call_put!$H:$H,MATCH($B14&amp;K$2&amp;$A$1,jkm_call_put!$G:$G&amp;jkm_call_put!$O:$O&amp;jkm_call_put!$F:$F,0),1),"")</f>
        <v>7.4930000000000003</v>
      </c>
      <c r="L14" s="9" cm="1">
        <f t="array" aca="1" ref="L14" ca="1">_xlfn.IFNA(INDEX(jkm_call_put!$H:$H,MATCH($B14&amp;L$2&amp;$A$1,jkm_call_put!$G:$G&amp;jkm_call_put!$O:$O&amp;jkm_call_put!$F:$F,0),1),"")</f>
        <v>7.3319999999999999</v>
      </c>
      <c r="M14" s="9" cm="1">
        <f t="array" aca="1" ref="M14" ca="1">_xlfn.IFNA(INDEX(jkm_call_put!$H:$H,MATCH($B14&amp;M$2&amp;$A$1,jkm_call_put!$G:$G&amp;jkm_call_put!$O:$O&amp;jkm_call_put!$F:$F,0),1),"")</f>
        <v>6.319</v>
      </c>
      <c r="N14" s="9" cm="1">
        <f t="array" aca="1" ref="N14" ca="1">_xlfn.IFNA(INDEX(jkm_call_put!$H:$H,MATCH($B14&amp;N$2&amp;$A$1,jkm_call_put!$G:$G&amp;jkm_call_put!$O:$O&amp;jkm_call_put!$F:$F,0),1),"")</f>
        <v>4.3460000000000001</v>
      </c>
      <c r="O14" s="9" cm="1">
        <f t="array" aca="1" ref="O14" ca="1">_xlfn.IFNA(INDEX(jkm_call_put!$H:$H,MATCH($B14&amp;O$2&amp;$A$1,jkm_call_put!$G:$G&amp;jkm_call_put!$O:$O&amp;jkm_call_put!$F:$F,0),1),"")</f>
        <v>3.6520000000000001</v>
      </c>
      <c r="P14" s="9" cm="1">
        <f t="array" aca="1" ref="P14" ca="1">_xlfn.IFNA(INDEX(jkm_call_put!$H:$H,MATCH($B14&amp;P$2&amp;$A$1,jkm_call_put!$G:$G&amp;jkm_call_put!$O:$O&amp;jkm_call_put!$F:$F,0),1),"")</f>
        <v>3.484</v>
      </c>
      <c r="Q14" s="9" cm="1">
        <f t="array" aca="1" ref="Q14" ca="1">_xlfn.IFNA(INDEX(jkm_call_put!$H:$H,MATCH($B14&amp;Q$2&amp;$A$1,jkm_call_put!$G:$G&amp;jkm_call_put!$O:$O&amp;jkm_call_put!$F:$F,0),1),"")</f>
        <v>3.5449999999999999</v>
      </c>
      <c r="R14" s="9" cm="1">
        <f t="array" aca="1" ref="R14" ca="1">_xlfn.IFNA(INDEX(jkm_call_put!$H:$H,MATCH($B14&amp;R$2&amp;$A$1,jkm_call_put!$G:$G&amp;jkm_call_put!$O:$O&amp;jkm_call_put!$F:$F,0),1),"")</f>
        <v>3.738</v>
      </c>
      <c r="S14" s="9" cm="1">
        <f t="array" aca="1" ref="S14" ca="1">_xlfn.IFNA(INDEX(jkm_call_put!$H:$H,MATCH($B14&amp;S$2&amp;$A$1,jkm_call_put!$G:$G&amp;jkm_call_put!$O:$O&amp;jkm_call_put!$F:$F,0),1),"")</f>
        <v>3.6360000000000001</v>
      </c>
      <c r="T14" s="9" t="str" cm="1">
        <f t="array" aca="1" ref="T14" ca="1">_xlfn.IFNA(INDEX(jkm_call_put!$H:$H,MATCH($B14&amp;T$2&amp;$A$1,jkm_call_put!$G:$G&amp;jkm_call_put!$O:$O&amp;jkm_call_put!$F:$F,0),1),"")</f>
        <v/>
      </c>
      <c r="U14" s="9" t="str" cm="1">
        <f t="array" aca="1" ref="U14" ca="1">_xlfn.IFNA(INDEX(jkm_call_put!$H:$H,MATCH($B14&amp;U$2&amp;$A$1,jkm_call_put!$G:$G&amp;jkm_call_put!$O:$O&amp;jkm_call_put!$F:$F,0),1),"")</f>
        <v/>
      </c>
      <c r="V14" s="9" t="str" cm="1">
        <f t="array" aca="1" ref="V14" ca="1">_xlfn.IFNA(INDEX(jkm_call_put!$H:$H,MATCH($B14&amp;V$2&amp;$A$1,jkm_call_put!$G:$G&amp;jkm_call_put!$O:$O&amp;jkm_call_put!$F:$F,0),1),"")</f>
        <v/>
      </c>
      <c r="W14" s="9" t="str" cm="1">
        <f t="array" aca="1" ref="W14" ca="1">_xlfn.IFNA(INDEX(jkm_call_put!$H:$H,MATCH($B14&amp;W$2&amp;$A$1,jkm_call_put!$G:$G&amp;jkm_call_put!$O:$O&amp;jkm_call_put!$F:$F,0),1),"")</f>
        <v/>
      </c>
      <c r="X14" s="9" t="str" cm="1">
        <f t="array" aca="1" ref="X14" ca="1">_xlfn.IFNA(INDEX(jkm_call_put!$H:$H,MATCH($B14&amp;X$2&amp;$A$1,jkm_call_put!$G:$G&amp;jkm_call_put!$O:$O&amp;jkm_call_put!$F:$F,0),1),"")</f>
        <v/>
      </c>
      <c r="Y14" s="9" t="str" cm="1">
        <f t="array" aca="1" ref="Y14" ca="1">_xlfn.IFNA(INDEX(jkm_call_put!$H:$H,MATCH($B14&amp;Y$2&amp;$A$1,jkm_call_put!$G:$G&amp;jkm_call_put!$O:$O&amp;jkm_call_put!$F:$F,0),1),"")</f>
        <v/>
      </c>
      <c r="Z14" s="9" t="str" cm="1">
        <f t="array" aca="1" ref="Z14" ca="1">_xlfn.IFNA(INDEX(jkm_call_put!$H:$H,MATCH($B14&amp;Z$2&amp;$A$1,jkm_call_put!$G:$G&amp;jkm_call_put!$O:$O&amp;jkm_call_put!$F:$F,0),1),"")</f>
        <v/>
      </c>
      <c r="AA14" s="9" t="str" cm="1">
        <f t="array" aca="1" ref="AA14" ca="1">_xlfn.IFNA(INDEX(jkm_call_put!$H:$H,MATCH($B14&amp;AA$2&amp;$A$1,jkm_call_put!$G:$G&amp;jkm_call_put!$O:$O&amp;jkm_call_put!$F:$F,0),1),"")</f>
        <v/>
      </c>
      <c r="AB14" s="9" t="str" cm="1">
        <f t="array" aca="1" ref="AB14" ca="1">_xlfn.IFNA(INDEX(jkm_call_put!$H:$H,MATCH($B14&amp;AB$2&amp;$A$1,jkm_call_put!$G:$G&amp;jkm_call_put!$O:$O&amp;jkm_call_put!$F:$F,0),1),"")</f>
        <v/>
      </c>
      <c r="AC14" s="9" t="str" cm="1">
        <f t="array" aca="1" ref="AC14" ca="1">_xlfn.IFNA(INDEX(jkm_call_put!$H:$H,MATCH($B14&amp;AC$2&amp;$A$1,jkm_call_put!$G:$G&amp;jkm_call_put!$O:$O&amp;jkm_call_put!$F:$F,0),1),"")</f>
        <v/>
      </c>
      <c r="AD14" s="9" t="str" cm="1">
        <f t="array" aca="1" ref="AD14" ca="1">_xlfn.IFNA(INDEX(jkm_call_put!$H:$H,MATCH($B14&amp;AD$2&amp;$A$1,jkm_call_put!$G:$G&amp;jkm_call_put!$O:$O&amp;jkm_call_put!$F:$F,0),1),"")</f>
        <v/>
      </c>
      <c r="AE14" s="9" t="str" cm="1">
        <f t="array" aca="1" ref="AE14" ca="1">_xlfn.IFNA(INDEX(jkm_call_put!$H:$H,MATCH($B14&amp;AE$2&amp;$A$1,jkm_call_put!$G:$G&amp;jkm_call_put!$O:$O&amp;jkm_call_put!$F:$F,0),1),"")</f>
        <v/>
      </c>
      <c r="AF14" s="9" t="str" cm="1">
        <f t="array" aca="1" ref="AF14" ca="1">_xlfn.IFNA(INDEX(jkm_call_put!$H:$H,MATCH($B14&amp;AF$2&amp;$A$1,jkm_call_put!$G:$G&amp;jkm_call_put!$O:$O&amp;jkm_call_put!$F:$F,0),1),"")</f>
        <v/>
      </c>
      <c r="AG14" s="9" t="str" cm="1">
        <f t="array" aca="1" ref="AG14" ca="1">_xlfn.IFNA(INDEX(jkm_call_put!$H:$H,MATCH($B14&amp;AG$2&amp;$A$1,jkm_call_put!$G:$G&amp;jkm_call_put!$O:$O&amp;jkm_call_put!$F:$F,0),1),"")</f>
        <v/>
      </c>
      <c r="AH14" s="9" t="str" cm="1">
        <f t="array" aca="1" ref="AH14" ca="1">_xlfn.IFNA(INDEX(jkm_call_put!$H:$H,MATCH($B14&amp;AH$2&amp;$A$1,jkm_call_put!$G:$G&amp;jkm_call_put!$O:$O&amp;jkm_call_put!$F:$F,0),1),"")</f>
        <v/>
      </c>
      <c r="AI14" s="9" t="str" cm="1">
        <f t="array" aca="1" ref="AI14" ca="1">_xlfn.IFNA(INDEX(jkm_call_put!$H:$H,MATCH($B14&amp;AI$2&amp;$A$1,jkm_call_put!$G:$G&amp;jkm_call_put!$O:$O&amp;jkm_call_put!$F:$F,0),1),"")</f>
        <v/>
      </c>
      <c r="AJ14" s="9" t="str" cm="1">
        <f t="array" aca="1" ref="AJ14" ca="1">_xlfn.IFNA(INDEX(jkm_call_put!$H:$H,MATCH($B14&amp;AJ$2&amp;$A$1,jkm_call_put!$G:$G&amp;jkm_call_put!$O:$O&amp;jkm_call_put!$F:$F,0),1),"")</f>
        <v/>
      </c>
      <c r="AK14" s="9" t="str" cm="1">
        <f t="array" aca="1" ref="AK14" ca="1">_xlfn.IFNA(INDEX(jkm_call_put!$H:$H,MATCH($B14&amp;AK$2&amp;$A$1,jkm_call_put!$G:$G&amp;jkm_call_put!$O:$O&amp;jkm_call_put!$F:$F,0),1),"")</f>
        <v/>
      </c>
      <c r="AL14" s="9" t="str" cm="1">
        <f t="array" aca="1" ref="AL14" ca="1">_xlfn.IFNA(INDEX(jkm_call_put!$H:$H,MATCH($B14&amp;AL$2&amp;$A$1,jkm_call_put!$G:$G&amp;jkm_call_put!$O:$O&amp;jkm_call_put!$F:$F,0),1),"")</f>
        <v/>
      </c>
    </row>
    <row r="15" spans="1:39" ht="15" customHeight="1" x14ac:dyDescent="0.25">
      <c r="A15" s="11"/>
      <c r="B15" s="6">
        <v>11</v>
      </c>
      <c r="C15" s="9" t="str" cm="1">
        <f t="array" aca="1" ref="C15" ca="1">_xlfn.IFNA(INDEX(jkm_call_put!$H:$H,MATCH($B15&amp;C$2&amp;$A$1,jkm_call_put!$G:$G&amp;jkm_call_put!$O:$O&amp;jkm_call_put!$F:$F,0),1),"")</f>
        <v/>
      </c>
      <c r="D15" s="9" t="str" cm="1">
        <f t="array" aca="1" ref="D15" ca="1">_xlfn.IFNA(INDEX(jkm_call_put!$H:$H,MATCH($B15&amp;D$2&amp;$A$1,jkm_call_put!$G:$G&amp;jkm_call_put!$O:$O&amp;jkm_call_put!$F:$F,0),1),"")</f>
        <v/>
      </c>
      <c r="E15" s="9" t="str" cm="1">
        <f t="array" aca="1" ref="E15" ca="1">_xlfn.IFNA(INDEX(jkm_call_put!$H:$H,MATCH($B15&amp;E$2&amp;$A$1,jkm_call_put!$G:$G&amp;jkm_call_put!$O:$O&amp;jkm_call_put!$F:$F,0),1),"")</f>
        <v/>
      </c>
      <c r="F15" s="9" t="str" cm="1">
        <f t="array" aca="1" ref="F15" ca="1">_xlfn.IFNA(INDEX(jkm_call_put!$H:$H,MATCH($B15&amp;F$2&amp;$A$1,jkm_call_put!$G:$G&amp;jkm_call_put!$O:$O&amp;jkm_call_put!$F:$F,0),1),"")</f>
        <v/>
      </c>
      <c r="G15" s="9" t="str" cm="1">
        <f t="array" aca="1" ref="G15" ca="1">_xlfn.IFNA(INDEX(jkm_call_put!$H:$H,MATCH($B15&amp;G$2&amp;$A$1,jkm_call_put!$G:$G&amp;jkm_call_put!$O:$O&amp;jkm_call_put!$F:$F,0),1),"")</f>
        <v/>
      </c>
      <c r="H15" s="9" cm="1">
        <f t="array" aca="1" ref="H15" ca="1">_xlfn.IFNA(INDEX(jkm_call_put!$H:$H,MATCH($B15&amp;H$2&amp;$A$1,jkm_call_put!$G:$G&amp;jkm_call_put!$O:$O&amp;jkm_call_put!$F:$F,0),1),"")</f>
        <v>6.7480000000000002</v>
      </c>
      <c r="I15" s="9" cm="1">
        <f t="array" aca="1" ref="I15" ca="1">_xlfn.IFNA(INDEX(jkm_call_put!$H:$H,MATCH($B15&amp;I$2&amp;$A$1,jkm_call_put!$G:$G&amp;jkm_call_put!$O:$O&amp;jkm_call_put!$F:$F,0),1),"")</f>
        <v>6.8289999999999997</v>
      </c>
      <c r="J15" s="9" cm="1">
        <f t="array" aca="1" ref="J15" ca="1">_xlfn.IFNA(INDEX(jkm_call_put!$H:$H,MATCH($B15&amp;J$2&amp;$A$1,jkm_call_put!$G:$G&amp;jkm_call_put!$O:$O&amp;jkm_call_put!$F:$F,0),1),"")</f>
        <v>7.093</v>
      </c>
      <c r="K15" s="9" cm="1">
        <f t="array" aca="1" ref="K15" ca="1">_xlfn.IFNA(INDEX(jkm_call_put!$H:$H,MATCH($B15&amp;K$2&amp;$A$1,jkm_call_put!$G:$G&amp;jkm_call_put!$O:$O&amp;jkm_call_put!$F:$F,0),1),"")</f>
        <v>7.1319999999999997</v>
      </c>
      <c r="L15" s="9" t="str" cm="1">
        <f t="array" aca="1" ref="L15" ca="1">_xlfn.IFNA(INDEX(jkm_call_put!$H:$H,MATCH($B15&amp;L$2&amp;$A$1,jkm_call_put!$G:$G&amp;jkm_call_put!$O:$O&amp;jkm_call_put!$F:$F,0),1),"")</f>
        <v/>
      </c>
      <c r="M15" s="9" t="str" cm="1">
        <f t="array" aca="1" ref="M15" ca="1">_xlfn.IFNA(INDEX(jkm_call_put!$H:$H,MATCH($B15&amp;M$2&amp;$A$1,jkm_call_put!$G:$G&amp;jkm_call_put!$O:$O&amp;jkm_call_put!$F:$F,0),1),"")</f>
        <v/>
      </c>
      <c r="N15" s="9" cm="1">
        <f t="array" aca="1" ref="N15" ca="1">_xlfn.IFNA(INDEX(jkm_call_put!$H:$H,MATCH($B15&amp;N$2&amp;$A$1,jkm_call_put!$G:$G&amp;jkm_call_put!$O:$O&amp;jkm_call_put!$F:$F,0),1),"")</f>
        <v>4.0359999999999996</v>
      </c>
      <c r="O15" s="9" cm="1">
        <f t="array" aca="1" ref="O15" ca="1">_xlfn.IFNA(INDEX(jkm_call_put!$H:$H,MATCH($B15&amp;O$2&amp;$A$1,jkm_call_put!$G:$G&amp;jkm_call_put!$O:$O&amp;jkm_call_put!$F:$F,0),1),"")</f>
        <v>3.3780000000000001</v>
      </c>
      <c r="P15" s="9" cm="1">
        <f t="array" aca="1" ref="P15" ca="1">_xlfn.IFNA(INDEX(jkm_call_put!$H:$H,MATCH($B15&amp;P$2&amp;$A$1,jkm_call_put!$G:$G&amp;jkm_call_put!$O:$O&amp;jkm_call_put!$F:$F,0),1),"")</f>
        <v>3.2250000000000001</v>
      </c>
      <c r="Q15" s="9" cm="1">
        <f t="array" aca="1" ref="Q15" ca="1">_xlfn.IFNA(INDEX(jkm_call_put!$H:$H,MATCH($B15&amp;Q$2&amp;$A$1,jkm_call_put!$G:$G&amp;jkm_call_put!$O:$O&amp;jkm_call_put!$F:$F,0),1),"")</f>
        <v>3.2909999999999999</v>
      </c>
      <c r="R15" s="9" cm="1">
        <f t="array" aca="1" ref="R15" ca="1">_xlfn.IFNA(INDEX(jkm_call_put!$H:$H,MATCH($B15&amp;R$2&amp;$A$1,jkm_call_put!$G:$G&amp;jkm_call_put!$O:$O&amp;jkm_call_put!$F:$F,0),1),"")</f>
        <v>3.4820000000000002</v>
      </c>
      <c r="S15" s="9" cm="1">
        <f t="array" aca="1" ref="S15" ca="1">_xlfn.IFNA(INDEX(jkm_call_put!$H:$H,MATCH($B15&amp;S$2&amp;$A$1,jkm_call_put!$G:$G&amp;jkm_call_put!$O:$O&amp;jkm_call_put!$F:$F,0),1),"")</f>
        <v>3.39</v>
      </c>
      <c r="T15" s="9" t="str" cm="1">
        <f t="array" aca="1" ref="T15" ca="1">_xlfn.IFNA(INDEX(jkm_call_put!$H:$H,MATCH($B15&amp;T$2&amp;$A$1,jkm_call_put!$G:$G&amp;jkm_call_put!$O:$O&amp;jkm_call_put!$F:$F,0),1),"")</f>
        <v/>
      </c>
      <c r="U15" s="9" t="str" cm="1">
        <f t="array" aca="1" ref="U15" ca="1">_xlfn.IFNA(INDEX(jkm_call_put!$H:$H,MATCH($B15&amp;U$2&amp;$A$1,jkm_call_put!$G:$G&amp;jkm_call_put!$O:$O&amp;jkm_call_put!$F:$F,0),1),"")</f>
        <v/>
      </c>
      <c r="V15" s="9" t="str" cm="1">
        <f t="array" aca="1" ref="V15" ca="1">_xlfn.IFNA(INDEX(jkm_call_put!$H:$H,MATCH($B15&amp;V$2&amp;$A$1,jkm_call_put!$G:$G&amp;jkm_call_put!$O:$O&amp;jkm_call_put!$F:$F,0),1),"")</f>
        <v/>
      </c>
      <c r="W15" s="9" t="str" cm="1">
        <f t="array" aca="1" ref="W15" ca="1">_xlfn.IFNA(INDEX(jkm_call_put!$H:$H,MATCH($B15&amp;W$2&amp;$A$1,jkm_call_put!$G:$G&amp;jkm_call_put!$O:$O&amp;jkm_call_put!$F:$F,0),1),"")</f>
        <v/>
      </c>
      <c r="X15" s="9" t="str" cm="1">
        <f t="array" aca="1" ref="X15" ca="1">_xlfn.IFNA(INDEX(jkm_call_put!$H:$H,MATCH($B15&amp;X$2&amp;$A$1,jkm_call_put!$G:$G&amp;jkm_call_put!$O:$O&amp;jkm_call_put!$F:$F,0),1),"")</f>
        <v/>
      </c>
      <c r="Y15" s="9" t="str" cm="1">
        <f t="array" aca="1" ref="Y15" ca="1">_xlfn.IFNA(INDEX(jkm_call_put!$H:$H,MATCH($B15&amp;Y$2&amp;$A$1,jkm_call_put!$G:$G&amp;jkm_call_put!$O:$O&amp;jkm_call_put!$F:$F,0),1),"")</f>
        <v/>
      </c>
      <c r="Z15" s="9" t="str" cm="1">
        <f t="array" aca="1" ref="Z15" ca="1">_xlfn.IFNA(INDEX(jkm_call_put!$H:$H,MATCH($B15&amp;Z$2&amp;$A$1,jkm_call_put!$G:$G&amp;jkm_call_put!$O:$O&amp;jkm_call_put!$F:$F,0),1),"")</f>
        <v/>
      </c>
      <c r="AA15" s="9" t="str" cm="1">
        <f t="array" aca="1" ref="AA15" ca="1">_xlfn.IFNA(INDEX(jkm_call_put!$H:$H,MATCH($B15&amp;AA$2&amp;$A$1,jkm_call_put!$G:$G&amp;jkm_call_put!$O:$O&amp;jkm_call_put!$F:$F,0),1),"")</f>
        <v/>
      </c>
      <c r="AB15" s="9" t="str" cm="1">
        <f t="array" aca="1" ref="AB15" ca="1">_xlfn.IFNA(INDEX(jkm_call_put!$H:$H,MATCH($B15&amp;AB$2&amp;$A$1,jkm_call_put!$G:$G&amp;jkm_call_put!$O:$O&amp;jkm_call_put!$F:$F,0),1),"")</f>
        <v/>
      </c>
      <c r="AC15" s="9" t="str" cm="1">
        <f t="array" aca="1" ref="AC15" ca="1">_xlfn.IFNA(INDEX(jkm_call_put!$H:$H,MATCH($B15&amp;AC$2&amp;$A$1,jkm_call_put!$G:$G&amp;jkm_call_put!$O:$O&amp;jkm_call_put!$F:$F,0),1),"")</f>
        <v/>
      </c>
      <c r="AD15" s="9" t="str" cm="1">
        <f t="array" aca="1" ref="AD15" ca="1">_xlfn.IFNA(INDEX(jkm_call_put!$H:$H,MATCH($B15&amp;AD$2&amp;$A$1,jkm_call_put!$G:$G&amp;jkm_call_put!$O:$O&amp;jkm_call_put!$F:$F,0),1),"")</f>
        <v/>
      </c>
      <c r="AE15" s="9" t="str" cm="1">
        <f t="array" aca="1" ref="AE15" ca="1">_xlfn.IFNA(INDEX(jkm_call_put!$H:$H,MATCH($B15&amp;AE$2&amp;$A$1,jkm_call_put!$G:$G&amp;jkm_call_put!$O:$O&amp;jkm_call_put!$F:$F,0),1),"")</f>
        <v/>
      </c>
      <c r="AF15" s="9" t="str" cm="1">
        <f t="array" aca="1" ref="AF15" ca="1">_xlfn.IFNA(INDEX(jkm_call_put!$H:$H,MATCH($B15&amp;AF$2&amp;$A$1,jkm_call_put!$G:$G&amp;jkm_call_put!$O:$O&amp;jkm_call_put!$F:$F,0),1),"")</f>
        <v/>
      </c>
      <c r="AG15" s="9" t="str" cm="1">
        <f t="array" aca="1" ref="AG15" ca="1">_xlfn.IFNA(INDEX(jkm_call_put!$H:$H,MATCH($B15&amp;AG$2&amp;$A$1,jkm_call_put!$G:$G&amp;jkm_call_put!$O:$O&amp;jkm_call_put!$F:$F,0),1),"")</f>
        <v/>
      </c>
      <c r="AH15" s="9" t="str" cm="1">
        <f t="array" aca="1" ref="AH15" ca="1">_xlfn.IFNA(INDEX(jkm_call_put!$H:$H,MATCH($B15&amp;AH$2&amp;$A$1,jkm_call_put!$G:$G&amp;jkm_call_put!$O:$O&amp;jkm_call_put!$F:$F,0),1),"")</f>
        <v/>
      </c>
      <c r="AI15" s="9" t="str" cm="1">
        <f t="array" aca="1" ref="AI15" ca="1">_xlfn.IFNA(INDEX(jkm_call_put!$H:$H,MATCH($B15&amp;AI$2&amp;$A$1,jkm_call_put!$G:$G&amp;jkm_call_put!$O:$O&amp;jkm_call_put!$F:$F,0),1),"")</f>
        <v/>
      </c>
      <c r="AJ15" s="9" t="str" cm="1">
        <f t="array" aca="1" ref="AJ15" ca="1">_xlfn.IFNA(INDEX(jkm_call_put!$H:$H,MATCH($B15&amp;AJ$2&amp;$A$1,jkm_call_put!$G:$G&amp;jkm_call_put!$O:$O&amp;jkm_call_put!$F:$F,0),1),"")</f>
        <v/>
      </c>
      <c r="AK15" s="9" t="str" cm="1">
        <f t="array" aca="1" ref="AK15" ca="1">_xlfn.IFNA(INDEX(jkm_call_put!$H:$H,MATCH($B15&amp;AK$2&amp;$A$1,jkm_call_put!$G:$G&amp;jkm_call_put!$O:$O&amp;jkm_call_put!$F:$F,0),1),"")</f>
        <v/>
      </c>
      <c r="AL15" s="9" t="str" cm="1">
        <f t="array" aca="1" ref="AL15" ca="1">_xlfn.IFNA(INDEX(jkm_call_put!$H:$H,MATCH($B15&amp;AL$2&amp;$A$1,jkm_call_put!$G:$G&amp;jkm_call_put!$O:$O&amp;jkm_call_put!$F:$F,0),1),"")</f>
        <v/>
      </c>
    </row>
    <row r="16" spans="1:39" ht="15" customHeight="1" x14ac:dyDescent="0.25">
      <c r="A16" s="11"/>
      <c r="B16" s="6">
        <v>11.5</v>
      </c>
      <c r="C16" s="9" cm="1">
        <f t="array" aca="1" ref="C16" ca="1">_xlfn.IFNA(INDEX(jkm_call_put!$H:$H,MATCH($B16&amp;C$2&amp;$A$1,jkm_call_put!$G:$G&amp;jkm_call_put!$O:$O&amp;jkm_call_put!$F:$F,0),1),"")</f>
        <v>7.9139999999999997</v>
      </c>
      <c r="D16" s="9" cm="1">
        <f t="array" aca="1" ref="D16" ca="1">_xlfn.IFNA(INDEX(jkm_call_put!$H:$H,MATCH($B16&amp;D$2&amp;$A$1,jkm_call_put!$G:$G&amp;jkm_call_put!$O:$O&amp;jkm_call_put!$F:$F,0),1),"")</f>
        <v>7.3630000000000004</v>
      </c>
      <c r="E16" s="9" t="str" cm="1">
        <f t="array" aca="1" ref="E16" ca="1">_xlfn.IFNA(INDEX(jkm_call_put!$H:$H,MATCH($B16&amp;E$2&amp;$A$1,jkm_call_put!$G:$G&amp;jkm_call_put!$O:$O&amp;jkm_call_put!$F:$F,0),1),"")</f>
        <v/>
      </c>
      <c r="F16" s="9" t="str" cm="1">
        <f t="array" aca="1" ref="F16" ca="1">_xlfn.IFNA(INDEX(jkm_call_put!$H:$H,MATCH($B16&amp;F$2&amp;$A$1,jkm_call_put!$G:$G&amp;jkm_call_put!$O:$O&amp;jkm_call_put!$F:$F,0),1),"")</f>
        <v/>
      </c>
      <c r="G16" s="9" t="str" cm="1">
        <f t="array" aca="1" ref="G16" ca="1">_xlfn.IFNA(INDEX(jkm_call_put!$H:$H,MATCH($B16&amp;G$2&amp;$A$1,jkm_call_put!$G:$G&amp;jkm_call_put!$O:$O&amp;jkm_call_put!$F:$F,0),1),"")</f>
        <v/>
      </c>
      <c r="H16" s="9" t="str" cm="1">
        <f t="array" aca="1" ref="H16" ca="1">_xlfn.IFNA(INDEX(jkm_call_put!$H:$H,MATCH($B16&amp;H$2&amp;$A$1,jkm_call_put!$G:$G&amp;jkm_call_put!$O:$O&amp;jkm_call_put!$F:$F,0),1),"")</f>
        <v/>
      </c>
      <c r="I16" s="9" t="str" cm="1">
        <f t="array" aca="1" ref="I16" ca="1">_xlfn.IFNA(INDEX(jkm_call_put!$H:$H,MATCH($B16&amp;I$2&amp;$A$1,jkm_call_put!$G:$G&amp;jkm_call_put!$O:$O&amp;jkm_call_put!$F:$F,0),1),"")</f>
        <v/>
      </c>
      <c r="J16" s="9" t="str" cm="1">
        <f t="array" aca="1" ref="J16" ca="1">_xlfn.IFNA(INDEX(jkm_call_put!$H:$H,MATCH($B16&amp;J$2&amp;$A$1,jkm_call_put!$G:$G&amp;jkm_call_put!$O:$O&amp;jkm_call_put!$F:$F,0),1),"")</f>
        <v/>
      </c>
      <c r="K16" s="9" t="str" cm="1">
        <f t="array" aca="1" ref="K16" ca="1">_xlfn.IFNA(INDEX(jkm_call_put!$H:$H,MATCH($B16&amp;K$2&amp;$A$1,jkm_call_put!$G:$G&amp;jkm_call_put!$O:$O&amp;jkm_call_put!$F:$F,0),1),"")</f>
        <v/>
      </c>
      <c r="L16" s="9" t="str" cm="1">
        <f t="array" aca="1" ref="L16" ca="1">_xlfn.IFNA(INDEX(jkm_call_put!$H:$H,MATCH($B16&amp;L$2&amp;$A$1,jkm_call_put!$G:$G&amp;jkm_call_put!$O:$O&amp;jkm_call_put!$F:$F,0),1),"")</f>
        <v/>
      </c>
      <c r="M16" s="9" t="str" cm="1">
        <f t="array" aca="1" ref="M16" ca="1">_xlfn.IFNA(INDEX(jkm_call_put!$H:$H,MATCH($B16&amp;M$2&amp;$A$1,jkm_call_put!$G:$G&amp;jkm_call_put!$O:$O&amp;jkm_call_put!$F:$F,0),1),"")</f>
        <v/>
      </c>
      <c r="N16" s="9" t="str" cm="1">
        <f t="array" aca="1" ref="N16" ca="1">_xlfn.IFNA(INDEX(jkm_call_put!$H:$H,MATCH($B16&amp;N$2&amp;$A$1,jkm_call_put!$G:$G&amp;jkm_call_put!$O:$O&amp;jkm_call_put!$F:$F,0),1),"")</f>
        <v/>
      </c>
      <c r="O16" s="9" t="str" cm="1">
        <f t="array" aca="1" ref="O16" ca="1">_xlfn.IFNA(INDEX(jkm_call_put!$H:$H,MATCH($B16&amp;O$2&amp;$A$1,jkm_call_put!$G:$G&amp;jkm_call_put!$O:$O&amp;jkm_call_put!$F:$F,0),1),"")</f>
        <v/>
      </c>
      <c r="P16" s="9" t="str" cm="1">
        <f t="array" aca="1" ref="P16" ca="1">_xlfn.IFNA(INDEX(jkm_call_put!$H:$H,MATCH($B16&amp;P$2&amp;$A$1,jkm_call_put!$G:$G&amp;jkm_call_put!$O:$O&amp;jkm_call_put!$F:$F,0),1),"")</f>
        <v/>
      </c>
      <c r="Q16" s="9" t="str" cm="1">
        <f t="array" aca="1" ref="Q16" ca="1">_xlfn.IFNA(INDEX(jkm_call_put!$H:$H,MATCH($B16&amp;Q$2&amp;$A$1,jkm_call_put!$G:$G&amp;jkm_call_put!$O:$O&amp;jkm_call_put!$F:$F,0),1),"")</f>
        <v/>
      </c>
      <c r="R16" s="9" t="str" cm="1">
        <f t="array" aca="1" ref="R16" ca="1">_xlfn.IFNA(INDEX(jkm_call_put!$H:$H,MATCH($B16&amp;R$2&amp;$A$1,jkm_call_put!$G:$G&amp;jkm_call_put!$O:$O&amp;jkm_call_put!$F:$F,0),1),"")</f>
        <v/>
      </c>
      <c r="S16" s="9" t="str" cm="1">
        <f t="array" aca="1" ref="S16" ca="1">_xlfn.IFNA(INDEX(jkm_call_put!$H:$H,MATCH($B16&amp;S$2&amp;$A$1,jkm_call_put!$G:$G&amp;jkm_call_put!$O:$O&amp;jkm_call_put!$F:$F,0),1),"")</f>
        <v/>
      </c>
      <c r="T16" s="9" t="str" cm="1">
        <f t="array" aca="1" ref="T16" ca="1">_xlfn.IFNA(INDEX(jkm_call_put!$H:$H,MATCH($B16&amp;T$2&amp;$A$1,jkm_call_put!$G:$G&amp;jkm_call_put!$O:$O&amp;jkm_call_put!$F:$F,0),1),"")</f>
        <v/>
      </c>
      <c r="U16" s="9" t="str" cm="1">
        <f t="array" aca="1" ref="U16" ca="1">_xlfn.IFNA(INDEX(jkm_call_put!$H:$H,MATCH($B16&amp;U$2&amp;$A$1,jkm_call_put!$G:$G&amp;jkm_call_put!$O:$O&amp;jkm_call_put!$F:$F,0),1),"")</f>
        <v/>
      </c>
      <c r="V16" s="9" t="str" cm="1">
        <f t="array" aca="1" ref="V16" ca="1">_xlfn.IFNA(INDEX(jkm_call_put!$H:$H,MATCH($B16&amp;V$2&amp;$A$1,jkm_call_put!$G:$G&amp;jkm_call_put!$O:$O&amp;jkm_call_put!$F:$F,0),1),"")</f>
        <v/>
      </c>
      <c r="W16" s="9" t="str" cm="1">
        <f t="array" aca="1" ref="W16" ca="1">_xlfn.IFNA(INDEX(jkm_call_put!$H:$H,MATCH($B16&amp;W$2&amp;$A$1,jkm_call_put!$G:$G&amp;jkm_call_put!$O:$O&amp;jkm_call_put!$F:$F,0),1),"")</f>
        <v/>
      </c>
      <c r="X16" s="9" t="str" cm="1">
        <f t="array" aca="1" ref="X16" ca="1">_xlfn.IFNA(INDEX(jkm_call_put!$H:$H,MATCH($B16&amp;X$2&amp;$A$1,jkm_call_put!$G:$G&amp;jkm_call_put!$O:$O&amp;jkm_call_put!$F:$F,0),1),"")</f>
        <v/>
      </c>
      <c r="Y16" s="9" t="str" cm="1">
        <f t="array" aca="1" ref="Y16" ca="1">_xlfn.IFNA(INDEX(jkm_call_put!$H:$H,MATCH($B16&amp;Y$2&amp;$A$1,jkm_call_put!$G:$G&amp;jkm_call_put!$O:$O&amp;jkm_call_put!$F:$F,0),1),"")</f>
        <v/>
      </c>
      <c r="Z16" s="9" t="str" cm="1">
        <f t="array" aca="1" ref="Z16" ca="1">_xlfn.IFNA(INDEX(jkm_call_put!$H:$H,MATCH($B16&amp;Z$2&amp;$A$1,jkm_call_put!$G:$G&amp;jkm_call_put!$O:$O&amp;jkm_call_put!$F:$F,0),1),"")</f>
        <v/>
      </c>
      <c r="AA16" s="9" t="str" cm="1">
        <f t="array" aca="1" ref="AA16" ca="1">_xlfn.IFNA(INDEX(jkm_call_put!$H:$H,MATCH($B16&amp;AA$2&amp;$A$1,jkm_call_put!$G:$G&amp;jkm_call_put!$O:$O&amp;jkm_call_put!$F:$F,0),1),"")</f>
        <v/>
      </c>
      <c r="AB16" s="9" t="str" cm="1">
        <f t="array" aca="1" ref="AB16" ca="1">_xlfn.IFNA(INDEX(jkm_call_put!$H:$H,MATCH($B16&amp;AB$2&amp;$A$1,jkm_call_put!$G:$G&amp;jkm_call_put!$O:$O&amp;jkm_call_put!$F:$F,0),1),"")</f>
        <v/>
      </c>
      <c r="AC16" s="9" t="str" cm="1">
        <f t="array" aca="1" ref="AC16" ca="1">_xlfn.IFNA(INDEX(jkm_call_put!$H:$H,MATCH($B16&amp;AC$2&amp;$A$1,jkm_call_put!$G:$G&amp;jkm_call_put!$O:$O&amp;jkm_call_put!$F:$F,0),1),"")</f>
        <v/>
      </c>
      <c r="AD16" s="9" t="str" cm="1">
        <f t="array" aca="1" ref="AD16" ca="1">_xlfn.IFNA(INDEX(jkm_call_put!$H:$H,MATCH($B16&amp;AD$2&amp;$A$1,jkm_call_put!$G:$G&amp;jkm_call_put!$O:$O&amp;jkm_call_put!$F:$F,0),1),"")</f>
        <v/>
      </c>
      <c r="AE16" s="9" t="str" cm="1">
        <f t="array" aca="1" ref="AE16" ca="1">_xlfn.IFNA(INDEX(jkm_call_put!$H:$H,MATCH($B16&amp;AE$2&amp;$A$1,jkm_call_put!$G:$G&amp;jkm_call_put!$O:$O&amp;jkm_call_put!$F:$F,0),1),"")</f>
        <v/>
      </c>
      <c r="AF16" s="9" t="str" cm="1">
        <f t="array" aca="1" ref="AF16" ca="1">_xlfn.IFNA(INDEX(jkm_call_put!$H:$H,MATCH($B16&amp;AF$2&amp;$A$1,jkm_call_put!$G:$G&amp;jkm_call_put!$O:$O&amp;jkm_call_put!$F:$F,0),1),"")</f>
        <v/>
      </c>
      <c r="AG16" s="9" t="str" cm="1">
        <f t="array" aca="1" ref="AG16" ca="1">_xlfn.IFNA(INDEX(jkm_call_put!$H:$H,MATCH($B16&amp;AG$2&amp;$A$1,jkm_call_put!$G:$G&amp;jkm_call_put!$O:$O&amp;jkm_call_put!$F:$F,0),1),"")</f>
        <v/>
      </c>
      <c r="AH16" s="9" t="str" cm="1">
        <f t="array" aca="1" ref="AH16" ca="1">_xlfn.IFNA(INDEX(jkm_call_put!$H:$H,MATCH($B16&amp;AH$2&amp;$A$1,jkm_call_put!$G:$G&amp;jkm_call_put!$O:$O&amp;jkm_call_put!$F:$F,0),1),"")</f>
        <v/>
      </c>
      <c r="AI16" s="9" t="str" cm="1">
        <f t="array" aca="1" ref="AI16" ca="1">_xlfn.IFNA(INDEX(jkm_call_put!$H:$H,MATCH($B16&amp;AI$2&amp;$A$1,jkm_call_put!$G:$G&amp;jkm_call_put!$O:$O&amp;jkm_call_put!$F:$F,0),1),"")</f>
        <v/>
      </c>
      <c r="AJ16" s="9" t="str" cm="1">
        <f t="array" aca="1" ref="AJ16" ca="1">_xlfn.IFNA(INDEX(jkm_call_put!$H:$H,MATCH($B16&amp;AJ$2&amp;$A$1,jkm_call_put!$G:$G&amp;jkm_call_put!$O:$O&amp;jkm_call_put!$F:$F,0),1),"")</f>
        <v/>
      </c>
      <c r="AK16" s="9" t="str" cm="1">
        <f t="array" aca="1" ref="AK16" ca="1">_xlfn.IFNA(INDEX(jkm_call_put!$H:$H,MATCH($B16&amp;AK$2&amp;$A$1,jkm_call_put!$G:$G&amp;jkm_call_put!$O:$O&amp;jkm_call_put!$F:$F,0),1),"")</f>
        <v/>
      </c>
      <c r="AL16" s="9" t="str" cm="1">
        <f t="array" aca="1" ref="AL16" ca="1">_xlfn.IFNA(INDEX(jkm_call_put!$H:$H,MATCH($B16&amp;AL$2&amp;$A$1,jkm_call_put!$G:$G&amp;jkm_call_put!$O:$O&amp;jkm_call_put!$F:$F,0),1),"")</f>
        <v/>
      </c>
    </row>
    <row r="17" spans="1:38" ht="15" customHeight="1" x14ac:dyDescent="0.25">
      <c r="A17" s="11"/>
      <c r="B17" s="6">
        <v>12.5</v>
      </c>
      <c r="C17" s="9" cm="1">
        <f t="array" aca="1" ref="C17" ca="1">_xlfn.IFNA(INDEX(jkm_call_put!$H:$H,MATCH($B17&amp;C$2&amp;$A$1,jkm_call_put!$G:$G&amp;jkm_call_put!$O:$O&amp;jkm_call_put!$F:$F,0),1),"")</f>
        <v>6.9139999999999997</v>
      </c>
      <c r="D17" s="9" cm="1">
        <f t="array" aca="1" ref="D17" ca="1">_xlfn.IFNA(INDEX(jkm_call_put!$H:$H,MATCH($B17&amp;D$2&amp;$A$1,jkm_call_put!$G:$G&amp;jkm_call_put!$O:$O&amp;jkm_call_put!$F:$F,0),1),"")</f>
        <v>6.3689999999999998</v>
      </c>
      <c r="E17" s="9" cm="1">
        <f t="array" aca="1" ref="E17" ca="1">_xlfn.IFNA(INDEX(jkm_call_put!$H:$H,MATCH($B17&amp;E$2&amp;$A$1,jkm_call_put!$G:$G&amp;jkm_call_put!$O:$O&amp;jkm_call_put!$F:$F,0),1),"")</f>
        <v>6.4329999999999998</v>
      </c>
      <c r="F17" s="9" cm="1">
        <f t="array" aca="1" ref="F17" ca="1">_xlfn.IFNA(INDEX(jkm_call_put!$H:$H,MATCH($B17&amp;F$2&amp;$A$1,jkm_call_put!$G:$G&amp;jkm_call_put!$O:$O&amp;jkm_call_put!$F:$F,0),1),"")</f>
        <v>6.343</v>
      </c>
      <c r="G17" s="9" cm="1">
        <f t="array" aca="1" ref="G17" ca="1">_xlfn.IFNA(INDEX(jkm_call_put!$H:$H,MATCH($B17&amp;G$2&amp;$A$1,jkm_call_put!$G:$G&amp;jkm_call_put!$O:$O&amp;jkm_call_put!$F:$F,0),1),"")</f>
        <v>6.3730000000000002</v>
      </c>
      <c r="H17" s="9" t="str" cm="1">
        <f t="array" aca="1" ref="H17" ca="1">_xlfn.IFNA(INDEX(jkm_call_put!$H:$H,MATCH($B17&amp;H$2&amp;$A$1,jkm_call_put!$G:$G&amp;jkm_call_put!$O:$O&amp;jkm_call_put!$F:$F,0),1),"")</f>
        <v/>
      </c>
      <c r="I17" s="9" t="str" cm="1">
        <f t="array" aca="1" ref="I17" ca="1">_xlfn.IFNA(INDEX(jkm_call_put!$H:$H,MATCH($B17&amp;I$2&amp;$A$1,jkm_call_put!$G:$G&amp;jkm_call_put!$O:$O&amp;jkm_call_put!$F:$F,0),1),"")</f>
        <v/>
      </c>
      <c r="J17" s="9" t="str" cm="1">
        <f t="array" aca="1" ref="J17" ca="1">_xlfn.IFNA(INDEX(jkm_call_put!$H:$H,MATCH($B17&amp;J$2&amp;$A$1,jkm_call_put!$G:$G&amp;jkm_call_put!$O:$O&amp;jkm_call_put!$F:$F,0),1),"")</f>
        <v/>
      </c>
      <c r="K17" s="9" t="str" cm="1">
        <f t="array" aca="1" ref="K17" ca="1">_xlfn.IFNA(INDEX(jkm_call_put!$H:$H,MATCH($B17&amp;K$2&amp;$A$1,jkm_call_put!$G:$G&amp;jkm_call_put!$O:$O&amp;jkm_call_put!$F:$F,0),1),"")</f>
        <v/>
      </c>
      <c r="L17" s="9" t="str" cm="1">
        <f t="array" aca="1" ref="L17" ca="1">_xlfn.IFNA(INDEX(jkm_call_put!$H:$H,MATCH($B17&amp;L$2&amp;$A$1,jkm_call_put!$G:$G&amp;jkm_call_put!$O:$O&amp;jkm_call_put!$F:$F,0),1),"")</f>
        <v/>
      </c>
      <c r="M17" s="9" t="str" cm="1">
        <f t="array" aca="1" ref="M17" ca="1">_xlfn.IFNA(INDEX(jkm_call_put!$H:$H,MATCH($B17&amp;M$2&amp;$A$1,jkm_call_put!$G:$G&amp;jkm_call_put!$O:$O&amp;jkm_call_put!$F:$F,0),1),"")</f>
        <v/>
      </c>
      <c r="N17" s="9" t="str" cm="1">
        <f t="array" aca="1" ref="N17" ca="1">_xlfn.IFNA(INDEX(jkm_call_put!$H:$H,MATCH($B17&amp;N$2&amp;$A$1,jkm_call_put!$G:$G&amp;jkm_call_put!$O:$O&amp;jkm_call_put!$F:$F,0),1),"")</f>
        <v/>
      </c>
      <c r="O17" s="9" t="str" cm="1">
        <f t="array" aca="1" ref="O17" ca="1">_xlfn.IFNA(INDEX(jkm_call_put!$H:$H,MATCH($B17&amp;O$2&amp;$A$1,jkm_call_put!$G:$G&amp;jkm_call_put!$O:$O&amp;jkm_call_put!$F:$F,0),1),"")</f>
        <v/>
      </c>
      <c r="P17" s="9" t="str" cm="1">
        <f t="array" aca="1" ref="P17" ca="1">_xlfn.IFNA(INDEX(jkm_call_put!$H:$H,MATCH($B17&amp;P$2&amp;$A$1,jkm_call_put!$G:$G&amp;jkm_call_put!$O:$O&amp;jkm_call_put!$F:$F,0),1),"")</f>
        <v/>
      </c>
      <c r="Q17" s="9" t="str" cm="1">
        <f t="array" aca="1" ref="Q17" ca="1">_xlfn.IFNA(INDEX(jkm_call_put!$H:$H,MATCH($B17&amp;Q$2&amp;$A$1,jkm_call_put!$G:$G&amp;jkm_call_put!$O:$O&amp;jkm_call_put!$F:$F,0),1),"")</f>
        <v/>
      </c>
      <c r="R17" s="9" t="str" cm="1">
        <f t="array" aca="1" ref="R17" ca="1">_xlfn.IFNA(INDEX(jkm_call_put!$H:$H,MATCH($B17&amp;R$2&amp;$A$1,jkm_call_put!$G:$G&amp;jkm_call_put!$O:$O&amp;jkm_call_put!$F:$F,0),1),"")</f>
        <v/>
      </c>
      <c r="S17" s="9" t="str" cm="1">
        <f t="array" aca="1" ref="S17" ca="1">_xlfn.IFNA(INDEX(jkm_call_put!$H:$H,MATCH($B17&amp;S$2&amp;$A$1,jkm_call_put!$G:$G&amp;jkm_call_put!$O:$O&amp;jkm_call_put!$F:$F,0),1),"")</f>
        <v/>
      </c>
      <c r="T17" s="9" t="str" cm="1">
        <f t="array" aca="1" ref="T17" ca="1">_xlfn.IFNA(INDEX(jkm_call_put!$H:$H,MATCH($B17&amp;T$2&amp;$A$1,jkm_call_put!$G:$G&amp;jkm_call_put!$O:$O&amp;jkm_call_put!$F:$F,0),1),"")</f>
        <v/>
      </c>
      <c r="U17" s="9" t="str" cm="1">
        <f t="array" aca="1" ref="U17" ca="1">_xlfn.IFNA(INDEX(jkm_call_put!$H:$H,MATCH($B17&amp;U$2&amp;$A$1,jkm_call_put!$G:$G&amp;jkm_call_put!$O:$O&amp;jkm_call_put!$F:$F,0),1),"")</f>
        <v/>
      </c>
      <c r="V17" s="9" t="str" cm="1">
        <f t="array" aca="1" ref="V17" ca="1">_xlfn.IFNA(INDEX(jkm_call_put!$H:$H,MATCH($B17&amp;V$2&amp;$A$1,jkm_call_put!$G:$G&amp;jkm_call_put!$O:$O&amp;jkm_call_put!$F:$F,0),1),"")</f>
        <v/>
      </c>
      <c r="W17" s="9" t="str" cm="1">
        <f t="array" aca="1" ref="W17" ca="1">_xlfn.IFNA(INDEX(jkm_call_put!$H:$H,MATCH($B17&amp;W$2&amp;$A$1,jkm_call_put!$G:$G&amp;jkm_call_put!$O:$O&amp;jkm_call_put!$F:$F,0),1),"")</f>
        <v/>
      </c>
      <c r="X17" s="9" t="str" cm="1">
        <f t="array" aca="1" ref="X17" ca="1">_xlfn.IFNA(INDEX(jkm_call_put!$H:$H,MATCH($B17&amp;X$2&amp;$A$1,jkm_call_put!$G:$G&amp;jkm_call_put!$O:$O&amp;jkm_call_put!$F:$F,0),1),"")</f>
        <v/>
      </c>
      <c r="Y17" s="9" t="str" cm="1">
        <f t="array" aca="1" ref="Y17" ca="1">_xlfn.IFNA(INDEX(jkm_call_put!$H:$H,MATCH($B17&amp;Y$2&amp;$A$1,jkm_call_put!$G:$G&amp;jkm_call_put!$O:$O&amp;jkm_call_put!$F:$F,0),1),"")</f>
        <v/>
      </c>
      <c r="Z17" s="9" t="str" cm="1">
        <f t="array" aca="1" ref="Z17" ca="1">_xlfn.IFNA(INDEX(jkm_call_put!$H:$H,MATCH($B17&amp;Z$2&amp;$A$1,jkm_call_put!$G:$G&amp;jkm_call_put!$O:$O&amp;jkm_call_put!$F:$F,0),1),"")</f>
        <v/>
      </c>
      <c r="AA17" s="9" t="str" cm="1">
        <f t="array" aca="1" ref="AA17" ca="1">_xlfn.IFNA(INDEX(jkm_call_put!$H:$H,MATCH($B17&amp;AA$2&amp;$A$1,jkm_call_put!$G:$G&amp;jkm_call_put!$O:$O&amp;jkm_call_put!$F:$F,0),1),"")</f>
        <v/>
      </c>
      <c r="AB17" s="9" t="str" cm="1">
        <f t="array" aca="1" ref="AB17" ca="1">_xlfn.IFNA(INDEX(jkm_call_put!$H:$H,MATCH($B17&amp;AB$2&amp;$A$1,jkm_call_put!$G:$G&amp;jkm_call_put!$O:$O&amp;jkm_call_put!$F:$F,0),1),"")</f>
        <v/>
      </c>
      <c r="AC17" s="9" t="str" cm="1">
        <f t="array" aca="1" ref="AC17" ca="1">_xlfn.IFNA(INDEX(jkm_call_put!$H:$H,MATCH($B17&amp;AC$2&amp;$A$1,jkm_call_put!$G:$G&amp;jkm_call_put!$O:$O&amp;jkm_call_put!$F:$F,0),1),"")</f>
        <v/>
      </c>
      <c r="AD17" s="9" t="str" cm="1">
        <f t="array" aca="1" ref="AD17" ca="1">_xlfn.IFNA(INDEX(jkm_call_put!$H:$H,MATCH($B17&amp;AD$2&amp;$A$1,jkm_call_put!$G:$G&amp;jkm_call_put!$O:$O&amp;jkm_call_put!$F:$F,0),1),"")</f>
        <v/>
      </c>
      <c r="AE17" s="9" t="str" cm="1">
        <f t="array" aca="1" ref="AE17" ca="1">_xlfn.IFNA(INDEX(jkm_call_put!$H:$H,MATCH($B17&amp;AE$2&amp;$A$1,jkm_call_put!$G:$G&amp;jkm_call_put!$O:$O&amp;jkm_call_put!$F:$F,0),1),"")</f>
        <v/>
      </c>
      <c r="AF17" s="9" t="str" cm="1">
        <f t="array" aca="1" ref="AF17" ca="1">_xlfn.IFNA(INDEX(jkm_call_put!$H:$H,MATCH($B17&amp;AF$2&amp;$A$1,jkm_call_put!$G:$G&amp;jkm_call_put!$O:$O&amp;jkm_call_put!$F:$F,0),1),"")</f>
        <v/>
      </c>
      <c r="AG17" s="9" t="str" cm="1">
        <f t="array" aca="1" ref="AG17" ca="1">_xlfn.IFNA(INDEX(jkm_call_put!$H:$H,MATCH($B17&amp;AG$2&amp;$A$1,jkm_call_put!$G:$G&amp;jkm_call_put!$O:$O&amp;jkm_call_put!$F:$F,0),1),"")</f>
        <v/>
      </c>
      <c r="AH17" s="9" t="str" cm="1">
        <f t="array" aca="1" ref="AH17" ca="1">_xlfn.IFNA(INDEX(jkm_call_put!$H:$H,MATCH($B17&amp;AH$2&amp;$A$1,jkm_call_put!$G:$G&amp;jkm_call_put!$O:$O&amp;jkm_call_put!$F:$F,0),1),"")</f>
        <v/>
      </c>
      <c r="AI17" s="9" t="str" cm="1">
        <f t="array" aca="1" ref="AI17" ca="1">_xlfn.IFNA(INDEX(jkm_call_put!$H:$H,MATCH($B17&amp;AI$2&amp;$A$1,jkm_call_put!$G:$G&amp;jkm_call_put!$O:$O&amp;jkm_call_put!$F:$F,0),1),"")</f>
        <v/>
      </c>
      <c r="AJ17" s="9" t="str" cm="1">
        <f t="array" aca="1" ref="AJ17" ca="1">_xlfn.IFNA(INDEX(jkm_call_put!$H:$H,MATCH($B17&amp;AJ$2&amp;$A$1,jkm_call_put!$G:$G&amp;jkm_call_put!$O:$O&amp;jkm_call_put!$F:$F,0),1),"")</f>
        <v/>
      </c>
      <c r="AK17" s="9" t="str" cm="1">
        <f t="array" aca="1" ref="AK17" ca="1">_xlfn.IFNA(INDEX(jkm_call_put!$H:$H,MATCH($B17&amp;AK$2&amp;$A$1,jkm_call_put!$G:$G&amp;jkm_call_put!$O:$O&amp;jkm_call_put!$F:$F,0),1),"")</f>
        <v/>
      </c>
      <c r="AL17" s="9" t="str" cm="1">
        <f t="array" aca="1" ref="AL17" ca="1">_xlfn.IFNA(INDEX(jkm_call_put!$H:$H,MATCH($B17&amp;AL$2&amp;$A$1,jkm_call_put!$G:$G&amp;jkm_call_put!$O:$O&amp;jkm_call_put!$F:$F,0),1),"")</f>
        <v/>
      </c>
    </row>
    <row r="18" spans="1:38" ht="15" customHeight="1" x14ac:dyDescent="0.25">
      <c r="A18" s="11"/>
      <c r="B18" s="6">
        <v>13</v>
      </c>
      <c r="C18" s="9" cm="1">
        <f t="array" aca="1" ref="C18" ca="1">_xlfn.IFNA(INDEX(jkm_call_put!$H:$H,MATCH($B18&amp;C$2&amp;$A$1,jkm_call_put!$G:$G&amp;jkm_call_put!$O:$O&amp;jkm_call_put!$F:$F,0),1),"")</f>
        <v>6.4139999999999997</v>
      </c>
      <c r="D18" s="9" cm="1">
        <f t="array" aca="1" ref="D18" ca="1">_xlfn.IFNA(INDEX(jkm_call_put!$H:$H,MATCH($B18&amp;D$2&amp;$A$1,jkm_call_put!$G:$G&amp;jkm_call_put!$O:$O&amp;jkm_call_put!$F:$F,0),1),"")</f>
        <v>5.8760000000000003</v>
      </c>
      <c r="E18" s="9" cm="1">
        <f t="array" aca="1" ref="E18" ca="1">_xlfn.IFNA(INDEX(jkm_call_put!$H:$H,MATCH($B18&amp;E$2&amp;$A$1,jkm_call_put!$G:$G&amp;jkm_call_put!$O:$O&amp;jkm_call_put!$F:$F,0),1),"")</f>
        <v>6.0380000000000003</v>
      </c>
      <c r="F18" s="9" cm="1">
        <f t="array" aca="1" ref="F18" ca="1">_xlfn.IFNA(INDEX(jkm_call_put!$H:$H,MATCH($B18&amp;F$2&amp;$A$1,jkm_call_put!$G:$G&amp;jkm_call_put!$O:$O&amp;jkm_call_put!$F:$F,0),1),"")</f>
        <v>5.9859999999999998</v>
      </c>
      <c r="G18" s="9" cm="1">
        <f t="array" aca="1" ref="G18" ca="1">_xlfn.IFNA(INDEX(jkm_call_put!$H:$H,MATCH($B18&amp;G$2&amp;$A$1,jkm_call_put!$G:$G&amp;jkm_call_put!$O:$O&amp;jkm_call_put!$F:$F,0),1),"")</f>
        <v>6.0439999999999996</v>
      </c>
      <c r="H18" s="9" cm="1">
        <f t="array" aca="1" ref="H18" ca="1">_xlfn.IFNA(INDEX(jkm_call_put!$H:$H,MATCH($B18&amp;H$2&amp;$A$1,jkm_call_put!$G:$G&amp;jkm_call_put!$O:$O&amp;jkm_call_put!$F:$F,0),1),"")</f>
        <v>5.2889999999999997</v>
      </c>
      <c r="I18" s="9" cm="1">
        <f t="array" aca="1" ref="I18" ca="1">_xlfn.IFNA(INDEX(jkm_call_put!$H:$H,MATCH($B18&amp;I$2&amp;$A$1,jkm_call_put!$G:$G&amp;jkm_call_put!$O:$O&amp;jkm_call_put!$F:$F,0),1),"")</f>
        <v>5.4359999999999999</v>
      </c>
      <c r="J18" s="9" cm="1">
        <f t="array" aca="1" ref="J18" ca="1">_xlfn.IFNA(INDEX(jkm_call_put!$H:$H,MATCH($B18&amp;J$2&amp;$A$1,jkm_call_put!$G:$G&amp;jkm_call_put!$O:$O&amp;jkm_call_put!$F:$F,0),1),"")</f>
        <v>5.7370000000000001</v>
      </c>
      <c r="K18" s="9" cm="1">
        <f t="array" aca="1" ref="K18" ca="1">_xlfn.IFNA(INDEX(jkm_call_put!$H:$H,MATCH($B18&amp;K$2&amp;$A$1,jkm_call_put!$G:$G&amp;jkm_call_put!$O:$O&amp;jkm_call_put!$F:$F,0),1),"")</f>
        <v>5.8280000000000003</v>
      </c>
      <c r="L18" s="9" cm="1">
        <f t="array" aca="1" ref="L18" ca="1">_xlfn.IFNA(INDEX(jkm_call_put!$H:$H,MATCH($B18&amp;L$2&amp;$A$1,jkm_call_put!$G:$G&amp;jkm_call_put!$O:$O&amp;jkm_call_put!$F:$F,0),1),"")</f>
        <v>5.7480000000000002</v>
      </c>
      <c r="M18" s="9" cm="1">
        <f t="array" aca="1" ref="M18" ca="1">_xlfn.IFNA(INDEX(jkm_call_put!$H:$H,MATCH($B18&amp;M$2&amp;$A$1,jkm_call_put!$G:$G&amp;jkm_call_put!$O:$O&amp;jkm_call_put!$F:$F,0),1),"")</f>
        <v>4.9089999999999998</v>
      </c>
      <c r="N18" s="9" t="str" cm="1">
        <f t="array" aca="1" ref="N18" ca="1">_xlfn.IFNA(INDEX(jkm_call_put!$H:$H,MATCH($B18&amp;N$2&amp;$A$1,jkm_call_put!$G:$G&amp;jkm_call_put!$O:$O&amp;jkm_call_put!$F:$F,0),1),"")</f>
        <v/>
      </c>
      <c r="O18" s="9" t="str" cm="1">
        <f t="array" aca="1" ref="O18" ca="1">_xlfn.IFNA(INDEX(jkm_call_put!$H:$H,MATCH($B18&amp;O$2&amp;$A$1,jkm_call_put!$G:$G&amp;jkm_call_put!$O:$O&amp;jkm_call_put!$F:$F,0),1),"")</f>
        <v/>
      </c>
      <c r="P18" s="9" t="str" cm="1">
        <f t="array" aca="1" ref="P18" ca="1">_xlfn.IFNA(INDEX(jkm_call_put!$H:$H,MATCH($B18&amp;P$2&amp;$A$1,jkm_call_put!$G:$G&amp;jkm_call_put!$O:$O&amp;jkm_call_put!$F:$F,0),1),"")</f>
        <v/>
      </c>
      <c r="Q18" s="9" t="str" cm="1">
        <f t="array" aca="1" ref="Q18" ca="1">_xlfn.IFNA(INDEX(jkm_call_put!$H:$H,MATCH($B18&amp;Q$2&amp;$A$1,jkm_call_put!$G:$G&amp;jkm_call_put!$O:$O&amp;jkm_call_put!$F:$F,0),1),"")</f>
        <v/>
      </c>
      <c r="R18" s="9" t="str" cm="1">
        <f t="array" aca="1" ref="R18" ca="1">_xlfn.IFNA(INDEX(jkm_call_put!$H:$H,MATCH($B18&amp;R$2&amp;$A$1,jkm_call_put!$G:$G&amp;jkm_call_put!$O:$O&amp;jkm_call_put!$F:$F,0),1),"")</f>
        <v/>
      </c>
      <c r="S18" s="9" t="str" cm="1">
        <f t="array" aca="1" ref="S18" ca="1">_xlfn.IFNA(INDEX(jkm_call_put!$H:$H,MATCH($B18&amp;S$2&amp;$A$1,jkm_call_put!$G:$G&amp;jkm_call_put!$O:$O&amp;jkm_call_put!$F:$F,0),1),"")</f>
        <v/>
      </c>
      <c r="T18" s="9" t="str" cm="1">
        <f t="array" aca="1" ref="T18" ca="1">_xlfn.IFNA(INDEX(jkm_call_put!$H:$H,MATCH($B18&amp;T$2&amp;$A$1,jkm_call_put!$G:$G&amp;jkm_call_put!$O:$O&amp;jkm_call_put!$F:$F,0),1),"")</f>
        <v/>
      </c>
      <c r="U18" s="9" t="str" cm="1">
        <f t="array" aca="1" ref="U18" ca="1">_xlfn.IFNA(INDEX(jkm_call_put!$H:$H,MATCH($B18&amp;U$2&amp;$A$1,jkm_call_put!$G:$G&amp;jkm_call_put!$O:$O&amp;jkm_call_put!$F:$F,0),1),"")</f>
        <v/>
      </c>
      <c r="V18" s="9" t="str" cm="1">
        <f t="array" aca="1" ref="V18" ca="1">_xlfn.IFNA(INDEX(jkm_call_put!$H:$H,MATCH($B18&amp;V$2&amp;$A$1,jkm_call_put!$G:$G&amp;jkm_call_put!$O:$O&amp;jkm_call_put!$F:$F,0),1),"")</f>
        <v/>
      </c>
      <c r="W18" s="9" cm="1">
        <f t="array" aca="1" ref="W18" ca="1">_xlfn.IFNA(INDEX(jkm_call_put!$H:$H,MATCH($B18&amp;W$2&amp;$A$1,jkm_call_put!$G:$G&amp;jkm_call_put!$O:$O&amp;jkm_call_put!$F:$F,0),1),"")</f>
        <v>2.0430000000000001</v>
      </c>
      <c r="X18" s="9" cm="1">
        <f t="array" aca="1" ref="X18" ca="1">_xlfn.IFNA(INDEX(jkm_call_put!$H:$H,MATCH($B18&amp;X$2&amp;$A$1,jkm_call_put!$G:$G&amp;jkm_call_put!$O:$O&amp;jkm_call_put!$F:$F,0),1),"")</f>
        <v>2.1040000000000001</v>
      </c>
      <c r="Y18" s="9" cm="1">
        <f t="array" aca="1" ref="Y18" ca="1">_xlfn.IFNA(INDEX(jkm_call_put!$H:$H,MATCH($B18&amp;Y$2&amp;$A$1,jkm_call_put!$G:$G&amp;jkm_call_put!$O:$O&amp;jkm_call_put!$F:$F,0),1),"")</f>
        <v>1.8819999999999999</v>
      </c>
      <c r="Z18" s="9" cm="1">
        <f t="array" aca="1" ref="Z18" ca="1">_xlfn.IFNA(INDEX(jkm_call_put!$H:$H,MATCH($B18&amp;Z$2&amp;$A$1,jkm_call_put!$G:$G&amp;jkm_call_put!$O:$O&amp;jkm_call_put!$F:$F,0),1),"")</f>
        <v>0.56899999999999995</v>
      </c>
      <c r="AA18" s="9" cm="1">
        <f t="array" aca="1" ref="AA18" ca="1">_xlfn.IFNA(INDEX(jkm_call_put!$H:$H,MATCH($B18&amp;AA$2&amp;$A$1,jkm_call_put!$G:$G&amp;jkm_call_put!$O:$O&amp;jkm_call_put!$F:$F,0),1),"")</f>
        <v>0.51900000000000002</v>
      </c>
      <c r="AB18" s="9" cm="1">
        <f t="array" aca="1" ref="AB18" ca="1">_xlfn.IFNA(INDEX(jkm_call_put!$H:$H,MATCH($B18&amp;AB$2&amp;$A$1,jkm_call_put!$G:$G&amp;jkm_call_put!$O:$O&amp;jkm_call_put!$F:$F,0),1),"")</f>
        <v>0.52</v>
      </c>
      <c r="AC18" s="9" cm="1">
        <f t="array" aca="1" ref="AC18" ca="1">_xlfn.IFNA(INDEX(jkm_call_put!$H:$H,MATCH($B18&amp;AC$2&amp;$A$1,jkm_call_put!$G:$G&amp;jkm_call_put!$O:$O&amp;jkm_call_put!$F:$F,0),1),"")</f>
        <v>0.55500000000000005</v>
      </c>
      <c r="AD18" s="9" cm="1">
        <f t="array" aca="1" ref="AD18" ca="1">_xlfn.IFNA(INDEX(jkm_call_put!$H:$H,MATCH($B18&amp;AD$2&amp;$A$1,jkm_call_put!$G:$G&amp;jkm_call_put!$O:$O&amp;jkm_call_put!$F:$F,0),1),"")</f>
        <v>0.58299999999999996</v>
      </c>
      <c r="AE18" s="9" cm="1">
        <f t="array" aca="1" ref="AE18" ca="1">_xlfn.IFNA(INDEX(jkm_call_put!$H:$H,MATCH($B18&amp;AE$2&amp;$A$1,jkm_call_put!$G:$G&amp;jkm_call_put!$O:$O&amp;jkm_call_put!$F:$F,0),1),"")</f>
        <v>0.624</v>
      </c>
      <c r="AF18" s="9" cm="1">
        <f t="array" aca="1" ref="AF18" ca="1">_xlfn.IFNA(INDEX(jkm_call_put!$H:$H,MATCH($B18&amp;AF$2&amp;$A$1,jkm_call_put!$G:$G&amp;jkm_call_put!$O:$O&amp;jkm_call_put!$F:$F,0),1),"")</f>
        <v>0.92800000000000005</v>
      </c>
      <c r="AG18" s="9" cm="1">
        <f t="array" aca="1" ref="AG18" ca="1">_xlfn.IFNA(INDEX(jkm_call_put!$H:$H,MATCH($B18&amp;AG$2&amp;$A$1,jkm_call_put!$G:$G&amp;jkm_call_put!$O:$O&amp;jkm_call_put!$F:$F,0),1),"")</f>
        <v>1.02</v>
      </c>
      <c r="AH18" s="9" cm="1">
        <f t="array" aca="1" ref="AH18" ca="1">_xlfn.IFNA(INDEX(jkm_call_put!$H:$H,MATCH($B18&amp;AH$2&amp;$A$1,jkm_call_put!$G:$G&amp;jkm_call_put!$O:$O&amp;jkm_call_put!$F:$F,0),1),"")</f>
        <v>1.097</v>
      </c>
      <c r="AI18" s="9" t="str" cm="1">
        <f t="array" aca="1" ref="AI18" ca="1">_xlfn.IFNA(INDEX(jkm_call_put!$H:$H,MATCH($B18&amp;AI$2&amp;$A$1,jkm_call_put!$G:$G&amp;jkm_call_put!$O:$O&amp;jkm_call_put!$F:$F,0),1),"")</f>
        <v/>
      </c>
      <c r="AJ18" s="9" t="str" cm="1">
        <f t="array" aca="1" ref="AJ18" ca="1">_xlfn.IFNA(INDEX(jkm_call_put!$H:$H,MATCH($B18&amp;AJ$2&amp;$A$1,jkm_call_put!$G:$G&amp;jkm_call_put!$O:$O&amp;jkm_call_put!$F:$F,0),1),"")</f>
        <v/>
      </c>
      <c r="AK18" s="9" t="str" cm="1">
        <f t="array" aca="1" ref="AK18" ca="1">_xlfn.IFNA(INDEX(jkm_call_put!$H:$H,MATCH($B18&amp;AK$2&amp;$A$1,jkm_call_put!$G:$G&amp;jkm_call_put!$O:$O&amp;jkm_call_put!$F:$F,0),1),"")</f>
        <v/>
      </c>
      <c r="AL18" s="9" t="str" cm="1">
        <f t="array" aca="1" ref="AL18" ca="1">_xlfn.IFNA(INDEX(jkm_call_put!$H:$H,MATCH($B18&amp;AL$2&amp;$A$1,jkm_call_put!$G:$G&amp;jkm_call_put!$O:$O&amp;jkm_call_put!$F:$F,0),1),"")</f>
        <v/>
      </c>
    </row>
    <row r="19" spans="1:38" ht="15" customHeight="1" x14ac:dyDescent="0.25">
      <c r="A19" s="11"/>
      <c r="B19" s="6">
        <v>15</v>
      </c>
      <c r="C19" s="9" cm="1">
        <f t="array" aca="1" ref="C19" ca="1">_xlfn.IFNA(INDEX(jkm_call_put!$H:$H,MATCH($B19&amp;C$2&amp;$A$1,jkm_call_put!$G:$G&amp;jkm_call_put!$O:$O&amp;jkm_call_put!$F:$F,0),1),"")</f>
        <v>4.415</v>
      </c>
      <c r="D19" s="9" cm="1">
        <f t="array" aca="1" ref="D19" ca="1">_xlfn.IFNA(INDEX(jkm_call_put!$H:$H,MATCH($B19&amp;D$2&amp;$A$1,jkm_call_put!$G:$G&amp;jkm_call_put!$O:$O&amp;jkm_call_put!$F:$F,0),1),"")</f>
        <v>3.9860000000000002</v>
      </c>
      <c r="E19" s="9" cm="1">
        <f t="array" aca="1" ref="E19" ca="1">_xlfn.IFNA(INDEX(jkm_call_put!$H:$H,MATCH($B19&amp;E$2&amp;$A$1,jkm_call_put!$G:$G&amp;jkm_call_put!$O:$O&amp;jkm_call_put!$F:$F,0),1),"")</f>
        <v>4.6139999999999999</v>
      </c>
      <c r="F19" s="9" cm="1">
        <f t="array" aca="1" ref="F19" ca="1">_xlfn.IFNA(INDEX(jkm_call_put!$H:$H,MATCH($B19&amp;F$2&amp;$A$1,jkm_call_put!$G:$G&amp;jkm_call_put!$O:$O&amp;jkm_call_put!$F:$F,0),1),"")</f>
        <v>4.71</v>
      </c>
      <c r="G19" s="9" cm="1">
        <f t="array" aca="1" ref="G19" ca="1">_xlfn.IFNA(INDEX(jkm_call_put!$H:$H,MATCH($B19&amp;G$2&amp;$A$1,jkm_call_put!$G:$G&amp;jkm_call_put!$O:$O&amp;jkm_call_put!$F:$F,0),1),"")</f>
        <v>4.87</v>
      </c>
      <c r="H19" s="9" cm="1">
        <f t="array" aca="1" ref="H19" ca="1">_xlfn.IFNA(INDEX(jkm_call_put!$H:$H,MATCH($B19&amp;H$2&amp;$A$1,jkm_call_put!$G:$G&amp;jkm_call_put!$O:$O&amp;jkm_call_put!$F:$F,0),1),"")</f>
        <v>4.0970000000000004</v>
      </c>
      <c r="I19" s="9" cm="1">
        <f t="array" aca="1" ref="I19" ca="1">_xlfn.IFNA(INDEX(jkm_call_put!$H:$H,MATCH($B19&amp;I$2&amp;$A$1,jkm_call_put!$G:$G&amp;jkm_call_put!$O:$O&amp;jkm_call_put!$F:$F,0),1),"")</f>
        <v>4.2960000000000003</v>
      </c>
      <c r="J19" s="9" cm="1">
        <f t="array" aca="1" ref="J19" ca="1">_xlfn.IFNA(INDEX(jkm_call_put!$H:$H,MATCH($B19&amp;J$2&amp;$A$1,jkm_call_put!$G:$G&amp;jkm_call_put!$O:$O&amp;jkm_call_put!$F:$F,0),1),"")</f>
        <v>4.6210000000000004</v>
      </c>
      <c r="K19" s="9" cm="1">
        <f t="array" aca="1" ref="K19" ca="1">_xlfn.IFNA(INDEX(jkm_call_put!$H:$H,MATCH($B19&amp;K$2&amp;$A$1,jkm_call_put!$G:$G&amp;jkm_call_put!$O:$O&amp;jkm_call_put!$F:$F,0),1),"")</f>
        <v>4.7549999999999999</v>
      </c>
      <c r="L19" s="9" cm="1">
        <f t="array" aca="1" ref="L19" ca="1">_xlfn.IFNA(INDEX(jkm_call_put!$H:$H,MATCH($B19&amp;L$2&amp;$A$1,jkm_call_put!$G:$G&amp;jkm_call_put!$O:$O&amp;jkm_call_put!$F:$F,0),1),"")</f>
        <v>4.7320000000000002</v>
      </c>
      <c r="M19" s="9" cm="1">
        <f t="array" aca="1" ref="M19" ca="1">_xlfn.IFNA(INDEX(jkm_call_put!$H:$H,MATCH($B19&amp;M$2&amp;$A$1,jkm_call_put!$G:$G&amp;jkm_call_put!$O:$O&amp;jkm_call_put!$F:$F,0),1),"")</f>
        <v>4.0250000000000004</v>
      </c>
      <c r="N19" s="9" cm="1">
        <f t="array" aca="1" ref="N19" ca="1">_xlfn.IFNA(INDEX(jkm_call_put!$H:$H,MATCH($B19&amp;N$2&amp;$A$1,jkm_call_put!$G:$G&amp;jkm_call_put!$O:$O&amp;jkm_call_put!$F:$F,0),1),"")</f>
        <v>2.173</v>
      </c>
      <c r="O19" s="9" cm="1">
        <f t="array" aca="1" ref="O19" ca="1">_xlfn.IFNA(INDEX(jkm_call_put!$H:$H,MATCH($B19&amp;O$2&amp;$A$1,jkm_call_put!$G:$G&amp;jkm_call_put!$O:$O&amp;jkm_call_put!$F:$F,0),1),"")</f>
        <v>1.776</v>
      </c>
      <c r="P19" s="9" cm="1">
        <f t="array" aca="1" ref="P19" ca="1">_xlfn.IFNA(INDEX(jkm_call_put!$H:$H,MATCH($B19&amp;P$2&amp;$A$1,jkm_call_put!$G:$G&amp;jkm_call_put!$O:$O&amp;jkm_call_put!$F:$F,0),1),"")</f>
        <v>1.718</v>
      </c>
      <c r="Q19" s="9" cm="1">
        <f t="array" aca="1" ref="Q19" ca="1">_xlfn.IFNA(INDEX(jkm_call_put!$H:$H,MATCH($B19&amp;Q$2&amp;$A$1,jkm_call_put!$G:$G&amp;jkm_call_put!$O:$O&amp;jkm_call_put!$F:$F,0),1),"")</f>
        <v>1.7989999999999999</v>
      </c>
      <c r="R19" s="9" cm="1">
        <f t="array" aca="1" ref="R19" ca="1">_xlfn.IFNA(INDEX(jkm_call_put!$H:$H,MATCH($B19&amp;R$2&amp;$A$1,jkm_call_put!$G:$G&amp;jkm_call_put!$O:$O&amp;jkm_call_put!$F:$F,0),1),"")</f>
        <v>1.964</v>
      </c>
      <c r="S19" s="9" cm="1">
        <f t="array" aca="1" ref="S19" ca="1">_xlfn.IFNA(INDEX(jkm_call_put!$H:$H,MATCH($B19&amp;S$2&amp;$A$1,jkm_call_put!$G:$G&amp;jkm_call_put!$O:$O&amp;jkm_call_put!$F:$F,0),1),"")</f>
        <v>1.9339999999999999</v>
      </c>
      <c r="T19" s="9" cm="1">
        <f t="array" aca="1" ref="T19" ca="1">_xlfn.IFNA(INDEX(jkm_call_put!$H:$H,MATCH($B19&amp;T$2&amp;$A$1,jkm_call_put!$G:$G&amp;jkm_call_put!$O:$O&amp;jkm_call_put!$F:$F,0),1),"")</f>
        <v>1.2090000000000001</v>
      </c>
      <c r="U19" s="9" cm="1">
        <f t="array" aca="1" ref="U19" ca="1">_xlfn.IFNA(INDEX(jkm_call_put!$H:$H,MATCH($B19&amp;U$2&amp;$A$1,jkm_call_put!$G:$G&amp;jkm_call_put!$O:$O&amp;jkm_call_put!$F:$F,0),1),"")</f>
        <v>1.3029999999999999</v>
      </c>
      <c r="V19" s="9" cm="1">
        <f t="array" aca="1" ref="V19" ca="1">_xlfn.IFNA(INDEX(jkm_call_put!$H:$H,MATCH($B19&amp;V$2&amp;$A$1,jkm_call_put!$G:$G&amp;jkm_call_put!$O:$O&amp;jkm_call_put!$F:$F,0),1),"")</f>
        <v>1.498</v>
      </c>
      <c r="W19" s="9" cm="1">
        <f t="array" aca="1" ref="W19" ca="1">_xlfn.IFNA(INDEX(jkm_call_put!$H:$H,MATCH($B19&amp;W$2&amp;$A$1,jkm_call_put!$G:$G&amp;jkm_call_put!$O:$O&amp;jkm_call_put!$F:$F,0),1),"")</f>
        <v>1.411</v>
      </c>
      <c r="X19" s="9" cm="1">
        <f t="array" aca="1" ref="X19" ca="1">_xlfn.IFNA(INDEX(jkm_call_put!$H:$H,MATCH($B19&amp;X$2&amp;$A$1,jkm_call_put!$G:$G&amp;jkm_call_put!$O:$O&amp;jkm_call_put!$F:$F,0),1),"")</f>
        <v>1.4710000000000001</v>
      </c>
      <c r="Y19" s="9" cm="1">
        <f t="array" aca="1" ref="Y19" ca="1">_xlfn.IFNA(INDEX(jkm_call_put!$H:$H,MATCH($B19&amp;Y$2&amp;$A$1,jkm_call_put!$G:$G&amp;jkm_call_put!$O:$O&amp;jkm_call_put!$F:$F,0),1),"")</f>
        <v>1.3089999999999999</v>
      </c>
      <c r="Z19" s="9" cm="1">
        <f t="array" aca="1" ref="Z19" ca="1">_xlfn.IFNA(INDEX(jkm_call_put!$H:$H,MATCH($B19&amp;Z$2&amp;$A$1,jkm_call_put!$G:$G&amp;jkm_call_put!$O:$O&amp;jkm_call_put!$F:$F,0),1),"")</f>
        <v>0.32400000000000001</v>
      </c>
      <c r="AA19" s="9" cm="1">
        <f t="array" aca="1" ref="AA19" ca="1">_xlfn.IFNA(INDEX(jkm_call_put!$H:$H,MATCH($B19&amp;AA$2&amp;$A$1,jkm_call_put!$G:$G&amp;jkm_call_put!$O:$O&amp;jkm_call_put!$F:$F,0),1),"")</f>
        <v>0.29599999999999999</v>
      </c>
      <c r="AB19" s="9" cm="1">
        <f t="array" aca="1" ref="AB19" ca="1">_xlfn.IFNA(INDEX(jkm_call_put!$H:$H,MATCH($B19&amp;AB$2&amp;$A$1,jkm_call_put!$G:$G&amp;jkm_call_put!$O:$O&amp;jkm_call_put!$F:$F,0),1),"")</f>
        <v>0.3</v>
      </c>
      <c r="AC19" s="9" cm="1">
        <f t="array" aca="1" ref="AC19" ca="1">_xlfn.IFNA(INDEX(jkm_call_put!$H:$H,MATCH($B19&amp;AC$2&amp;$A$1,jkm_call_put!$G:$G&amp;jkm_call_put!$O:$O&amp;jkm_call_put!$F:$F,0),1),"")</f>
        <v>0.32600000000000001</v>
      </c>
      <c r="AD19" s="9" cm="1">
        <f t="array" aca="1" ref="AD19" ca="1">_xlfn.IFNA(INDEX(jkm_call_put!$H:$H,MATCH($B19&amp;AD$2&amp;$A$1,jkm_call_put!$G:$G&amp;jkm_call_put!$O:$O&amp;jkm_call_put!$F:$F,0),1),"")</f>
        <v>0.34799999999999998</v>
      </c>
      <c r="AE19" s="9" cm="1">
        <f t="array" aca="1" ref="AE19" ca="1">_xlfn.IFNA(INDEX(jkm_call_put!$H:$H,MATCH($B19&amp;AE$2&amp;$A$1,jkm_call_put!$G:$G&amp;jkm_call_put!$O:$O&amp;jkm_call_put!$F:$F,0),1),"")</f>
        <v>0.379</v>
      </c>
      <c r="AF19" s="9" cm="1">
        <f t="array" aca="1" ref="AF19" ca="1">_xlfn.IFNA(INDEX(jkm_call_put!$H:$H,MATCH($B19&amp;AF$2&amp;$A$1,jkm_call_put!$G:$G&amp;jkm_call_put!$O:$O&amp;jkm_call_put!$F:$F,0),1),"")</f>
        <v>0.63400000000000001</v>
      </c>
      <c r="AG19" s="9" cm="1">
        <f t="array" aca="1" ref="AG19" ca="1">_xlfn.IFNA(INDEX(jkm_call_put!$H:$H,MATCH($B19&amp;AG$2&amp;$A$1,jkm_call_put!$G:$G&amp;jkm_call_put!$O:$O&amp;jkm_call_put!$F:$F,0),1),"")</f>
        <v>0.70699999999999996</v>
      </c>
      <c r="AH19" s="9" cm="1">
        <f t="array" aca="1" ref="AH19" ca="1">_xlfn.IFNA(INDEX(jkm_call_put!$H:$H,MATCH($B19&amp;AH$2&amp;$A$1,jkm_call_put!$G:$G&amp;jkm_call_put!$O:$O&amp;jkm_call_put!$F:$F,0),1),"")</f>
        <v>0.77</v>
      </c>
      <c r="AI19" s="9" cm="1">
        <f t="array" aca="1" ref="AI19" ca="1">_xlfn.IFNA(INDEX(jkm_call_put!$H:$H,MATCH($B19&amp;AI$2&amp;$A$1,jkm_call_put!$G:$G&amp;jkm_call_put!$O:$O&amp;jkm_call_put!$F:$F,0),1),"")</f>
        <v>0.83399999999999996</v>
      </c>
      <c r="AJ19" s="9" cm="1">
        <f t="array" aca="1" ref="AJ19" ca="1">_xlfn.IFNA(INDEX(jkm_call_put!$H:$H,MATCH($B19&amp;AJ$2&amp;$A$1,jkm_call_put!$G:$G&amp;jkm_call_put!$O:$O&amp;jkm_call_put!$F:$F,0),1),"")</f>
        <v>0.875</v>
      </c>
      <c r="AK19" s="9" cm="1">
        <f t="array" aca="1" ref="AK19" ca="1">_xlfn.IFNA(INDEX(jkm_call_put!$H:$H,MATCH($B19&amp;AK$2&amp;$A$1,jkm_call_put!$G:$G&amp;jkm_call_put!$O:$O&amp;jkm_call_put!$F:$F,0),1),"")</f>
        <v>0.88100000000000001</v>
      </c>
      <c r="AL19" s="9" cm="1">
        <f t="array" aca="1" ref="AL19" ca="1">_xlfn.IFNA(INDEX(jkm_call_put!$H:$H,MATCH($B19&amp;AL$2&amp;$A$1,jkm_call_put!$G:$G&amp;jkm_call_put!$O:$O&amp;jkm_call_put!$F:$F,0),1),"")</f>
        <v>0.624</v>
      </c>
    </row>
    <row r="20" spans="1:38" ht="15" customHeight="1" x14ac:dyDescent="0.25">
      <c r="A20" s="11"/>
      <c r="B20" s="6">
        <v>15.5</v>
      </c>
      <c r="C20" s="9" t="str" cm="1">
        <f t="array" aca="1" ref="C20" ca="1">_xlfn.IFNA(INDEX(jkm_call_put!$H:$H,MATCH($B20&amp;C$2&amp;$A$1,jkm_call_put!$G:$G&amp;jkm_call_put!$O:$O&amp;jkm_call_put!$F:$F,0),1),"")</f>
        <v/>
      </c>
      <c r="D20" s="9" t="str" cm="1">
        <f t="array" aca="1" ref="D20" ca="1">_xlfn.IFNA(INDEX(jkm_call_put!$H:$H,MATCH($B20&amp;D$2&amp;$A$1,jkm_call_put!$G:$G&amp;jkm_call_put!$O:$O&amp;jkm_call_put!$F:$F,0),1),"")</f>
        <v/>
      </c>
      <c r="E20" s="9" t="str" cm="1">
        <f t="array" aca="1" ref="E20" ca="1">_xlfn.IFNA(INDEX(jkm_call_put!$H:$H,MATCH($B20&amp;E$2&amp;$A$1,jkm_call_put!$G:$G&amp;jkm_call_put!$O:$O&amp;jkm_call_put!$F:$F,0),1),"")</f>
        <v/>
      </c>
      <c r="F20" s="9" t="str" cm="1">
        <f t="array" aca="1" ref="F20" ca="1">_xlfn.IFNA(INDEX(jkm_call_put!$H:$H,MATCH($B20&amp;F$2&amp;$A$1,jkm_call_put!$G:$G&amp;jkm_call_put!$O:$O&amp;jkm_call_put!$F:$F,0),1),"")</f>
        <v/>
      </c>
      <c r="G20" s="9" t="str" cm="1">
        <f t="array" aca="1" ref="G20" ca="1">_xlfn.IFNA(INDEX(jkm_call_put!$H:$H,MATCH($B20&amp;G$2&amp;$A$1,jkm_call_put!$G:$G&amp;jkm_call_put!$O:$O&amp;jkm_call_put!$F:$F,0),1),"")</f>
        <v/>
      </c>
      <c r="H20" s="9" t="str" cm="1">
        <f t="array" aca="1" ref="H20" ca="1">_xlfn.IFNA(INDEX(jkm_call_put!$H:$H,MATCH($B20&amp;H$2&amp;$A$1,jkm_call_put!$G:$G&amp;jkm_call_put!$O:$O&amp;jkm_call_put!$F:$F,0),1),"")</f>
        <v/>
      </c>
      <c r="I20" s="9" t="str" cm="1">
        <f t="array" aca="1" ref="I20" ca="1">_xlfn.IFNA(INDEX(jkm_call_put!$H:$H,MATCH($B20&amp;I$2&amp;$A$1,jkm_call_put!$G:$G&amp;jkm_call_put!$O:$O&amp;jkm_call_put!$F:$F,0),1),"")</f>
        <v/>
      </c>
      <c r="J20" s="9" t="str" cm="1">
        <f t="array" aca="1" ref="J20" ca="1">_xlfn.IFNA(INDEX(jkm_call_put!$H:$H,MATCH($B20&amp;J$2&amp;$A$1,jkm_call_put!$G:$G&amp;jkm_call_put!$O:$O&amp;jkm_call_put!$F:$F,0),1),"")</f>
        <v/>
      </c>
      <c r="K20" s="9" cm="1">
        <f t="array" aca="1" ref="K20" ca="1">_xlfn.IFNA(INDEX(jkm_call_put!$H:$H,MATCH($B20&amp;K$2&amp;$A$1,jkm_call_put!$G:$G&amp;jkm_call_put!$O:$O&amp;jkm_call_put!$F:$F,0),1),"")</f>
        <v>4.5220000000000002</v>
      </c>
      <c r="L20" s="9" cm="1">
        <f t="array" aca="1" ref="L20" ca="1">_xlfn.IFNA(INDEX(jkm_call_put!$H:$H,MATCH($B20&amp;L$2&amp;$A$1,jkm_call_put!$G:$G&amp;jkm_call_put!$O:$O&amp;jkm_call_put!$F:$F,0),1),"")</f>
        <v>4.5110000000000001</v>
      </c>
      <c r="M20" s="9" cm="1">
        <f t="array" aca="1" ref="M20" ca="1">_xlfn.IFNA(INDEX(jkm_call_put!$H:$H,MATCH($B20&amp;M$2&amp;$A$1,jkm_call_put!$G:$G&amp;jkm_call_put!$O:$O&amp;jkm_call_put!$F:$F,0),1),"")</f>
        <v>3.8359999999999999</v>
      </c>
      <c r="N20" s="9" t="str" cm="1">
        <f t="array" aca="1" ref="N20" ca="1">_xlfn.IFNA(INDEX(jkm_call_put!$H:$H,MATCH($B20&amp;N$2&amp;$A$1,jkm_call_put!$G:$G&amp;jkm_call_put!$O:$O&amp;jkm_call_put!$F:$F,0),1),"")</f>
        <v/>
      </c>
      <c r="O20" s="9" t="str" cm="1">
        <f t="array" aca="1" ref="O20" ca="1">_xlfn.IFNA(INDEX(jkm_call_put!$H:$H,MATCH($B20&amp;O$2&amp;$A$1,jkm_call_put!$G:$G&amp;jkm_call_put!$O:$O&amp;jkm_call_put!$F:$F,0),1),"")</f>
        <v/>
      </c>
      <c r="P20" s="9" t="str" cm="1">
        <f t="array" aca="1" ref="P20" ca="1">_xlfn.IFNA(INDEX(jkm_call_put!$H:$H,MATCH($B20&amp;P$2&amp;$A$1,jkm_call_put!$G:$G&amp;jkm_call_put!$O:$O&amp;jkm_call_put!$F:$F,0),1),"")</f>
        <v/>
      </c>
      <c r="Q20" s="9" t="str" cm="1">
        <f t="array" aca="1" ref="Q20" ca="1">_xlfn.IFNA(INDEX(jkm_call_put!$H:$H,MATCH($B20&amp;Q$2&amp;$A$1,jkm_call_put!$G:$G&amp;jkm_call_put!$O:$O&amp;jkm_call_put!$F:$F,0),1),"")</f>
        <v/>
      </c>
      <c r="R20" s="9" t="str" cm="1">
        <f t="array" aca="1" ref="R20" ca="1">_xlfn.IFNA(INDEX(jkm_call_put!$H:$H,MATCH($B20&amp;R$2&amp;$A$1,jkm_call_put!$G:$G&amp;jkm_call_put!$O:$O&amp;jkm_call_put!$F:$F,0),1),"")</f>
        <v/>
      </c>
      <c r="S20" s="9" t="str" cm="1">
        <f t="array" aca="1" ref="S20" ca="1">_xlfn.IFNA(INDEX(jkm_call_put!$H:$H,MATCH($B20&amp;S$2&amp;$A$1,jkm_call_put!$G:$G&amp;jkm_call_put!$O:$O&amp;jkm_call_put!$F:$F,0),1),"")</f>
        <v/>
      </c>
      <c r="T20" s="9" t="str" cm="1">
        <f t="array" aca="1" ref="T20" ca="1">_xlfn.IFNA(INDEX(jkm_call_put!$H:$H,MATCH($B20&amp;T$2&amp;$A$1,jkm_call_put!$G:$G&amp;jkm_call_put!$O:$O&amp;jkm_call_put!$F:$F,0),1),"")</f>
        <v/>
      </c>
      <c r="U20" s="9" t="str" cm="1">
        <f t="array" aca="1" ref="U20" ca="1">_xlfn.IFNA(INDEX(jkm_call_put!$H:$H,MATCH($B20&amp;U$2&amp;$A$1,jkm_call_put!$G:$G&amp;jkm_call_put!$O:$O&amp;jkm_call_put!$F:$F,0),1),"")</f>
        <v/>
      </c>
      <c r="V20" s="9" t="str" cm="1">
        <f t="array" aca="1" ref="V20" ca="1">_xlfn.IFNA(INDEX(jkm_call_put!$H:$H,MATCH($B20&amp;V$2&amp;$A$1,jkm_call_put!$G:$G&amp;jkm_call_put!$O:$O&amp;jkm_call_put!$F:$F,0),1),"")</f>
        <v/>
      </c>
      <c r="W20" s="9" t="str" cm="1">
        <f t="array" aca="1" ref="W20" ca="1">_xlfn.IFNA(INDEX(jkm_call_put!$H:$H,MATCH($B20&amp;W$2&amp;$A$1,jkm_call_put!$G:$G&amp;jkm_call_put!$O:$O&amp;jkm_call_put!$F:$F,0),1),"")</f>
        <v/>
      </c>
      <c r="X20" s="9" t="str" cm="1">
        <f t="array" aca="1" ref="X20" ca="1">_xlfn.IFNA(INDEX(jkm_call_put!$H:$H,MATCH($B20&amp;X$2&amp;$A$1,jkm_call_put!$G:$G&amp;jkm_call_put!$O:$O&amp;jkm_call_put!$F:$F,0),1),"")</f>
        <v/>
      </c>
      <c r="Y20" s="9" t="str" cm="1">
        <f t="array" aca="1" ref="Y20" ca="1">_xlfn.IFNA(INDEX(jkm_call_put!$H:$H,MATCH($B20&amp;Y$2&amp;$A$1,jkm_call_put!$G:$G&amp;jkm_call_put!$O:$O&amp;jkm_call_put!$F:$F,0),1),"")</f>
        <v/>
      </c>
      <c r="Z20" s="9" t="str" cm="1">
        <f t="array" aca="1" ref="Z20" ca="1">_xlfn.IFNA(INDEX(jkm_call_put!$H:$H,MATCH($B20&amp;Z$2&amp;$A$1,jkm_call_put!$G:$G&amp;jkm_call_put!$O:$O&amp;jkm_call_put!$F:$F,0),1),"")</f>
        <v/>
      </c>
      <c r="AA20" s="9" t="str" cm="1">
        <f t="array" aca="1" ref="AA20" ca="1">_xlfn.IFNA(INDEX(jkm_call_put!$H:$H,MATCH($B20&amp;AA$2&amp;$A$1,jkm_call_put!$G:$G&amp;jkm_call_put!$O:$O&amp;jkm_call_put!$F:$F,0),1),"")</f>
        <v/>
      </c>
      <c r="AB20" s="9" t="str" cm="1">
        <f t="array" aca="1" ref="AB20" ca="1">_xlfn.IFNA(INDEX(jkm_call_put!$H:$H,MATCH($B20&amp;AB$2&amp;$A$1,jkm_call_put!$G:$G&amp;jkm_call_put!$O:$O&amp;jkm_call_put!$F:$F,0),1),"")</f>
        <v/>
      </c>
      <c r="AC20" s="9" t="str" cm="1">
        <f t="array" aca="1" ref="AC20" ca="1">_xlfn.IFNA(INDEX(jkm_call_put!$H:$H,MATCH($B20&amp;AC$2&amp;$A$1,jkm_call_put!$G:$G&amp;jkm_call_put!$O:$O&amp;jkm_call_put!$F:$F,0),1),"")</f>
        <v/>
      </c>
      <c r="AD20" s="9" t="str" cm="1">
        <f t="array" aca="1" ref="AD20" ca="1">_xlfn.IFNA(INDEX(jkm_call_put!$H:$H,MATCH($B20&amp;AD$2&amp;$A$1,jkm_call_put!$G:$G&amp;jkm_call_put!$O:$O&amp;jkm_call_put!$F:$F,0),1),"")</f>
        <v/>
      </c>
      <c r="AE20" s="9" t="str" cm="1">
        <f t="array" aca="1" ref="AE20" ca="1">_xlfn.IFNA(INDEX(jkm_call_put!$H:$H,MATCH($B20&amp;AE$2&amp;$A$1,jkm_call_put!$G:$G&amp;jkm_call_put!$O:$O&amp;jkm_call_put!$F:$F,0),1),"")</f>
        <v/>
      </c>
      <c r="AF20" s="9" t="str" cm="1">
        <f t="array" aca="1" ref="AF20" ca="1">_xlfn.IFNA(INDEX(jkm_call_put!$H:$H,MATCH($B20&amp;AF$2&amp;$A$1,jkm_call_put!$G:$G&amp;jkm_call_put!$O:$O&amp;jkm_call_put!$F:$F,0),1),"")</f>
        <v/>
      </c>
      <c r="AG20" s="9" t="str" cm="1">
        <f t="array" aca="1" ref="AG20" ca="1">_xlfn.IFNA(INDEX(jkm_call_put!$H:$H,MATCH($B20&amp;AG$2&amp;$A$1,jkm_call_put!$G:$G&amp;jkm_call_put!$O:$O&amp;jkm_call_put!$F:$F,0),1),"")</f>
        <v/>
      </c>
      <c r="AH20" s="9" t="str" cm="1">
        <f t="array" aca="1" ref="AH20" ca="1">_xlfn.IFNA(INDEX(jkm_call_put!$H:$H,MATCH($B20&amp;AH$2&amp;$A$1,jkm_call_put!$G:$G&amp;jkm_call_put!$O:$O&amp;jkm_call_put!$F:$F,0),1),"")</f>
        <v/>
      </c>
      <c r="AI20" s="9" t="str" cm="1">
        <f t="array" aca="1" ref="AI20" ca="1">_xlfn.IFNA(INDEX(jkm_call_put!$H:$H,MATCH($B20&amp;AI$2&amp;$A$1,jkm_call_put!$G:$G&amp;jkm_call_put!$O:$O&amp;jkm_call_put!$F:$F,0),1),"")</f>
        <v/>
      </c>
      <c r="AJ20" s="9" t="str" cm="1">
        <f t="array" aca="1" ref="AJ20" ca="1">_xlfn.IFNA(INDEX(jkm_call_put!$H:$H,MATCH($B20&amp;AJ$2&amp;$A$1,jkm_call_put!$G:$G&amp;jkm_call_put!$O:$O&amp;jkm_call_put!$F:$F,0),1),"")</f>
        <v/>
      </c>
      <c r="AK20" s="9" t="str" cm="1">
        <f t="array" aca="1" ref="AK20" ca="1">_xlfn.IFNA(INDEX(jkm_call_put!$H:$H,MATCH($B20&amp;AK$2&amp;$A$1,jkm_call_put!$G:$G&amp;jkm_call_put!$O:$O&amp;jkm_call_put!$F:$F,0),1),"")</f>
        <v/>
      </c>
      <c r="AL20" s="9" t="str" cm="1">
        <f t="array" aca="1" ref="AL20" ca="1">_xlfn.IFNA(INDEX(jkm_call_put!$H:$H,MATCH($B20&amp;AL$2&amp;$A$1,jkm_call_put!$G:$G&amp;jkm_call_put!$O:$O&amp;jkm_call_put!$F:$F,0),1),"")</f>
        <v/>
      </c>
    </row>
    <row r="21" spans="1:38" ht="15" customHeight="1" x14ac:dyDescent="0.25">
      <c r="A21" s="11"/>
      <c r="B21" s="6">
        <v>16.5</v>
      </c>
      <c r="C21" s="9" t="str" cm="1">
        <f t="array" aca="1" ref="C21" ca="1">_xlfn.IFNA(INDEX(jkm_call_put!$H:$H,MATCH($B21&amp;C$2&amp;$A$1,jkm_call_put!$G:$G&amp;jkm_call_put!$O:$O&amp;jkm_call_put!$F:$F,0),1),"")</f>
        <v/>
      </c>
      <c r="D21" s="9" t="str" cm="1">
        <f t="array" aca="1" ref="D21" ca="1">_xlfn.IFNA(INDEX(jkm_call_put!$H:$H,MATCH($B21&amp;D$2&amp;$A$1,jkm_call_put!$G:$G&amp;jkm_call_put!$O:$O&amp;jkm_call_put!$F:$F,0),1),"")</f>
        <v/>
      </c>
      <c r="E21" s="9" t="str" cm="1">
        <f t="array" aca="1" ref="E21" ca="1">_xlfn.IFNA(INDEX(jkm_call_put!$H:$H,MATCH($B21&amp;E$2&amp;$A$1,jkm_call_put!$G:$G&amp;jkm_call_put!$O:$O&amp;jkm_call_put!$F:$F,0),1),"")</f>
        <v/>
      </c>
      <c r="F21" s="9" t="str" cm="1">
        <f t="array" aca="1" ref="F21" ca="1">_xlfn.IFNA(INDEX(jkm_call_put!$H:$H,MATCH($B21&amp;F$2&amp;$A$1,jkm_call_put!$G:$G&amp;jkm_call_put!$O:$O&amp;jkm_call_put!$F:$F,0),1),"")</f>
        <v/>
      </c>
      <c r="G21" s="9" t="str" cm="1">
        <f t="array" aca="1" ref="G21" ca="1">_xlfn.IFNA(INDEX(jkm_call_put!$H:$H,MATCH($B21&amp;G$2&amp;$A$1,jkm_call_put!$G:$G&amp;jkm_call_put!$O:$O&amp;jkm_call_put!$F:$F,0),1),"")</f>
        <v/>
      </c>
      <c r="H21" s="9" cm="1">
        <f t="array" aca="1" ref="H21" ca="1">_xlfn.IFNA(INDEX(jkm_call_put!$H:$H,MATCH($B21&amp;H$2&amp;$A$1,jkm_call_put!$G:$G&amp;jkm_call_put!$O:$O&amp;jkm_call_put!$F:$F,0),1),"")</f>
        <v>3.3730000000000002</v>
      </c>
      <c r="I21" s="9" cm="1">
        <f t="array" aca="1" ref="I21" ca="1">_xlfn.IFNA(INDEX(jkm_call_put!$H:$H,MATCH($B21&amp;I$2&amp;$A$1,jkm_call_put!$G:$G&amp;jkm_call_put!$O:$O&amp;jkm_call_put!$F:$F,0),1),"")</f>
        <v>3.6</v>
      </c>
      <c r="J21" s="9" cm="1">
        <f t="array" aca="1" ref="J21" ca="1">_xlfn.IFNA(INDEX(jkm_call_put!$H:$H,MATCH($B21&amp;J$2&amp;$A$1,jkm_call_put!$G:$G&amp;jkm_call_put!$O:$O&amp;jkm_call_put!$F:$F,0),1),"")</f>
        <v>3.9350000000000001</v>
      </c>
      <c r="K21" s="9" t="str" cm="1">
        <f t="array" aca="1" ref="K21" ca="1">_xlfn.IFNA(INDEX(jkm_call_put!$H:$H,MATCH($B21&amp;K$2&amp;$A$1,jkm_call_put!$G:$G&amp;jkm_call_put!$O:$O&amp;jkm_call_put!$F:$F,0),1),"")</f>
        <v/>
      </c>
      <c r="L21" s="9" t="str" cm="1">
        <f t="array" aca="1" ref="L21" ca="1">_xlfn.IFNA(INDEX(jkm_call_put!$H:$H,MATCH($B21&amp;L$2&amp;$A$1,jkm_call_put!$G:$G&amp;jkm_call_put!$O:$O&amp;jkm_call_put!$F:$F,0),1),"")</f>
        <v/>
      </c>
      <c r="M21" s="9" t="str" cm="1">
        <f t="array" aca="1" ref="M21" ca="1">_xlfn.IFNA(INDEX(jkm_call_put!$H:$H,MATCH($B21&amp;M$2&amp;$A$1,jkm_call_put!$G:$G&amp;jkm_call_put!$O:$O&amp;jkm_call_put!$F:$F,0),1),"")</f>
        <v/>
      </c>
      <c r="N21" s="9" t="str" cm="1">
        <f t="array" aca="1" ref="N21" ca="1">_xlfn.IFNA(INDEX(jkm_call_put!$H:$H,MATCH($B21&amp;N$2&amp;$A$1,jkm_call_put!$G:$G&amp;jkm_call_put!$O:$O&amp;jkm_call_put!$F:$F,0),1),"")</f>
        <v/>
      </c>
      <c r="O21" s="9" t="str" cm="1">
        <f t="array" aca="1" ref="O21" ca="1">_xlfn.IFNA(INDEX(jkm_call_put!$H:$H,MATCH($B21&amp;O$2&amp;$A$1,jkm_call_put!$G:$G&amp;jkm_call_put!$O:$O&amp;jkm_call_put!$F:$F,0),1),"")</f>
        <v/>
      </c>
      <c r="P21" s="9" t="str" cm="1">
        <f t="array" aca="1" ref="P21" ca="1">_xlfn.IFNA(INDEX(jkm_call_put!$H:$H,MATCH($B21&amp;P$2&amp;$A$1,jkm_call_put!$G:$G&amp;jkm_call_put!$O:$O&amp;jkm_call_put!$F:$F,0),1),"")</f>
        <v/>
      </c>
      <c r="Q21" s="9" t="str" cm="1">
        <f t="array" aca="1" ref="Q21" ca="1">_xlfn.IFNA(INDEX(jkm_call_put!$H:$H,MATCH($B21&amp;Q$2&amp;$A$1,jkm_call_put!$G:$G&amp;jkm_call_put!$O:$O&amp;jkm_call_put!$F:$F,0),1),"")</f>
        <v/>
      </c>
      <c r="R21" s="9" t="str" cm="1">
        <f t="array" aca="1" ref="R21" ca="1">_xlfn.IFNA(INDEX(jkm_call_put!$H:$H,MATCH($B21&amp;R$2&amp;$A$1,jkm_call_put!$G:$G&amp;jkm_call_put!$O:$O&amp;jkm_call_put!$F:$F,0),1),"")</f>
        <v/>
      </c>
      <c r="S21" s="9" t="str" cm="1">
        <f t="array" aca="1" ref="S21" ca="1">_xlfn.IFNA(INDEX(jkm_call_put!$H:$H,MATCH($B21&amp;S$2&amp;$A$1,jkm_call_put!$G:$G&amp;jkm_call_put!$O:$O&amp;jkm_call_put!$F:$F,0),1),"")</f>
        <v/>
      </c>
      <c r="T21" s="9" t="str" cm="1">
        <f t="array" aca="1" ref="T21" ca="1">_xlfn.IFNA(INDEX(jkm_call_put!$H:$H,MATCH($B21&amp;T$2&amp;$A$1,jkm_call_put!$G:$G&amp;jkm_call_put!$O:$O&amp;jkm_call_put!$F:$F,0),1),"")</f>
        <v/>
      </c>
      <c r="U21" s="9" t="str" cm="1">
        <f t="array" aca="1" ref="U21" ca="1">_xlfn.IFNA(INDEX(jkm_call_put!$H:$H,MATCH($B21&amp;U$2&amp;$A$1,jkm_call_put!$G:$G&amp;jkm_call_put!$O:$O&amp;jkm_call_put!$F:$F,0),1),"")</f>
        <v/>
      </c>
      <c r="V21" s="9" t="str" cm="1">
        <f t="array" aca="1" ref="V21" ca="1">_xlfn.IFNA(INDEX(jkm_call_put!$H:$H,MATCH($B21&amp;V$2&amp;$A$1,jkm_call_put!$G:$G&amp;jkm_call_put!$O:$O&amp;jkm_call_put!$F:$F,0),1),"")</f>
        <v/>
      </c>
      <c r="W21" s="9" t="str" cm="1">
        <f t="array" aca="1" ref="W21" ca="1">_xlfn.IFNA(INDEX(jkm_call_put!$H:$H,MATCH($B21&amp;W$2&amp;$A$1,jkm_call_put!$G:$G&amp;jkm_call_put!$O:$O&amp;jkm_call_put!$F:$F,0),1),"")</f>
        <v/>
      </c>
      <c r="X21" s="9" t="str" cm="1">
        <f t="array" aca="1" ref="X21" ca="1">_xlfn.IFNA(INDEX(jkm_call_put!$H:$H,MATCH($B21&amp;X$2&amp;$A$1,jkm_call_put!$G:$G&amp;jkm_call_put!$O:$O&amp;jkm_call_put!$F:$F,0),1),"")</f>
        <v/>
      </c>
      <c r="Y21" s="9" t="str" cm="1">
        <f t="array" aca="1" ref="Y21" ca="1">_xlfn.IFNA(INDEX(jkm_call_put!$H:$H,MATCH($B21&amp;Y$2&amp;$A$1,jkm_call_put!$G:$G&amp;jkm_call_put!$O:$O&amp;jkm_call_put!$F:$F,0),1),"")</f>
        <v/>
      </c>
      <c r="Z21" s="9" t="str" cm="1">
        <f t="array" aca="1" ref="Z21" ca="1">_xlfn.IFNA(INDEX(jkm_call_put!$H:$H,MATCH($B21&amp;Z$2&amp;$A$1,jkm_call_put!$G:$G&amp;jkm_call_put!$O:$O&amp;jkm_call_put!$F:$F,0),1),"")</f>
        <v/>
      </c>
      <c r="AA21" s="9" t="str" cm="1">
        <f t="array" aca="1" ref="AA21" ca="1">_xlfn.IFNA(INDEX(jkm_call_put!$H:$H,MATCH($B21&amp;AA$2&amp;$A$1,jkm_call_put!$G:$G&amp;jkm_call_put!$O:$O&amp;jkm_call_put!$F:$F,0),1),"")</f>
        <v/>
      </c>
      <c r="AB21" s="9" t="str" cm="1">
        <f t="array" aca="1" ref="AB21" ca="1">_xlfn.IFNA(INDEX(jkm_call_put!$H:$H,MATCH($B21&amp;AB$2&amp;$A$1,jkm_call_put!$G:$G&amp;jkm_call_put!$O:$O&amp;jkm_call_put!$F:$F,0),1),"")</f>
        <v/>
      </c>
      <c r="AC21" s="9" t="str" cm="1">
        <f t="array" aca="1" ref="AC21" ca="1">_xlfn.IFNA(INDEX(jkm_call_put!$H:$H,MATCH($B21&amp;AC$2&amp;$A$1,jkm_call_put!$G:$G&amp;jkm_call_put!$O:$O&amp;jkm_call_put!$F:$F,0),1),"")</f>
        <v/>
      </c>
      <c r="AD21" s="9" t="str" cm="1">
        <f t="array" aca="1" ref="AD21" ca="1">_xlfn.IFNA(INDEX(jkm_call_put!$H:$H,MATCH($B21&amp;AD$2&amp;$A$1,jkm_call_put!$G:$G&amp;jkm_call_put!$O:$O&amp;jkm_call_put!$F:$F,0),1),"")</f>
        <v/>
      </c>
      <c r="AE21" s="9" t="str" cm="1">
        <f t="array" aca="1" ref="AE21" ca="1">_xlfn.IFNA(INDEX(jkm_call_put!$H:$H,MATCH($B21&amp;AE$2&amp;$A$1,jkm_call_put!$G:$G&amp;jkm_call_put!$O:$O&amp;jkm_call_put!$F:$F,0),1),"")</f>
        <v/>
      </c>
      <c r="AF21" s="9" t="str" cm="1">
        <f t="array" aca="1" ref="AF21" ca="1">_xlfn.IFNA(INDEX(jkm_call_put!$H:$H,MATCH($B21&amp;AF$2&amp;$A$1,jkm_call_put!$G:$G&amp;jkm_call_put!$O:$O&amp;jkm_call_put!$F:$F,0),1),"")</f>
        <v/>
      </c>
      <c r="AG21" s="9" t="str" cm="1">
        <f t="array" aca="1" ref="AG21" ca="1">_xlfn.IFNA(INDEX(jkm_call_put!$H:$H,MATCH($B21&amp;AG$2&amp;$A$1,jkm_call_put!$G:$G&amp;jkm_call_put!$O:$O&amp;jkm_call_put!$F:$F,0),1),"")</f>
        <v/>
      </c>
      <c r="AH21" s="9" t="str" cm="1">
        <f t="array" aca="1" ref="AH21" ca="1">_xlfn.IFNA(INDEX(jkm_call_put!$H:$H,MATCH($B21&amp;AH$2&amp;$A$1,jkm_call_put!$G:$G&amp;jkm_call_put!$O:$O&amp;jkm_call_put!$F:$F,0),1),"")</f>
        <v/>
      </c>
      <c r="AI21" s="9" t="str" cm="1">
        <f t="array" aca="1" ref="AI21" ca="1">_xlfn.IFNA(INDEX(jkm_call_put!$H:$H,MATCH($B21&amp;AI$2&amp;$A$1,jkm_call_put!$G:$G&amp;jkm_call_put!$O:$O&amp;jkm_call_put!$F:$F,0),1),"")</f>
        <v/>
      </c>
      <c r="AJ21" s="9" t="str" cm="1">
        <f t="array" aca="1" ref="AJ21" ca="1">_xlfn.IFNA(INDEX(jkm_call_put!$H:$H,MATCH($B21&amp;AJ$2&amp;$A$1,jkm_call_put!$G:$G&amp;jkm_call_put!$O:$O&amp;jkm_call_put!$F:$F,0),1),"")</f>
        <v/>
      </c>
      <c r="AK21" s="9" t="str" cm="1">
        <f t="array" aca="1" ref="AK21" ca="1">_xlfn.IFNA(INDEX(jkm_call_put!$H:$H,MATCH($B21&amp;AK$2&amp;$A$1,jkm_call_put!$G:$G&amp;jkm_call_put!$O:$O&amp;jkm_call_put!$F:$F,0),1),"")</f>
        <v/>
      </c>
      <c r="AL21" s="9" t="str" cm="1">
        <f t="array" aca="1" ref="AL21" ca="1">_xlfn.IFNA(INDEX(jkm_call_put!$H:$H,MATCH($B21&amp;AL$2&amp;$A$1,jkm_call_put!$G:$G&amp;jkm_call_put!$O:$O&amp;jkm_call_put!$F:$F,0),1),"")</f>
        <v/>
      </c>
    </row>
    <row r="22" spans="1:38" ht="15" customHeight="1" x14ac:dyDescent="0.25">
      <c r="A22" s="11"/>
      <c r="B22" s="6">
        <v>17</v>
      </c>
      <c r="C22" s="9" t="str" cm="1">
        <f t="array" aca="1" ref="C22" ca="1">_xlfn.IFNA(INDEX(jkm_call_put!$H:$H,MATCH($B22&amp;C$2&amp;$A$1,jkm_call_put!$G:$G&amp;jkm_call_put!$O:$O&amp;jkm_call_put!$F:$F,0),1),"")</f>
        <v/>
      </c>
      <c r="D22" s="9" t="str" cm="1">
        <f t="array" aca="1" ref="D22" ca="1">_xlfn.IFNA(INDEX(jkm_call_put!$H:$H,MATCH($B22&amp;D$2&amp;$A$1,jkm_call_put!$G:$G&amp;jkm_call_put!$O:$O&amp;jkm_call_put!$F:$F,0),1),"")</f>
        <v/>
      </c>
      <c r="E22" s="9" cm="1">
        <f t="array" aca="1" ref="E22" ca="1">_xlfn.IFNA(INDEX(jkm_call_put!$H:$H,MATCH($B22&amp;E$2&amp;$A$1,jkm_call_put!$G:$G&amp;jkm_call_put!$O:$O&amp;jkm_call_put!$F:$F,0),1),"")</f>
        <v>3.452</v>
      </c>
      <c r="F22" s="9" cm="1">
        <f t="array" aca="1" ref="F22" ca="1">_xlfn.IFNA(INDEX(jkm_call_put!$H:$H,MATCH($B22&amp;F$2&amp;$A$1,jkm_call_put!$G:$G&amp;jkm_call_put!$O:$O&amp;jkm_call_put!$F:$F,0),1),"")</f>
        <v>3.6659999999999999</v>
      </c>
      <c r="G22" s="9" cm="1">
        <f t="array" aca="1" ref="G22" ca="1">_xlfn.IFNA(INDEX(jkm_call_put!$H:$H,MATCH($B22&amp;G$2&amp;$A$1,jkm_call_put!$G:$G&amp;jkm_call_put!$O:$O&amp;jkm_call_put!$F:$F,0),1),"")</f>
        <v>3.9049999999999998</v>
      </c>
      <c r="H22" s="9" t="str" cm="1">
        <f t="array" aca="1" ref="H22" ca="1">_xlfn.IFNA(INDEX(jkm_call_put!$H:$H,MATCH($B22&amp;H$2&amp;$A$1,jkm_call_put!$G:$G&amp;jkm_call_put!$O:$O&amp;jkm_call_put!$F:$F,0),1),"")</f>
        <v/>
      </c>
      <c r="I22" s="9" t="str" cm="1">
        <f t="array" aca="1" ref="I22" ca="1">_xlfn.IFNA(INDEX(jkm_call_put!$H:$H,MATCH($B22&amp;I$2&amp;$A$1,jkm_call_put!$G:$G&amp;jkm_call_put!$O:$O&amp;jkm_call_put!$F:$F,0),1),"")</f>
        <v/>
      </c>
      <c r="J22" s="9" t="str" cm="1">
        <f t="array" aca="1" ref="J22" ca="1">_xlfn.IFNA(INDEX(jkm_call_put!$H:$H,MATCH($B22&amp;J$2&amp;$A$1,jkm_call_put!$G:$G&amp;jkm_call_put!$O:$O&amp;jkm_call_put!$F:$F,0),1),"")</f>
        <v/>
      </c>
      <c r="K22" s="9" t="str" cm="1">
        <f t="array" aca="1" ref="K22" ca="1">_xlfn.IFNA(INDEX(jkm_call_put!$H:$H,MATCH($B22&amp;K$2&amp;$A$1,jkm_call_put!$G:$G&amp;jkm_call_put!$O:$O&amp;jkm_call_put!$F:$F,0),1),"")</f>
        <v/>
      </c>
      <c r="L22" s="9" t="str" cm="1">
        <f t="array" aca="1" ref="L22" ca="1">_xlfn.IFNA(INDEX(jkm_call_put!$H:$H,MATCH($B22&amp;L$2&amp;$A$1,jkm_call_put!$G:$G&amp;jkm_call_put!$O:$O&amp;jkm_call_put!$F:$F,0),1),"")</f>
        <v/>
      </c>
      <c r="M22" s="9" t="str" cm="1">
        <f t="array" aca="1" ref="M22" ca="1">_xlfn.IFNA(INDEX(jkm_call_put!$H:$H,MATCH($B22&amp;M$2&amp;$A$1,jkm_call_put!$G:$G&amp;jkm_call_put!$O:$O&amp;jkm_call_put!$F:$F,0),1),"")</f>
        <v/>
      </c>
      <c r="N22" s="9" t="str" cm="1">
        <f t="array" aca="1" ref="N22" ca="1">_xlfn.IFNA(INDEX(jkm_call_put!$H:$H,MATCH($B22&amp;N$2&amp;$A$1,jkm_call_put!$G:$G&amp;jkm_call_put!$O:$O&amp;jkm_call_put!$F:$F,0),1),"")</f>
        <v/>
      </c>
      <c r="O22" s="9" t="str" cm="1">
        <f t="array" aca="1" ref="O22" ca="1">_xlfn.IFNA(INDEX(jkm_call_put!$H:$H,MATCH($B22&amp;O$2&amp;$A$1,jkm_call_put!$G:$G&amp;jkm_call_put!$O:$O&amp;jkm_call_put!$F:$F,0),1),"")</f>
        <v/>
      </c>
      <c r="P22" s="9" t="str" cm="1">
        <f t="array" aca="1" ref="P22" ca="1">_xlfn.IFNA(INDEX(jkm_call_put!$H:$H,MATCH($B22&amp;P$2&amp;$A$1,jkm_call_put!$G:$G&amp;jkm_call_put!$O:$O&amp;jkm_call_put!$F:$F,0),1),"")</f>
        <v/>
      </c>
      <c r="Q22" s="9" t="str" cm="1">
        <f t="array" aca="1" ref="Q22" ca="1">_xlfn.IFNA(INDEX(jkm_call_put!$H:$H,MATCH($B22&amp;Q$2&amp;$A$1,jkm_call_put!$G:$G&amp;jkm_call_put!$O:$O&amp;jkm_call_put!$F:$F,0),1),"")</f>
        <v/>
      </c>
      <c r="R22" s="9" t="str" cm="1">
        <f t="array" aca="1" ref="R22" ca="1">_xlfn.IFNA(INDEX(jkm_call_put!$H:$H,MATCH($B22&amp;R$2&amp;$A$1,jkm_call_put!$G:$G&amp;jkm_call_put!$O:$O&amp;jkm_call_put!$F:$F,0),1),"")</f>
        <v/>
      </c>
      <c r="S22" s="9" t="str" cm="1">
        <f t="array" aca="1" ref="S22" ca="1">_xlfn.IFNA(INDEX(jkm_call_put!$H:$H,MATCH($B22&amp;S$2&amp;$A$1,jkm_call_put!$G:$G&amp;jkm_call_put!$O:$O&amp;jkm_call_put!$F:$F,0),1),"")</f>
        <v/>
      </c>
      <c r="T22" s="9" t="str" cm="1">
        <f t="array" aca="1" ref="T22" ca="1">_xlfn.IFNA(INDEX(jkm_call_put!$H:$H,MATCH($B22&amp;T$2&amp;$A$1,jkm_call_put!$G:$G&amp;jkm_call_put!$O:$O&amp;jkm_call_put!$F:$F,0),1),"")</f>
        <v/>
      </c>
      <c r="U22" s="9" t="str" cm="1">
        <f t="array" aca="1" ref="U22" ca="1">_xlfn.IFNA(INDEX(jkm_call_put!$H:$H,MATCH($B22&amp;U$2&amp;$A$1,jkm_call_put!$G:$G&amp;jkm_call_put!$O:$O&amp;jkm_call_put!$F:$F,0),1),"")</f>
        <v/>
      </c>
      <c r="V22" s="9" t="str" cm="1">
        <f t="array" aca="1" ref="V22" ca="1">_xlfn.IFNA(INDEX(jkm_call_put!$H:$H,MATCH($B22&amp;V$2&amp;$A$1,jkm_call_put!$G:$G&amp;jkm_call_put!$O:$O&amp;jkm_call_put!$F:$F,0),1),"")</f>
        <v/>
      </c>
      <c r="W22" s="9" t="str" cm="1">
        <f t="array" aca="1" ref="W22" ca="1">_xlfn.IFNA(INDEX(jkm_call_put!$H:$H,MATCH($B22&amp;W$2&amp;$A$1,jkm_call_put!$G:$G&amp;jkm_call_put!$O:$O&amp;jkm_call_put!$F:$F,0),1),"")</f>
        <v/>
      </c>
      <c r="X22" s="9" t="str" cm="1">
        <f t="array" aca="1" ref="X22" ca="1">_xlfn.IFNA(INDEX(jkm_call_put!$H:$H,MATCH($B22&amp;X$2&amp;$A$1,jkm_call_put!$G:$G&amp;jkm_call_put!$O:$O&amp;jkm_call_put!$F:$F,0),1),"")</f>
        <v/>
      </c>
      <c r="Y22" s="9" t="str" cm="1">
        <f t="array" aca="1" ref="Y22" ca="1">_xlfn.IFNA(INDEX(jkm_call_put!$H:$H,MATCH($B22&amp;Y$2&amp;$A$1,jkm_call_put!$G:$G&amp;jkm_call_put!$O:$O&amp;jkm_call_put!$F:$F,0),1),"")</f>
        <v/>
      </c>
      <c r="Z22" s="9" t="str" cm="1">
        <f t="array" aca="1" ref="Z22" ca="1">_xlfn.IFNA(INDEX(jkm_call_put!$H:$H,MATCH($B22&amp;Z$2&amp;$A$1,jkm_call_put!$G:$G&amp;jkm_call_put!$O:$O&amp;jkm_call_put!$F:$F,0),1),"")</f>
        <v/>
      </c>
      <c r="AA22" s="9" t="str" cm="1">
        <f t="array" aca="1" ref="AA22" ca="1">_xlfn.IFNA(INDEX(jkm_call_put!$H:$H,MATCH($B22&amp;AA$2&amp;$A$1,jkm_call_put!$G:$G&amp;jkm_call_put!$O:$O&amp;jkm_call_put!$F:$F,0),1),"")</f>
        <v/>
      </c>
      <c r="AB22" s="9" t="str" cm="1">
        <f t="array" aca="1" ref="AB22" ca="1">_xlfn.IFNA(INDEX(jkm_call_put!$H:$H,MATCH($B22&amp;AB$2&amp;$A$1,jkm_call_put!$G:$G&amp;jkm_call_put!$O:$O&amp;jkm_call_put!$F:$F,0),1),"")</f>
        <v/>
      </c>
      <c r="AC22" s="9" t="str" cm="1">
        <f t="array" aca="1" ref="AC22" ca="1">_xlfn.IFNA(INDEX(jkm_call_put!$H:$H,MATCH($B22&amp;AC$2&amp;$A$1,jkm_call_put!$G:$G&amp;jkm_call_put!$O:$O&amp;jkm_call_put!$F:$F,0),1),"")</f>
        <v/>
      </c>
      <c r="AD22" s="9" t="str" cm="1">
        <f t="array" aca="1" ref="AD22" ca="1">_xlfn.IFNA(INDEX(jkm_call_put!$H:$H,MATCH($B22&amp;AD$2&amp;$A$1,jkm_call_put!$G:$G&amp;jkm_call_put!$O:$O&amp;jkm_call_put!$F:$F,0),1),"")</f>
        <v/>
      </c>
      <c r="AE22" s="9" t="str" cm="1">
        <f t="array" aca="1" ref="AE22" ca="1">_xlfn.IFNA(INDEX(jkm_call_put!$H:$H,MATCH($B22&amp;AE$2&amp;$A$1,jkm_call_put!$G:$G&amp;jkm_call_put!$O:$O&amp;jkm_call_put!$F:$F,0),1),"")</f>
        <v/>
      </c>
      <c r="AF22" s="9" t="str" cm="1">
        <f t="array" aca="1" ref="AF22" ca="1">_xlfn.IFNA(INDEX(jkm_call_put!$H:$H,MATCH($B22&amp;AF$2&amp;$A$1,jkm_call_put!$G:$G&amp;jkm_call_put!$O:$O&amp;jkm_call_put!$F:$F,0),1),"")</f>
        <v/>
      </c>
      <c r="AG22" s="9" t="str" cm="1">
        <f t="array" aca="1" ref="AG22" ca="1">_xlfn.IFNA(INDEX(jkm_call_put!$H:$H,MATCH($B22&amp;AG$2&amp;$A$1,jkm_call_put!$G:$G&amp;jkm_call_put!$O:$O&amp;jkm_call_put!$F:$F,0),1),"")</f>
        <v/>
      </c>
      <c r="AH22" s="9" t="str" cm="1">
        <f t="array" aca="1" ref="AH22" ca="1">_xlfn.IFNA(INDEX(jkm_call_put!$H:$H,MATCH($B22&amp;AH$2&amp;$A$1,jkm_call_put!$G:$G&amp;jkm_call_put!$O:$O&amp;jkm_call_put!$F:$F,0),1),"")</f>
        <v/>
      </c>
      <c r="AI22" s="9" t="str" cm="1">
        <f t="array" aca="1" ref="AI22" ca="1">_xlfn.IFNA(INDEX(jkm_call_put!$H:$H,MATCH($B22&amp;AI$2&amp;$A$1,jkm_call_put!$G:$G&amp;jkm_call_put!$O:$O&amp;jkm_call_put!$F:$F,0),1),"")</f>
        <v/>
      </c>
      <c r="AJ22" s="9" t="str" cm="1">
        <f t="array" aca="1" ref="AJ22" ca="1">_xlfn.IFNA(INDEX(jkm_call_put!$H:$H,MATCH($B22&amp;AJ$2&amp;$A$1,jkm_call_put!$G:$G&amp;jkm_call_put!$O:$O&amp;jkm_call_put!$F:$F,0),1),"")</f>
        <v/>
      </c>
      <c r="AK22" s="9" t="str" cm="1">
        <f t="array" aca="1" ref="AK22" ca="1">_xlfn.IFNA(INDEX(jkm_call_put!$H:$H,MATCH($B22&amp;AK$2&amp;$A$1,jkm_call_put!$G:$G&amp;jkm_call_put!$O:$O&amp;jkm_call_put!$F:$F,0),1),"")</f>
        <v/>
      </c>
      <c r="AL22" s="9" t="str" cm="1">
        <f t="array" aca="1" ref="AL22" ca="1">_xlfn.IFNA(INDEX(jkm_call_put!$H:$H,MATCH($B22&amp;AL$2&amp;$A$1,jkm_call_put!$G:$G&amp;jkm_call_put!$O:$O&amp;jkm_call_put!$F:$F,0),1),"")</f>
        <v/>
      </c>
    </row>
    <row r="23" spans="1:38" ht="15" customHeight="1" x14ac:dyDescent="0.25">
      <c r="A23" s="11"/>
      <c r="B23" s="6">
        <v>20</v>
      </c>
      <c r="C23" s="9" cm="1">
        <f t="array" aca="1" ref="C23" ca="1">_xlfn.IFNA(INDEX(jkm_call_put!$H:$H,MATCH($B23&amp;C$2&amp;$A$1,jkm_call_put!$G:$G&amp;jkm_call_put!$O:$O&amp;jkm_call_put!$F:$F,0),1),"")</f>
        <v>0.43099999999999999</v>
      </c>
      <c r="D23" s="9" cm="1">
        <f t="array" aca="1" ref="D23" ca="1">_xlfn.IFNA(INDEX(jkm_call_put!$H:$H,MATCH($B23&amp;D$2&amp;$A$1,jkm_call_put!$G:$G&amp;jkm_call_put!$O:$O&amp;jkm_call_put!$F:$F,0),1),"")</f>
        <v>0.81</v>
      </c>
      <c r="E23" s="9" cm="1">
        <f t="array" aca="1" ref="E23" ca="1">_xlfn.IFNA(INDEX(jkm_call_put!$H:$H,MATCH($B23&amp;E$2&amp;$A$1,jkm_call_put!$G:$G&amp;jkm_call_put!$O:$O&amp;jkm_call_put!$F:$F,0),1),"")</f>
        <v>2.173</v>
      </c>
      <c r="F23" s="9" cm="1">
        <f t="array" aca="1" ref="F23" ca="1">_xlfn.IFNA(INDEX(jkm_call_put!$H:$H,MATCH($B23&amp;F$2&amp;$A$1,jkm_call_put!$G:$G&amp;jkm_call_put!$O:$O&amp;jkm_call_put!$F:$F,0),1),"")</f>
        <v>2.4929999999999999</v>
      </c>
      <c r="G23" s="9" cm="1">
        <f t="array" aca="1" ref="G23" ca="1">_xlfn.IFNA(INDEX(jkm_call_put!$H:$H,MATCH($B23&amp;G$2&amp;$A$1,jkm_call_put!$G:$G&amp;jkm_call_put!$O:$O&amp;jkm_call_put!$F:$F,0),1),"")</f>
        <v>2.819</v>
      </c>
      <c r="H23" s="9" cm="1">
        <f t="array" aca="1" ref="H23" ca="1">_xlfn.IFNA(INDEX(jkm_call_put!$H:$H,MATCH($B23&amp;H$2&amp;$A$1,jkm_call_put!$G:$G&amp;jkm_call_put!$O:$O&amp;jkm_call_put!$F:$F,0),1),"")</f>
        <v>2.1339999999999999</v>
      </c>
      <c r="I23" s="9" cm="1">
        <f t="array" aca="1" ref="I23" ca="1">_xlfn.IFNA(INDEX(jkm_call_put!$H:$H,MATCH($B23&amp;I$2&amp;$A$1,jkm_call_put!$G:$G&amp;jkm_call_put!$O:$O&amp;jkm_call_put!$F:$F,0),1),"")</f>
        <v>2.387</v>
      </c>
      <c r="J23" s="9" cm="1">
        <f t="array" aca="1" ref="J23" ca="1">_xlfn.IFNA(INDEX(jkm_call_put!$H:$H,MATCH($B23&amp;J$2&amp;$A$1,jkm_call_put!$G:$G&amp;jkm_call_put!$O:$O&amp;jkm_call_put!$F:$F,0),1),"")</f>
        <v>2.7170000000000001</v>
      </c>
      <c r="K23" s="9" cm="1">
        <f t="array" aca="1" ref="K23" ca="1">_xlfn.IFNA(INDEX(jkm_call_put!$H:$H,MATCH($B23&amp;K$2&amp;$A$1,jkm_call_put!$G:$G&amp;jkm_call_put!$O:$O&amp;jkm_call_put!$F:$F,0),1),"")</f>
        <v>2.9079999999999999</v>
      </c>
      <c r="L23" s="9" cm="1">
        <f t="array" aca="1" ref="L23" ca="1">_xlfn.IFNA(INDEX(jkm_call_put!$H:$H,MATCH($B23&amp;L$2&amp;$A$1,jkm_call_put!$G:$G&amp;jkm_call_put!$O:$O&amp;jkm_call_put!$F:$F,0),1),"")</f>
        <v>2.9780000000000002</v>
      </c>
      <c r="M23" s="9" cm="1">
        <f t="array" aca="1" ref="M23" ca="1">_xlfn.IFNA(INDEX(jkm_call_put!$H:$H,MATCH($B23&amp;M$2&amp;$A$1,jkm_call_put!$G:$G&amp;jkm_call_put!$O:$O&amp;jkm_call_put!$F:$F,0),1),"")</f>
        <v>2.5329999999999999</v>
      </c>
      <c r="N23" s="9" cm="1">
        <f t="array" aca="1" ref="N23" ca="1">_xlfn.IFNA(INDEX(jkm_call_put!$H:$H,MATCH($B23&amp;N$2&amp;$A$1,jkm_call_put!$G:$G&amp;jkm_call_put!$O:$O&amp;jkm_call_put!$F:$F,0),1),"")</f>
        <v>0.97699999999999998</v>
      </c>
      <c r="O23" s="9" cm="1">
        <f t="array" aca="1" ref="O23" ca="1">_xlfn.IFNA(INDEX(jkm_call_put!$H:$H,MATCH($B23&amp;O$2&amp;$A$1,jkm_call_put!$G:$G&amp;jkm_call_put!$O:$O&amp;jkm_call_put!$F:$F,0),1),"")</f>
        <v>0.78900000000000003</v>
      </c>
      <c r="P23" s="9" cm="1">
        <f t="array" aca="1" ref="P23" ca="1">_xlfn.IFNA(INDEX(jkm_call_put!$H:$H,MATCH($B23&amp;P$2&amp;$A$1,jkm_call_put!$G:$G&amp;jkm_call_put!$O:$O&amp;jkm_call_put!$F:$F,0),1),"")</f>
        <v>0.78300000000000003</v>
      </c>
      <c r="Q23" s="9" cm="1">
        <f t="array" aca="1" ref="Q23" ca="1">_xlfn.IFNA(INDEX(jkm_call_put!$H:$H,MATCH($B23&amp;Q$2&amp;$A$1,jkm_call_put!$G:$G&amp;jkm_call_put!$O:$O&amp;jkm_call_put!$F:$F,0),1),"")</f>
        <v>0.85299999999999998</v>
      </c>
      <c r="R23" s="9" cm="1">
        <f t="array" aca="1" ref="R23" ca="1">_xlfn.IFNA(INDEX(jkm_call_put!$H:$H,MATCH($B23&amp;R$2&amp;$A$1,jkm_call_put!$G:$G&amp;jkm_call_put!$O:$O&amp;jkm_call_put!$F:$F,0),1),"")</f>
        <v>0.97099999999999997</v>
      </c>
      <c r="S23" s="9" cm="1">
        <f t="array" aca="1" ref="S23" ca="1">_xlfn.IFNA(INDEX(jkm_call_put!$H:$H,MATCH($B23&amp;S$2&amp;$A$1,jkm_call_put!$G:$G&amp;jkm_call_put!$O:$O&amp;jkm_call_put!$F:$F,0),1),"")</f>
        <v>0.97499999999999998</v>
      </c>
      <c r="T23" s="9" cm="1">
        <f t="array" aca="1" ref="T23" ca="1">_xlfn.IFNA(INDEX(jkm_call_put!$H:$H,MATCH($B23&amp;T$2&amp;$A$1,jkm_call_put!$G:$G&amp;jkm_call_put!$O:$O&amp;jkm_call_put!$F:$F,0),1),"")</f>
        <v>0.42499999999999999</v>
      </c>
      <c r="U23" s="9" cm="1">
        <f t="array" aca="1" ref="U23" ca="1">_xlfn.IFNA(INDEX(jkm_call_put!$H:$H,MATCH($B23&amp;U$2&amp;$A$1,jkm_call_put!$G:$G&amp;jkm_call_put!$O:$O&amp;jkm_call_put!$F:$F,0),1),"")</f>
        <v>0.47899999999999998</v>
      </c>
      <c r="V23" s="9" cm="1">
        <f t="array" aca="1" ref="V23" ca="1">_xlfn.IFNA(INDEX(jkm_call_put!$H:$H,MATCH($B23&amp;V$2&amp;$A$1,jkm_call_put!$G:$G&amp;jkm_call_put!$O:$O&amp;jkm_call_put!$F:$F,0),1),"")</f>
        <v>0.58399999999999996</v>
      </c>
      <c r="W23" s="9" t="str" cm="1">
        <f t="array" aca="1" ref="W23" ca="1">_xlfn.IFNA(INDEX(jkm_call_put!$H:$H,MATCH($B23&amp;W$2&amp;$A$1,jkm_call_put!$G:$G&amp;jkm_call_put!$O:$O&amp;jkm_call_put!$F:$F,0),1),"")</f>
        <v/>
      </c>
      <c r="X23" s="9" t="str" cm="1">
        <f t="array" aca="1" ref="X23" ca="1">_xlfn.IFNA(INDEX(jkm_call_put!$H:$H,MATCH($B23&amp;X$2&amp;$A$1,jkm_call_put!$G:$G&amp;jkm_call_put!$O:$O&amp;jkm_call_put!$F:$F,0),1),"")</f>
        <v/>
      </c>
      <c r="Y23" s="9" t="str" cm="1">
        <f t="array" aca="1" ref="Y23" ca="1">_xlfn.IFNA(INDEX(jkm_call_put!$H:$H,MATCH($B23&amp;Y$2&amp;$A$1,jkm_call_put!$G:$G&amp;jkm_call_put!$O:$O&amp;jkm_call_put!$F:$F,0),1),"")</f>
        <v/>
      </c>
      <c r="Z23" s="9" t="str" cm="1">
        <f t="array" aca="1" ref="Z23" ca="1">_xlfn.IFNA(INDEX(jkm_call_put!$H:$H,MATCH($B23&amp;Z$2&amp;$A$1,jkm_call_put!$G:$G&amp;jkm_call_put!$O:$O&amp;jkm_call_put!$F:$F,0),1),"")</f>
        <v/>
      </c>
      <c r="AA23" s="9" t="str" cm="1">
        <f t="array" aca="1" ref="AA23" ca="1">_xlfn.IFNA(INDEX(jkm_call_put!$H:$H,MATCH($B23&amp;AA$2&amp;$A$1,jkm_call_put!$G:$G&amp;jkm_call_put!$O:$O&amp;jkm_call_put!$F:$F,0),1),"")</f>
        <v/>
      </c>
      <c r="AB23" s="9" t="str" cm="1">
        <f t="array" aca="1" ref="AB23" ca="1">_xlfn.IFNA(INDEX(jkm_call_put!$H:$H,MATCH($B23&amp;AB$2&amp;$A$1,jkm_call_put!$G:$G&amp;jkm_call_put!$O:$O&amp;jkm_call_put!$F:$F,0),1),"")</f>
        <v/>
      </c>
      <c r="AC23" s="9" t="str" cm="1">
        <f t="array" aca="1" ref="AC23" ca="1">_xlfn.IFNA(INDEX(jkm_call_put!$H:$H,MATCH($B23&amp;AC$2&amp;$A$1,jkm_call_put!$G:$G&amp;jkm_call_put!$O:$O&amp;jkm_call_put!$F:$F,0),1),"")</f>
        <v/>
      </c>
      <c r="AD23" s="9" t="str" cm="1">
        <f t="array" aca="1" ref="AD23" ca="1">_xlfn.IFNA(INDEX(jkm_call_put!$H:$H,MATCH($B23&amp;AD$2&amp;$A$1,jkm_call_put!$G:$G&amp;jkm_call_put!$O:$O&amp;jkm_call_put!$F:$F,0),1),"")</f>
        <v/>
      </c>
      <c r="AE23" s="9" t="str" cm="1">
        <f t="array" aca="1" ref="AE23" ca="1">_xlfn.IFNA(INDEX(jkm_call_put!$H:$H,MATCH($B23&amp;AE$2&amp;$A$1,jkm_call_put!$G:$G&amp;jkm_call_put!$O:$O&amp;jkm_call_put!$F:$F,0),1),"")</f>
        <v/>
      </c>
      <c r="AF23" s="9" t="str" cm="1">
        <f t="array" aca="1" ref="AF23" ca="1">_xlfn.IFNA(INDEX(jkm_call_put!$H:$H,MATCH($B23&amp;AF$2&amp;$A$1,jkm_call_put!$G:$G&amp;jkm_call_put!$O:$O&amp;jkm_call_put!$F:$F,0),1),"")</f>
        <v/>
      </c>
      <c r="AG23" s="9" t="str" cm="1">
        <f t="array" aca="1" ref="AG23" ca="1">_xlfn.IFNA(INDEX(jkm_call_put!$H:$H,MATCH($B23&amp;AG$2&amp;$A$1,jkm_call_put!$G:$G&amp;jkm_call_put!$O:$O&amp;jkm_call_put!$F:$F,0),1),"")</f>
        <v/>
      </c>
      <c r="AH23" s="9" t="str" cm="1">
        <f t="array" aca="1" ref="AH23" ca="1">_xlfn.IFNA(INDEX(jkm_call_put!$H:$H,MATCH($B23&amp;AH$2&amp;$A$1,jkm_call_put!$G:$G&amp;jkm_call_put!$O:$O&amp;jkm_call_put!$F:$F,0),1),"")</f>
        <v/>
      </c>
      <c r="AI23" s="9" t="str" cm="1">
        <f t="array" aca="1" ref="AI23" ca="1">_xlfn.IFNA(INDEX(jkm_call_put!$H:$H,MATCH($B23&amp;AI$2&amp;$A$1,jkm_call_put!$G:$G&amp;jkm_call_put!$O:$O&amp;jkm_call_put!$F:$F,0),1),"")</f>
        <v/>
      </c>
      <c r="AJ23" s="9" t="str" cm="1">
        <f t="array" aca="1" ref="AJ23" ca="1">_xlfn.IFNA(INDEX(jkm_call_put!$H:$H,MATCH($B23&amp;AJ$2&amp;$A$1,jkm_call_put!$G:$G&amp;jkm_call_put!$O:$O&amp;jkm_call_put!$F:$F,0),1),"")</f>
        <v/>
      </c>
      <c r="AK23" s="9" t="str" cm="1">
        <f t="array" aca="1" ref="AK23" ca="1">_xlfn.IFNA(INDEX(jkm_call_put!$H:$H,MATCH($B23&amp;AK$2&amp;$A$1,jkm_call_put!$G:$G&amp;jkm_call_put!$O:$O&amp;jkm_call_put!$F:$F,0),1),"")</f>
        <v/>
      </c>
      <c r="AL23" s="9" t="str" cm="1">
        <f t="array" aca="1" ref="AL23" ca="1">_xlfn.IFNA(INDEX(jkm_call_put!$H:$H,MATCH($B23&amp;AL$2&amp;$A$1,jkm_call_put!$G:$G&amp;jkm_call_put!$O:$O&amp;jkm_call_put!$F:$F,0),1),"")</f>
        <v/>
      </c>
    </row>
    <row r="24" spans="1:38" ht="15" customHeight="1" x14ac:dyDescent="0.25">
      <c r="A24" s="11"/>
      <c r="B24" s="6">
        <v>25</v>
      </c>
      <c r="C24" s="9" cm="1">
        <f t="array" aca="1" ref="C24" ca="1">_xlfn.IFNA(INDEX(jkm_call_put!$H:$H,MATCH($B24&amp;C$2&amp;$A$1,jkm_call_put!$G:$G&amp;jkm_call_put!$O:$O&amp;jkm_call_put!$F:$F,0),1),"")</f>
        <v>1E-3</v>
      </c>
      <c r="D24" s="9" cm="1">
        <f t="array" aca="1" ref="D24" ca="1">_xlfn.IFNA(INDEX(jkm_call_put!$H:$H,MATCH($B24&amp;D$2&amp;$A$1,jkm_call_put!$G:$G&amp;jkm_call_put!$O:$O&amp;jkm_call_put!$F:$F,0),1),"")</f>
        <v>6.5000000000000002E-2</v>
      </c>
      <c r="E24" s="9" cm="1">
        <f t="array" aca="1" ref="E24" ca="1">_xlfn.IFNA(INDEX(jkm_call_put!$H:$H,MATCH($B24&amp;E$2&amp;$A$1,jkm_call_put!$G:$G&amp;jkm_call_put!$O:$O&amp;jkm_call_put!$F:$F,0),1),"")</f>
        <v>0.96599999999999997</v>
      </c>
      <c r="F24" s="9" cm="1">
        <f t="array" aca="1" ref="F24" ca="1">_xlfn.IFNA(INDEX(jkm_call_put!$H:$H,MATCH($B24&amp;F$2&amp;$A$1,jkm_call_put!$G:$G&amp;jkm_call_put!$O:$O&amp;jkm_call_put!$F:$F,0),1),"")</f>
        <v>1.302</v>
      </c>
      <c r="G24" s="9" cm="1">
        <f t="array" aca="1" ref="G24" ca="1">_xlfn.IFNA(INDEX(jkm_call_put!$H:$H,MATCH($B24&amp;G$2&amp;$A$1,jkm_call_put!$G:$G&amp;jkm_call_put!$O:$O&amp;jkm_call_put!$F:$F,0),1),"")</f>
        <v>1.6719999999999999</v>
      </c>
      <c r="H24" s="9" cm="1">
        <f t="array" aca="1" ref="H24" ca="1">_xlfn.IFNA(INDEX(jkm_call_put!$H:$H,MATCH($B24&amp;H$2&amp;$A$1,jkm_call_put!$G:$G&amp;jkm_call_put!$O:$O&amp;jkm_call_put!$F:$F,0),1),"")</f>
        <v>1.0760000000000001</v>
      </c>
      <c r="I24" s="9" cm="1">
        <f t="array" aca="1" ref="I24" ca="1">_xlfn.IFNA(INDEX(jkm_call_put!$H:$H,MATCH($B24&amp;I$2&amp;$A$1,jkm_call_put!$G:$G&amp;jkm_call_put!$O:$O&amp;jkm_call_put!$F:$F,0),1),"")</f>
        <v>1.302</v>
      </c>
      <c r="J24" s="9" cm="1">
        <f t="array" aca="1" ref="J24" ca="1">_xlfn.IFNA(INDEX(jkm_call_put!$H:$H,MATCH($B24&amp;J$2&amp;$A$1,jkm_call_put!$G:$G&amp;jkm_call_put!$O:$O&amp;jkm_call_put!$F:$F,0),1),"")</f>
        <v>1.581</v>
      </c>
      <c r="K24" s="9" cm="1">
        <f t="array" aca="1" ref="K24" ca="1">_xlfn.IFNA(INDEX(jkm_call_put!$H:$H,MATCH($B24&amp;K$2&amp;$A$1,jkm_call_put!$G:$G&amp;jkm_call_put!$O:$O&amp;jkm_call_put!$F:$F,0),1),"")</f>
        <v>1.77</v>
      </c>
      <c r="L24" s="9" t="str" cm="1">
        <f t="array" aca="1" ref="L24" ca="1">_xlfn.IFNA(INDEX(jkm_call_put!$H:$H,MATCH($B24&amp;L$2&amp;$A$1,jkm_call_put!$G:$G&amp;jkm_call_put!$O:$O&amp;jkm_call_put!$F:$F,0),1),"")</f>
        <v/>
      </c>
      <c r="M24" s="9" t="str" cm="1">
        <f t="array" aca="1" ref="M24" ca="1">_xlfn.IFNA(INDEX(jkm_call_put!$H:$H,MATCH($B24&amp;M$2&amp;$A$1,jkm_call_put!$G:$G&amp;jkm_call_put!$O:$O&amp;jkm_call_put!$F:$F,0),1),"")</f>
        <v/>
      </c>
      <c r="N24" s="9" t="str" cm="1">
        <f t="array" aca="1" ref="N24" ca="1">_xlfn.IFNA(INDEX(jkm_call_put!$H:$H,MATCH($B24&amp;N$2&amp;$A$1,jkm_call_put!$G:$G&amp;jkm_call_put!$O:$O&amp;jkm_call_put!$F:$F,0),1),"")</f>
        <v/>
      </c>
      <c r="O24" s="9" t="str" cm="1">
        <f t="array" aca="1" ref="O24" ca="1">_xlfn.IFNA(INDEX(jkm_call_put!$H:$H,MATCH($B24&amp;O$2&amp;$A$1,jkm_call_put!$G:$G&amp;jkm_call_put!$O:$O&amp;jkm_call_put!$F:$F,0),1),"")</f>
        <v/>
      </c>
      <c r="P24" s="9" t="str" cm="1">
        <f t="array" aca="1" ref="P24" ca="1">_xlfn.IFNA(INDEX(jkm_call_put!$H:$H,MATCH($B24&amp;P$2&amp;$A$1,jkm_call_put!$G:$G&amp;jkm_call_put!$O:$O&amp;jkm_call_put!$F:$F,0),1),"")</f>
        <v/>
      </c>
      <c r="Q24" s="9" t="str" cm="1">
        <f t="array" aca="1" ref="Q24" ca="1">_xlfn.IFNA(INDEX(jkm_call_put!$H:$H,MATCH($B24&amp;Q$2&amp;$A$1,jkm_call_put!$G:$G&amp;jkm_call_put!$O:$O&amp;jkm_call_put!$F:$F,0),1),"")</f>
        <v/>
      </c>
      <c r="R24" s="9" t="str" cm="1">
        <f t="array" aca="1" ref="R24" ca="1">_xlfn.IFNA(INDEX(jkm_call_put!$H:$H,MATCH($B24&amp;R$2&amp;$A$1,jkm_call_put!$G:$G&amp;jkm_call_put!$O:$O&amp;jkm_call_put!$F:$F,0),1),"")</f>
        <v/>
      </c>
      <c r="S24" s="9" t="str" cm="1">
        <f t="array" aca="1" ref="S24" ca="1">_xlfn.IFNA(INDEX(jkm_call_put!$H:$H,MATCH($B24&amp;S$2&amp;$A$1,jkm_call_put!$G:$G&amp;jkm_call_put!$O:$O&amp;jkm_call_put!$F:$F,0),1),"")</f>
        <v/>
      </c>
      <c r="T24" s="9" t="str" cm="1">
        <f t="array" aca="1" ref="T24" ca="1">_xlfn.IFNA(INDEX(jkm_call_put!$H:$H,MATCH($B24&amp;T$2&amp;$A$1,jkm_call_put!$G:$G&amp;jkm_call_put!$O:$O&amp;jkm_call_put!$F:$F,0),1),"")</f>
        <v/>
      </c>
      <c r="U24" s="9" t="str" cm="1">
        <f t="array" aca="1" ref="U24" ca="1">_xlfn.IFNA(INDEX(jkm_call_put!$H:$H,MATCH($B24&amp;U$2&amp;$A$1,jkm_call_put!$G:$G&amp;jkm_call_put!$O:$O&amp;jkm_call_put!$F:$F,0),1),"")</f>
        <v/>
      </c>
      <c r="V24" s="9" t="str" cm="1">
        <f t="array" aca="1" ref="V24" ca="1">_xlfn.IFNA(INDEX(jkm_call_put!$H:$H,MATCH($B24&amp;V$2&amp;$A$1,jkm_call_put!$G:$G&amp;jkm_call_put!$O:$O&amp;jkm_call_put!$F:$F,0),1),"")</f>
        <v/>
      </c>
      <c r="W24" s="9" t="str" cm="1">
        <f t="array" aca="1" ref="W24" ca="1">_xlfn.IFNA(INDEX(jkm_call_put!$H:$H,MATCH($B24&amp;W$2&amp;$A$1,jkm_call_put!$G:$G&amp;jkm_call_put!$O:$O&amp;jkm_call_put!$F:$F,0),1),"")</f>
        <v/>
      </c>
      <c r="X24" s="9" t="str" cm="1">
        <f t="array" aca="1" ref="X24" ca="1">_xlfn.IFNA(INDEX(jkm_call_put!$H:$H,MATCH($B24&amp;X$2&amp;$A$1,jkm_call_put!$G:$G&amp;jkm_call_put!$O:$O&amp;jkm_call_put!$F:$F,0),1),"")</f>
        <v/>
      </c>
      <c r="Y24" s="9" t="str" cm="1">
        <f t="array" aca="1" ref="Y24" ca="1">_xlfn.IFNA(INDEX(jkm_call_put!$H:$H,MATCH($B24&amp;Y$2&amp;$A$1,jkm_call_put!$G:$G&amp;jkm_call_put!$O:$O&amp;jkm_call_put!$F:$F,0),1),"")</f>
        <v/>
      </c>
      <c r="Z24" s="9" t="str" cm="1">
        <f t="array" aca="1" ref="Z24" ca="1">_xlfn.IFNA(INDEX(jkm_call_put!$H:$H,MATCH($B24&amp;Z$2&amp;$A$1,jkm_call_put!$G:$G&amp;jkm_call_put!$O:$O&amp;jkm_call_put!$F:$F,0),1),"")</f>
        <v/>
      </c>
      <c r="AA24" s="9" t="str" cm="1">
        <f t="array" aca="1" ref="AA24" ca="1">_xlfn.IFNA(INDEX(jkm_call_put!$H:$H,MATCH($B24&amp;AA$2&amp;$A$1,jkm_call_put!$G:$G&amp;jkm_call_put!$O:$O&amp;jkm_call_put!$F:$F,0),1),"")</f>
        <v/>
      </c>
      <c r="AB24" s="9" t="str" cm="1">
        <f t="array" aca="1" ref="AB24" ca="1">_xlfn.IFNA(INDEX(jkm_call_put!$H:$H,MATCH($B24&amp;AB$2&amp;$A$1,jkm_call_put!$G:$G&amp;jkm_call_put!$O:$O&amp;jkm_call_put!$F:$F,0),1),"")</f>
        <v/>
      </c>
      <c r="AC24" s="9" t="str" cm="1">
        <f t="array" aca="1" ref="AC24" ca="1">_xlfn.IFNA(INDEX(jkm_call_put!$H:$H,MATCH($B24&amp;AC$2&amp;$A$1,jkm_call_put!$G:$G&amp;jkm_call_put!$O:$O&amp;jkm_call_put!$F:$F,0),1),"")</f>
        <v/>
      </c>
      <c r="AD24" s="9" t="str" cm="1">
        <f t="array" aca="1" ref="AD24" ca="1">_xlfn.IFNA(INDEX(jkm_call_put!$H:$H,MATCH($B24&amp;AD$2&amp;$A$1,jkm_call_put!$G:$G&amp;jkm_call_put!$O:$O&amp;jkm_call_put!$F:$F,0),1),"")</f>
        <v/>
      </c>
      <c r="AE24" s="9" t="str" cm="1">
        <f t="array" aca="1" ref="AE24" ca="1">_xlfn.IFNA(INDEX(jkm_call_put!$H:$H,MATCH($B24&amp;AE$2&amp;$A$1,jkm_call_put!$G:$G&amp;jkm_call_put!$O:$O&amp;jkm_call_put!$F:$F,0),1),"")</f>
        <v/>
      </c>
      <c r="AF24" s="9" t="str" cm="1">
        <f t="array" aca="1" ref="AF24" ca="1">_xlfn.IFNA(INDEX(jkm_call_put!$H:$H,MATCH($B24&amp;AF$2&amp;$A$1,jkm_call_put!$G:$G&amp;jkm_call_put!$O:$O&amp;jkm_call_put!$F:$F,0),1),"")</f>
        <v/>
      </c>
      <c r="AG24" s="9" t="str" cm="1">
        <f t="array" aca="1" ref="AG24" ca="1">_xlfn.IFNA(INDEX(jkm_call_put!$H:$H,MATCH($B24&amp;AG$2&amp;$A$1,jkm_call_put!$G:$G&amp;jkm_call_put!$O:$O&amp;jkm_call_put!$F:$F,0),1),"")</f>
        <v/>
      </c>
      <c r="AH24" s="9" t="str" cm="1">
        <f t="array" aca="1" ref="AH24" ca="1">_xlfn.IFNA(INDEX(jkm_call_put!$H:$H,MATCH($B24&amp;AH$2&amp;$A$1,jkm_call_put!$G:$G&amp;jkm_call_put!$O:$O&amp;jkm_call_put!$F:$F,0),1),"")</f>
        <v/>
      </c>
      <c r="AI24" s="9" t="str" cm="1">
        <f t="array" aca="1" ref="AI24" ca="1">_xlfn.IFNA(INDEX(jkm_call_put!$H:$H,MATCH($B24&amp;AI$2&amp;$A$1,jkm_call_put!$G:$G&amp;jkm_call_put!$O:$O&amp;jkm_call_put!$F:$F,0),1),"")</f>
        <v/>
      </c>
      <c r="AJ24" s="9" t="str" cm="1">
        <f t="array" aca="1" ref="AJ24" ca="1">_xlfn.IFNA(INDEX(jkm_call_put!$H:$H,MATCH($B24&amp;AJ$2&amp;$A$1,jkm_call_put!$G:$G&amp;jkm_call_put!$O:$O&amp;jkm_call_put!$F:$F,0),1),"")</f>
        <v/>
      </c>
      <c r="AK24" s="9" t="str" cm="1">
        <f t="array" aca="1" ref="AK24" ca="1">_xlfn.IFNA(INDEX(jkm_call_put!$H:$H,MATCH($B24&amp;AK$2&amp;$A$1,jkm_call_put!$G:$G&amp;jkm_call_put!$O:$O&amp;jkm_call_put!$F:$F,0),1),"")</f>
        <v/>
      </c>
      <c r="AL24" s="9" t="str" cm="1">
        <f t="array" aca="1" ref="AL24" ca="1">_xlfn.IFNA(INDEX(jkm_call_put!$H:$H,MATCH($B24&amp;AL$2&amp;$A$1,jkm_call_put!$G:$G&amp;jkm_call_put!$O:$O&amp;jkm_call_put!$F:$F,0),1),"")</f>
        <v/>
      </c>
    </row>
    <row r="25" spans="1:38" ht="15" customHeight="1" x14ac:dyDescent="0.25">
      <c r="A25" s="11"/>
      <c r="B25" s="6">
        <v>0</v>
      </c>
      <c r="C25" s="9" t="str" cm="1">
        <f t="array" aca="1" ref="C25" ca="1">_xlfn.IFNA(INDEX(jkm_call_put!$H:$H,MATCH($B25&amp;C$2&amp;$A$1,jkm_call_put!$G:$G&amp;jkm_call_put!$O:$O&amp;jkm_call_put!$F:$F,0),1),"")</f>
        <v/>
      </c>
      <c r="D25" s="9" t="str" cm="1">
        <f t="array" aca="1" ref="D25" ca="1">_xlfn.IFNA(INDEX(jkm_call_put!$H:$H,MATCH($B25&amp;D$2&amp;$A$1,jkm_call_put!$G:$G&amp;jkm_call_put!$O:$O&amp;jkm_call_put!$F:$F,0),1),"")</f>
        <v/>
      </c>
      <c r="E25" s="9" t="str" cm="1">
        <f t="array" aca="1" ref="E25" ca="1">_xlfn.IFNA(INDEX(jkm_call_put!$H:$H,MATCH($B25&amp;E$2&amp;$A$1,jkm_call_put!$G:$G&amp;jkm_call_put!$O:$O&amp;jkm_call_put!$F:$F,0),1),"")</f>
        <v/>
      </c>
      <c r="F25" s="9" t="str" cm="1">
        <f t="array" aca="1" ref="F25" ca="1">_xlfn.IFNA(INDEX(jkm_call_put!$H:$H,MATCH($B25&amp;F$2&amp;$A$1,jkm_call_put!$G:$G&amp;jkm_call_put!$O:$O&amp;jkm_call_put!$F:$F,0),1),"")</f>
        <v/>
      </c>
      <c r="G25" s="9" t="str" cm="1">
        <f t="array" aca="1" ref="G25" ca="1">_xlfn.IFNA(INDEX(jkm_call_put!$H:$H,MATCH($B25&amp;G$2&amp;$A$1,jkm_call_put!$G:$G&amp;jkm_call_put!$O:$O&amp;jkm_call_put!$F:$F,0),1),"")</f>
        <v/>
      </c>
      <c r="H25" s="9" t="str" cm="1">
        <f t="array" aca="1" ref="H25" ca="1">_xlfn.IFNA(INDEX(jkm_call_put!$H:$H,MATCH($B25&amp;H$2&amp;$A$1,jkm_call_put!$G:$G&amp;jkm_call_put!$O:$O&amp;jkm_call_put!$F:$F,0),1),"")</f>
        <v/>
      </c>
      <c r="I25" s="9" t="str" cm="1">
        <f t="array" aca="1" ref="I25" ca="1">_xlfn.IFNA(INDEX(jkm_call_put!$H:$H,MATCH($B25&amp;I$2&amp;$A$1,jkm_call_put!$G:$G&amp;jkm_call_put!$O:$O&amp;jkm_call_put!$F:$F,0),1),"")</f>
        <v/>
      </c>
      <c r="J25" s="9" t="str" cm="1">
        <f t="array" aca="1" ref="J25" ca="1">_xlfn.IFNA(INDEX(jkm_call_put!$H:$H,MATCH($B25&amp;J$2&amp;$A$1,jkm_call_put!$G:$G&amp;jkm_call_put!$O:$O&amp;jkm_call_put!$F:$F,0),1),"")</f>
        <v/>
      </c>
      <c r="K25" s="9" t="str" cm="1">
        <f t="array" aca="1" ref="K25" ca="1">_xlfn.IFNA(INDEX(jkm_call_put!$H:$H,MATCH($B25&amp;K$2&amp;$A$1,jkm_call_put!$G:$G&amp;jkm_call_put!$O:$O&amp;jkm_call_put!$F:$F,0),1),"")</f>
        <v/>
      </c>
      <c r="L25" s="9" t="str" cm="1">
        <f t="array" aca="1" ref="L25" ca="1">_xlfn.IFNA(INDEX(jkm_call_put!$H:$H,MATCH($B25&amp;L$2&amp;$A$1,jkm_call_put!$G:$G&amp;jkm_call_put!$O:$O&amp;jkm_call_put!$F:$F,0),1),"")</f>
        <v/>
      </c>
      <c r="M25" s="9" t="str" cm="1">
        <f t="array" aca="1" ref="M25" ca="1">_xlfn.IFNA(INDEX(jkm_call_put!$H:$H,MATCH($B25&amp;M$2&amp;$A$1,jkm_call_put!$G:$G&amp;jkm_call_put!$O:$O&amp;jkm_call_put!$F:$F,0),1),"")</f>
        <v/>
      </c>
      <c r="N25" s="9" t="str" cm="1">
        <f t="array" aca="1" ref="N25" ca="1">_xlfn.IFNA(INDEX(jkm_call_put!$H:$H,MATCH($B25&amp;N$2&amp;$A$1,jkm_call_put!$G:$G&amp;jkm_call_put!$O:$O&amp;jkm_call_put!$F:$F,0),1),"")</f>
        <v/>
      </c>
      <c r="O25" s="9" t="str" cm="1">
        <f t="array" aca="1" ref="O25" ca="1">_xlfn.IFNA(INDEX(jkm_call_put!$H:$H,MATCH($B25&amp;O$2&amp;$A$1,jkm_call_put!$G:$G&amp;jkm_call_put!$O:$O&amp;jkm_call_put!$F:$F,0),1),"")</f>
        <v/>
      </c>
      <c r="P25" s="9" t="str" cm="1">
        <f t="array" aca="1" ref="P25" ca="1">_xlfn.IFNA(INDEX(jkm_call_put!$H:$H,MATCH($B25&amp;P$2&amp;$A$1,jkm_call_put!$G:$G&amp;jkm_call_put!$O:$O&amp;jkm_call_put!$F:$F,0),1),"")</f>
        <v/>
      </c>
      <c r="Q25" s="9" t="str" cm="1">
        <f t="array" aca="1" ref="Q25" ca="1">_xlfn.IFNA(INDEX(jkm_call_put!$H:$H,MATCH($B25&amp;Q$2&amp;$A$1,jkm_call_put!$G:$G&amp;jkm_call_put!$O:$O&amp;jkm_call_put!$F:$F,0),1),"")</f>
        <v/>
      </c>
      <c r="R25" s="9" t="str" cm="1">
        <f t="array" aca="1" ref="R25" ca="1">_xlfn.IFNA(INDEX(jkm_call_put!$H:$H,MATCH($B25&amp;R$2&amp;$A$1,jkm_call_put!$G:$G&amp;jkm_call_put!$O:$O&amp;jkm_call_put!$F:$F,0),1),"")</f>
        <v/>
      </c>
      <c r="S25" s="9" t="str" cm="1">
        <f t="array" aca="1" ref="S25" ca="1">_xlfn.IFNA(INDEX(jkm_call_put!$H:$H,MATCH($B25&amp;S$2&amp;$A$1,jkm_call_put!$G:$G&amp;jkm_call_put!$O:$O&amp;jkm_call_put!$F:$F,0),1),"")</f>
        <v/>
      </c>
      <c r="T25" s="9" t="str" cm="1">
        <f t="array" aca="1" ref="T25" ca="1">_xlfn.IFNA(INDEX(jkm_call_put!$H:$H,MATCH($B25&amp;T$2&amp;$A$1,jkm_call_put!$G:$G&amp;jkm_call_put!$O:$O&amp;jkm_call_put!$F:$F,0),1),"")</f>
        <v/>
      </c>
      <c r="U25" s="9" t="str" cm="1">
        <f t="array" aca="1" ref="U25" ca="1">_xlfn.IFNA(INDEX(jkm_call_put!$H:$H,MATCH($B25&amp;U$2&amp;$A$1,jkm_call_put!$G:$G&amp;jkm_call_put!$O:$O&amp;jkm_call_put!$F:$F,0),1),"")</f>
        <v/>
      </c>
      <c r="V25" s="9" t="str" cm="1">
        <f t="array" aca="1" ref="V25" ca="1">_xlfn.IFNA(INDEX(jkm_call_put!$H:$H,MATCH($B25&amp;V$2&amp;$A$1,jkm_call_put!$G:$G&amp;jkm_call_put!$O:$O&amp;jkm_call_put!$F:$F,0),1),"")</f>
        <v/>
      </c>
      <c r="W25" s="9" t="str" cm="1">
        <f t="array" aca="1" ref="W25" ca="1">_xlfn.IFNA(INDEX(jkm_call_put!$H:$H,MATCH($B25&amp;W$2&amp;$A$1,jkm_call_put!$G:$G&amp;jkm_call_put!$O:$O&amp;jkm_call_put!$F:$F,0),1),"")</f>
        <v/>
      </c>
      <c r="X25" s="9" t="str" cm="1">
        <f t="array" aca="1" ref="X25" ca="1">_xlfn.IFNA(INDEX(jkm_call_put!$H:$H,MATCH($B25&amp;X$2&amp;$A$1,jkm_call_put!$G:$G&amp;jkm_call_put!$O:$O&amp;jkm_call_put!$F:$F,0),1),"")</f>
        <v/>
      </c>
      <c r="Y25" s="9" t="str" cm="1">
        <f t="array" aca="1" ref="Y25" ca="1">_xlfn.IFNA(INDEX(jkm_call_put!$H:$H,MATCH($B25&amp;Y$2&amp;$A$1,jkm_call_put!$G:$G&amp;jkm_call_put!$O:$O&amp;jkm_call_put!$F:$F,0),1),"")</f>
        <v/>
      </c>
      <c r="Z25" s="9" t="str" cm="1">
        <f t="array" aca="1" ref="Z25" ca="1">_xlfn.IFNA(INDEX(jkm_call_put!$H:$H,MATCH($B25&amp;Z$2&amp;$A$1,jkm_call_put!$G:$G&amp;jkm_call_put!$O:$O&amp;jkm_call_put!$F:$F,0),1),"")</f>
        <v/>
      </c>
      <c r="AA25" s="9" t="str" cm="1">
        <f t="array" aca="1" ref="AA25" ca="1">_xlfn.IFNA(INDEX(jkm_call_put!$H:$H,MATCH($B25&amp;AA$2&amp;$A$1,jkm_call_put!$G:$G&amp;jkm_call_put!$O:$O&amp;jkm_call_put!$F:$F,0),1),"")</f>
        <v/>
      </c>
      <c r="AB25" s="9" t="str" cm="1">
        <f t="array" aca="1" ref="AB25" ca="1">_xlfn.IFNA(INDEX(jkm_call_put!$H:$H,MATCH($B25&amp;AB$2&amp;$A$1,jkm_call_put!$G:$G&amp;jkm_call_put!$O:$O&amp;jkm_call_put!$F:$F,0),1),"")</f>
        <v/>
      </c>
      <c r="AC25" s="9" t="str" cm="1">
        <f t="array" aca="1" ref="AC25" ca="1">_xlfn.IFNA(INDEX(jkm_call_put!$H:$H,MATCH($B25&amp;AC$2&amp;$A$1,jkm_call_put!$G:$G&amp;jkm_call_put!$O:$O&amp;jkm_call_put!$F:$F,0),1),"")</f>
        <v/>
      </c>
      <c r="AD25" s="9" t="str" cm="1">
        <f t="array" aca="1" ref="AD25" ca="1">_xlfn.IFNA(INDEX(jkm_call_put!$H:$H,MATCH($B25&amp;AD$2&amp;$A$1,jkm_call_put!$G:$G&amp;jkm_call_put!$O:$O&amp;jkm_call_put!$F:$F,0),1),"")</f>
        <v/>
      </c>
      <c r="AE25" s="9" t="str" cm="1">
        <f t="array" aca="1" ref="AE25" ca="1">_xlfn.IFNA(INDEX(jkm_call_put!$H:$H,MATCH($B25&amp;AE$2&amp;$A$1,jkm_call_put!$G:$G&amp;jkm_call_put!$O:$O&amp;jkm_call_put!$F:$F,0),1),"")</f>
        <v/>
      </c>
      <c r="AF25" s="9" t="str" cm="1">
        <f t="array" aca="1" ref="AF25" ca="1">_xlfn.IFNA(INDEX(jkm_call_put!$H:$H,MATCH($B25&amp;AF$2&amp;$A$1,jkm_call_put!$G:$G&amp;jkm_call_put!$O:$O&amp;jkm_call_put!$F:$F,0),1),"")</f>
        <v/>
      </c>
      <c r="AG25" s="9" t="str" cm="1">
        <f t="array" aca="1" ref="AG25" ca="1">_xlfn.IFNA(INDEX(jkm_call_put!$H:$H,MATCH($B25&amp;AG$2&amp;$A$1,jkm_call_put!$G:$G&amp;jkm_call_put!$O:$O&amp;jkm_call_put!$F:$F,0),1),"")</f>
        <v/>
      </c>
      <c r="AH25" s="9" t="str" cm="1">
        <f t="array" aca="1" ref="AH25" ca="1">_xlfn.IFNA(INDEX(jkm_call_put!$H:$H,MATCH($B25&amp;AH$2&amp;$A$1,jkm_call_put!$G:$G&amp;jkm_call_put!$O:$O&amp;jkm_call_put!$F:$F,0),1),"")</f>
        <v/>
      </c>
      <c r="AI25" s="9" t="str" cm="1">
        <f t="array" aca="1" ref="AI25" ca="1">_xlfn.IFNA(INDEX(jkm_call_put!$H:$H,MATCH($B25&amp;AI$2&amp;$A$1,jkm_call_put!$G:$G&amp;jkm_call_put!$O:$O&amp;jkm_call_put!$F:$F,0),1),"")</f>
        <v/>
      </c>
      <c r="AJ25" s="9" t="str" cm="1">
        <f t="array" aca="1" ref="AJ25" ca="1">_xlfn.IFNA(INDEX(jkm_call_put!$H:$H,MATCH($B25&amp;AJ$2&amp;$A$1,jkm_call_put!$G:$G&amp;jkm_call_put!$O:$O&amp;jkm_call_put!$F:$F,0),1),"")</f>
        <v/>
      </c>
      <c r="AK25" s="9" t="str" cm="1">
        <f t="array" aca="1" ref="AK25" ca="1">_xlfn.IFNA(INDEX(jkm_call_put!$H:$H,MATCH($B25&amp;AK$2&amp;$A$1,jkm_call_put!$G:$G&amp;jkm_call_put!$O:$O&amp;jkm_call_put!$F:$F,0),1),"")</f>
        <v/>
      </c>
      <c r="AL25" s="9" t="str" cm="1">
        <f t="array" aca="1" ref="AL25" ca="1">_xlfn.IFNA(INDEX(jkm_call_put!$H:$H,MATCH($B25&amp;AL$2&amp;$A$1,jkm_call_put!$G:$G&amp;jkm_call_put!$O:$O&amp;jkm_call_put!$F:$F,0),1),"")</f>
        <v/>
      </c>
    </row>
    <row r="26" spans="1:38" ht="15" customHeight="1" x14ac:dyDescent="0.25">
      <c r="A26" s="5"/>
    </row>
  </sheetData>
  <mergeCells count="2">
    <mergeCell ref="C1:AM1"/>
    <mergeCell ref="A3:A2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059A-7E26-4245-A01F-AC928CDD0599}">
  <dimension ref="A1:AM26"/>
  <sheetViews>
    <sheetView workbookViewId="0">
      <selection activeCell="O27" sqref="O27"/>
    </sheetView>
  </sheetViews>
  <sheetFormatPr defaultRowHeight="15" x14ac:dyDescent="0.25"/>
  <cols>
    <col min="1" max="16384" width="9.140625" style="4"/>
  </cols>
  <sheetData>
    <row r="1" spans="1:39" ht="18.75" x14ac:dyDescent="0.25">
      <c r="A1" s="4" t="s">
        <v>110</v>
      </c>
      <c r="B1" s="4">
        <f ca="1">SUM(C3:AL25)</f>
        <v>540.01899999999978</v>
      </c>
      <c r="C1" s="11" t="s">
        <v>56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</row>
    <row r="2" spans="1:39" x14ac:dyDescent="0.25">
      <c r="C2" s="6">
        <f t="array" aca="1" ref="C2:AL2" ca="1">TRANSPOSE(_xlfn._xlws.SORT(Unique!B2:B37))</f>
        <v>27</v>
      </c>
      <c r="D2" s="6">
        <f ca="1"/>
        <v>57</v>
      </c>
      <c r="E2" s="6">
        <f ca="1"/>
        <v>88</v>
      </c>
      <c r="F2" s="6">
        <f ca="1"/>
        <v>118</v>
      </c>
      <c r="G2" s="6">
        <f ca="1"/>
        <v>148</v>
      </c>
      <c r="H2" s="6">
        <f ca="1"/>
        <v>180</v>
      </c>
      <c r="I2" s="6">
        <f ca="1"/>
        <v>210</v>
      </c>
      <c r="J2" s="6">
        <f ca="1"/>
        <v>239</v>
      </c>
      <c r="K2" s="6">
        <f ca="1"/>
        <v>271</v>
      </c>
      <c r="L2" s="6">
        <f ca="1"/>
        <v>302</v>
      </c>
      <c r="M2" s="6">
        <f ca="1"/>
        <v>333</v>
      </c>
      <c r="N2" s="6">
        <f ca="1"/>
        <v>361</v>
      </c>
      <c r="O2" s="6">
        <f ca="1"/>
        <v>392</v>
      </c>
      <c r="P2" s="6">
        <f ca="1"/>
        <v>421</v>
      </c>
      <c r="Q2" s="6">
        <f ca="1"/>
        <v>453</v>
      </c>
      <c r="R2" s="6">
        <f ca="1"/>
        <v>483</v>
      </c>
      <c r="S2" s="6">
        <f ca="1"/>
        <v>512</v>
      </c>
      <c r="T2" s="6">
        <f ca="1"/>
        <v>545</v>
      </c>
      <c r="U2" s="6">
        <f ca="1"/>
        <v>575</v>
      </c>
      <c r="V2" s="6">
        <f ca="1"/>
        <v>606</v>
      </c>
      <c r="W2" s="6">
        <f ca="1"/>
        <v>636</v>
      </c>
      <c r="X2" s="6">
        <f ca="1"/>
        <v>666</v>
      </c>
      <c r="Y2" s="6">
        <f ca="1"/>
        <v>698</v>
      </c>
      <c r="Z2" s="6">
        <f ca="1"/>
        <v>727</v>
      </c>
      <c r="AA2" s="6">
        <f ca="1"/>
        <v>756</v>
      </c>
      <c r="AB2" s="6">
        <f ca="1"/>
        <v>788</v>
      </c>
      <c r="AC2" s="6">
        <f ca="1"/>
        <v>819</v>
      </c>
      <c r="AD2" s="6">
        <f ca="1"/>
        <v>848</v>
      </c>
      <c r="AE2" s="6">
        <f ca="1"/>
        <v>880</v>
      </c>
      <c r="AF2" s="6">
        <f ca="1"/>
        <v>911</v>
      </c>
      <c r="AG2" s="6">
        <f ca="1"/>
        <v>939</v>
      </c>
      <c r="AH2" s="6">
        <f ca="1"/>
        <v>972</v>
      </c>
      <c r="AI2" s="6">
        <f ca="1"/>
        <v>1002</v>
      </c>
      <c r="AJ2" s="6">
        <f ca="1"/>
        <v>1033</v>
      </c>
      <c r="AK2" s="6">
        <f ca="1"/>
        <v>1064</v>
      </c>
      <c r="AL2" s="6">
        <f ca="1"/>
        <v>1092</v>
      </c>
    </row>
    <row r="3" spans="1:39" ht="15" customHeight="1" x14ac:dyDescent="0.25">
      <c r="A3" s="11" t="s">
        <v>45</v>
      </c>
      <c r="B3" s="6" cm="1">
        <f t="array" ref="B3:B25">_xlfn._xlws.SORT(Unique!A2:A24)</f>
        <v>5</v>
      </c>
      <c r="C3" s="9" cm="1">
        <f t="array" aca="1" ref="C3" ca="1">_xlfn.IFNA(INDEX(jkm_call_put!$H:$H,MATCH($B3&amp;C$2&amp;$A$1,jkm_call_put!$G:$G&amp;jkm_call_put!$O:$O&amp;jkm_call_put!$F:$F,0),1),"")</f>
        <v>1E-3</v>
      </c>
      <c r="D3" s="9" cm="1">
        <f t="array" aca="1" ref="D3" ca="1">_xlfn.IFNA(INDEX(jkm_call_put!$H:$H,MATCH($B3&amp;D$2&amp;$A$1,jkm_call_put!$G:$G&amp;jkm_call_put!$O:$O&amp;jkm_call_put!$F:$F,0),1),"")</f>
        <v>1E-3</v>
      </c>
      <c r="E3" s="9" cm="1">
        <f t="array" aca="1" ref="E3" ca="1">_xlfn.IFNA(INDEX(jkm_call_put!$H:$H,MATCH($B3&amp;E$2&amp;$A$1,jkm_call_put!$G:$G&amp;jkm_call_put!$O:$O&amp;jkm_call_put!$F:$F,0),1),"")</f>
        <v>1E-3</v>
      </c>
      <c r="F3" s="9" cm="1">
        <f t="array" aca="1" ref="F3" ca="1">_xlfn.IFNA(INDEX(jkm_call_put!$H:$H,MATCH($B3&amp;F$2&amp;$A$1,jkm_call_put!$G:$G&amp;jkm_call_put!$O:$O&amp;jkm_call_put!$F:$F,0),1),"")</f>
        <v>2E-3</v>
      </c>
      <c r="G3" s="9" cm="1">
        <f t="array" aca="1" ref="G3" ca="1">_xlfn.IFNA(INDEX(jkm_call_put!$H:$H,MATCH($B3&amp;G$2&amp;$A$1,jkm_call_put!$G:$G&amp;jkm_call_put!$O:$O&amp;jkm_call_put!$F:$F,0),1),"")</f>
        <v>8.9999999999999993E-3</v>
      </c>
      <c r="H3" s="9" cm="1">
        <f t="array" aca="1" ref="H3" ca="1">_xlfn.IFNA(INDEX(jkm_call_put!$H:$H,MATCH($B3&amp;H$2&amp;$A$1,jkm_call_put!$G:$G&amp;jkm_call_put!$O:$O&amp;jkm_call_put!$F:$F,0),1),"")</f>
        <v>3.0000000000000001E-3</v>
      </c>
      <c r="I3" s="9" cm="1">
        <f t="array" aca="1" ref="I3" ca="1">_xlfn.IFNA(INDEX(jkm_call_put!$H:$H,MATCH($B3&amp;I$2&amp;$A$1,jkm_call_put!$G:$G&amp;jkm_call_put!$O:$O&amp;jkm_call_put!$F:$F,0),1),"")</f>
        <v>6.0000000000000001E-3</v>
      </c>
      <c r="J3" s="9" cm="1">
        <f t="array" aca="1" ref="J3" ca="1">_xlfn.IFNA(INDEX(jkm_call_put!$H:$H,MATCH($B3&amp;J$2&amp;$A$1,jkm_call_put!$G:$G&amp;jkm_call_put!$O:$O&amp;jkm_call_put!$F:$F,0),1),"")</f>
        <v>1.0999999999999999E-2</v>
      </c>
      <c r="K3" s="9" cm="1">
        <f t="array" aca="1" ref="K3" ca="1">_xlfn.IFNA(INDEX(jkm_call_put!$H:$H,MATCH($B3&amp;K$2&amp;$A$1,jkm_call_put!$G:$G&amp;jkm_call_put!$O:$O&amp;jkm_call_put!$F:$F,0),1),"")</f>
        <v>1.9E-2</v>
      </c>
      <c r="L3" s="9" cm="1">
        <f t="array" aca="1" ref="L3" ca="1">_xlfn.IFNA(INDEX(jkm_call_put!$H:$H,MATCH($B3&amp;L$2&amp;$A$1,jkm_call_put!$G:$G&amp;jkm_call_put!$O:$O&amp;jkm_call_put!$F:$F,0),1),"")</f>
        <v>3.1E-2</v>
      </c>
      <c r="M3" s="9" cm="1">
        <f t="array" aca="1" ref="M3" ca="1">_xlfn.IFNA(INDEX(jkm_call_put!$H:$H,MATCH($B3&amp;M$2&amp;$A$1,jkm_call_put!$G:$G&amp;jkm_call_put!$O:$O&amp;jkm_call_put!$F:$F,0),1),"")</f>
        <v>0.06</v>
      </c>
      <c r="N3" s="9" cm="1">
        <f t="array" aca="1" ref="N3" ca="1">_xlfn.IFNA(INDEX(jkm_call_put!$H:$H,MATCH($B3&amp;N$2&amp;$A$1,jkm_call_put!$G:$G&amp;jkm_call_put!$O:$O&amp;jkm_call_put!$F:$F,0),1),"")</f>
        <v>2.3E-2</v>
      </c>
      <c r="O3" s="9" cm="1">
        <f t="array" aca="1" ref="O3" ca="1">_xlfn.IFNA(INDEX(jkm_call_put!$H:$H,MATCH($B3&amp;O$2&amp;$A$1,jkm_call_put!$G:$G&amp;jkm_call_put!$O:$O&amp;jkm_call_put!$F:$F,0),1),"")</f>
        <v>4.3999999999999997E-2</v>
      </c>
      <c r="P3" s="9" cm="1">
        <f t="array" aca="1" ref="P3" ca="1">_xlfn.IFNA(INDEX(jkm_call_put!$H:$H,MATCH($B3&amp;P$2&amp;$A$1,jkm_call_put!$G:$G&amp;jkm_call_put!$O:$O&amp;jkm_call_put!$F:$F,0),1),"")</f>
        <v>6.2E-2</v>
      </c>
      <c r="Q3" s="9" cm="1">
        <f t="array" aca="1" ref="Q3" ca="1">_xlfn.IFNA(INDEX(jkm_call_put!$H:$H,MATCH($B3&amp;Q$2&amp;$A$1,jkm_call_put!$G:$G&amp;jkm_call_put!$O:$O&amp;jkm_call_put!$F:$F,0),1),"")</f>
        <v>7.4999999999999997E-2</v>
      </c>
      <c r="R3" s="9" cm="1">
        <f t="array" aca="1" ref="R3" ca="1">_xlfn.IFNA(INDEX(jkm_call_put!$H:$H,MATCH($B3&amp;R$2&amp;$A$1,jkm_call_put!$G:$G&amp;jkm_call_put!$O:$O&amp;jkm_call_put!$F:$F,0),1),"")</f>
        <v>8.4000000000000005E-2</v>
      </c>
      <c r="S3" s="9" cm="1">
        <f t="array" aca="1" ref="S3" ca="1">_xlfn.IFNA(INDEX(jkm_call_put!$H:$H,MATCH($B3&amp;S$2&amp;$A$1,jkm_call_put!$G:$G&amp;jkm_call_put!$O:$O&amp;jkm_call_put!$F:$F,0),1),"")</f>
        <v>0.105</v>
      </c>
      <c r="T3" s="9" cm="1">
        <f t="array" aca="1" ref="T3" ca="1">_xlfn.IFNA(INDEX(jkm_call_put!$H:$H,MATCH($B3&amp;T$2&amp;$A$1,jkm_call_put!$G:$G&amp;jkm_call_put!$O:$O&amp;jkm_call_put!$F:$F,0),1),"")</f>
        <v>2.4E-2</v>
      </c>
      <c r="U3" s="9" cm="1">
        <f t="array" aca="1" ref="U3" ca="1">_xlfn.IFNA(INDEX(jkm_call_put!$H:$H,MATCH($B3&amp;U$2&amp;$A$1,jkm_call_put!$G:$G&amp;jkm_call_put!$O:$O&amp;jkm_call_put!$F:$F,0),1),"")</f>
        <v>2.5999999999999999E-2</v>
      </c>
      <c r="V3" s="9" cm="1">
        <f t="array" aca="1" ref="V3" ca="1">_xlfn.IFNA(INDEX(jkm_call_put!$H:$H,MATCH($B3&amp;V$2&amp;$A$1,jkm_call_put!$G:$G&amp;jkm_call_put!$O:$O&amp;jkm_call_put!$F:$F,0),1),"")</f>
        <v>2.5999999999999999E-2</v>
      </c>
      <c r="W3" s="9" cm="1">
        <f t="array" aca="1" ref="W3" ca="1">_xlfn.IFNA(INDEX(jkm_call_put!$H:$H,MATCH($B3&amp;W$2&amp;$A$1,jkm_call_put!$G:$G&amp;jkm_call_put!$O:$O&amp;jkm_call_put!$F:$F,0),1),"")</f>
        <v>3.5000000000000003E-2</v>
      </c>
      <c r="X3" s="9" cm="1">
        <f t="array" aca="1" ref="X3" ca="1">_xlfn.IFNA(INDEX(jkm_call_put!$H:$H,MATCH($B3&amp;X$2&amp;$A$1,jkm_call_put!$G:$G&amp;jkm_call_put!$O:$O&amp;jkm_call_put!$F:$F,0),1),"")</f>
        <v>0.04</v>
      </c>
      <c r="Y3" s="9" cm="1">
        <f t="array" aca="1" ref="Y3" ca="1">_xlfn.IFNA(INDEX(jkm_call_put!$H:$H,MATCH($B3&amp;Y$2&amp;$A$1,jkm_call_put!$G:$G&amp;jkm_call_put!$O:$O&amp;jkm_call_put!$F:$F,0),1),"")</f>
        <v>5.6000000000000001E-2</v>
      </c>
      <c r="Z3" s="9" cm="1">
        <f t="array" aca="1" ref="Z3" ca="1">_xlfn.IFNA(INDEX(jkm_call_put!$H:$H,MATCH($B3&amp;Z$2&amp;$A$1,jkm_call_put!$G:$G&amp;jkm_call_put!$O:$O&amp;jkm_call_put!$F:$F,0),1),"")</f>
        <v>9.7000000000000003E-2</v>
      </c>
      <c r="AA3" s="9" cm="1">
        <f t="array" aca="1" ref="AA3" ca="1">_xlfn.IFNA(INDEX(jkm_call_put!$H:$H,MATCH($B3&amp;AA$2&amp;$A$1,jkm_call_put!$G:$G&amp;jkm_call_put!$O:$O&amp;jkm_call_put!$F:$F,0),1),"")</f>
        <v>0.12</v>
      </c>
      <c r="AB3" s="9" cm="1">
        <f t="array" aca="1" ref="AB3" ca="1">_xlfn.IFNA(INDEX(jkm_call_put!$H:$H,MATCH($B3&amp;AB$2&amp;$A$1,jkm_call_put!$G:$G&amp;jkm_call_put!$O:$O&amp;jkm_call_put!$F:$F,0),1),"")</f>
        <v>0.13600000000000001</v>
      </c>
      <c r="AC3" s="9" cm="1">
        <f t="array" aca="1" ref="AC3" ca="1">_xlfn.IFNA(INDEX(jkm_call_put!$H:$H,MATCH($B3&amp;AC$2&amp;$A$1,jkm_call_put!$G:$G&amp;jkm_call_put!$O:$O&amp;jkm_call_put!$F:$F,0),1),"")</f>
        <v>0.14399999999999999</v>
      </c>
      <c r="AD3" s="9" cm="1">
        <f t="array" aca="1" ref="AD3" ca="1">_xlfn.IFNA(INDEX(jkm_call_put!$H:$H,MATCH($B3&amp;AD$2&amp;$A$1,jkm_call_put!$G:$G&amp;jkm_call_put!$O:$O&amp;jkm_call_put!$F:$F,0),1),"")</f>
        <v>0.154</v>
      </c>
      <c r="AE3" s="9" cm="1">
        <f t="array" aca="1" ref="AE3" ca="1">_xlfn.IFNA(INDEX(jkm_call_put!$H:$H,MATCH($B3&amp;AE$2&amp;$A$1,jkm_call_put!$G:$G&amp;jkm_call_put!$O:$O&amp;jkm_call_put!$F:$F,0),1),"")</f>
        <v>0.16</v>
      </c>
      <c r="AF3" s="9" cm="1">
        <f t="array" aca="1" ref="AF3" ca="1">_xlfn.IFNA(INDEX(jkm_call_put!$H:$H,MATCH($B3&amp;AF$2&amp;$A$1,jkm_call_put!$G:$G&amp;jkm_call_put!$O:$O&amp;jkm_call_put!$F:$F,0),1),"")</f>
        <v>0.27100000000000002</v>
      </c>
      <c r="AG3" s="9" cm="1">
        <f t="array" aca="1" ref="AG3" ca="1">_xlfn.IFNA(INDEX(jkm_call_put!$H:$H,MATCH($B3&amp;AG$2&amp;$A$1,jkm_call_put!$G:$G&amp;jkm_call_put!$O:$O&amp;jkm_call_put!$F:$F,0),1),"")</f>
        <v>0.27100000000000002</v>
      </c>
      <c r="AH3" s="9" cm="1">
        <f t="array" aca="1" ref="AH3" ca="1">_xlfn.IFNA(INDEX(jkm_call_put!$H:$H,MATCH($B3&amp;AH$2&amp;$A$1,jkm_call_put!$G:$G&amp;jkm_call_put!$O:$O&amp;jkm_call_put!$F:$F,0),1),"")</f>
        <v>0.27500000000000002</v>
      </c>
      <c r="AI3" s="9" cm="1">
        <f t="array" aca="1" ref="AI3" ca="1">_xlfn.IFNA(INDEX(jkm_call_put!$H:$H,MATCH($B3&amp;AI$2&amp;$A$1,jkm_call_put!$G:$G&amp;jkm_call_put!$O:$O&amp;jkm_call_put!$F:$F,0),1),"")</f>
        <v>0.27900000000000003</v>
      </c>
      <c r="AJ3" s="9" cm="1">
        <f t="array" aca="1" ref="AJ3" ca="1">_xlfn.IFNA(INDEX(jkm_call_put!$H:$H,MATCH($B3&amp;AJ$2&amp;$A$1,jkm_call_put!$G:$G&amp;jkm_call_put!$O:$O&amp;jkm_call_put!$F:$F,0),1),"")</f>
        <v>0.28999999999999998</v>
      </c>
      <c r="AK3" s="9" cm="1">
        <f t="array" aca="1" ref="AK3" ca="1">_xlfn.IFNA(INDEX(jkm_call_put!$H:$H,MATCH($B3&amp;AK$2&amp;$A$1,jkm_call_put!$G:$G&amp;jkm_call_put!$O:$O&amp;jkm_call_put!$F:$F,0),1),"")</f>
        <v>0.308</v>
      </c>
      <c r="AL3" s="9" cm="1">
        <f t="array" aca="1" ref="AL3" ca="1">_xlfn.IFNA(INDEX(jkm_call_put!$H:$H,MATCH($B3&amp;AL$2&amp;$A$1,jkm_call_put!$G:$G&amp;jkm_call_put!$O:$O&amp;jkm_call_put!$F:$F,0),1),"")</f>
        <v>0.42299999999999999</v>
      </c>
    </row>
    <row r="4" spans="1:39" ht="13.5" customHeight="1" x14ac:dyDescent="0.25">
      <c r="A4" s="11"/>
      <c r="B4" s="6">
        <v>6</v>
      </c>
      <c r="C4" s="9" t="str" cm="1">
        <f t="array" aca="1" ref="C4" ca="1">_xlfn.IFNA(INDEX(jkm_call_put!$H:$H,MATCH($B4&amp;C$2&amp;$A$1,jkm_call_put!$G:$G&amp;jkm_call_put!$O:$O&amp;jkm_call_put!$F:$F,0),1),"")</f>
        <v/>
      </c>
      <c r="D4" s="9" t="str" cm="1">
        <f t="array" aca="1" ref="D4" ca="1">_xlfn.IFNA(INDEX(jkm_call_put!$H:$H,MATCH($B4&amp;D$2&amp;$A$1,jkm_call_put!$G:$G&amp;jkm_call_put!$O:$O&amp;jkm_call_put!$F:$F,0),1),"")</f>
        <v/>
      </c>
      <c r="E4" s="9" t="str" cm="1">
        <f t="array" aca="1" ref="E4" ca="1">_xlfn.IFNA(INDEX(jkm_call_put!$H:$H,MATCH($B4&amp;E$2&amp;$A$1,jkm_call_put!$G:$G&amp;jkm_call_put!$O:$O&amp;jkm_call_put!$F:$F,0),1),"")</f>
        <v/>
      </c>
      <c r="F4" s="9" t="str" cm="1">
        <f t="array" aca="1" ref="F4" ca="1">_xlfn.IFNA(INDEX(jkm_call_put!$H:$H,MATCH($B4&amp;F$2&amp;$A$1,jkm_call_put!$G:$G&amp;jkm_call_put!$O:$O&amp;jkm_call_put!$F:$F,0),1),"")</f>
        <v/>
      </c>
      <c r="G4" s="9" t="str" cm="1">
        <f t="array" aca="1" ref="G4" ca="1">_xlfn.IFNA(INDEX(jkm_call_put!$H:$H,MATCH($B4&amp;G$2&amp;$A$1,jkm_call_put!$G:$G&amp;jkm_call_put!$O:$O&amp;jkm_call_put!$F:$F,0),1),"")</f>
        <v/>
      </c>
      <c r="H4" s="9" t="str" cm="1">
        <f t="array" aca="1" ref="H4" ca="1">_xlfn.IFNA(INDEX(jkm_call_put!$H:$H,MATCH($B4&amp;H$2&amp;$A$1,jkm_call_put!$G:$G&amp;jkm_call_put!$O:$O&amp;jkm_call_put!$F:$F,0),1),"")</f>
        <v/>
      </c>
      <c r="I4" s="9" t="str" cm="1">
        <f t="array" aca="1" ref="I4" ca="1">_xlfn.IFNA(INDEX(jkm_call_put!$H:$H,MATCH($B4&amp;I$2&amp;$A$1,jkm_call_put!$G:$G&amp;jkm_call_put!$O:$O&amp;jkm_call_put!$F:$F,0),1),"")</f>
        <v/>
      </c>
      <c r="J4" s="9" t="str" cm="1">
        <f t="array" aca="1" ref="J4" ca="1">_xlfn.IFNA(INDEX(jkm_call_put!$H:$H,MATCH($B4&amp;J$2&amp;$A$1,jkm_call_put!$G:$G&amp;jkm_call_put!$O:$O&amp;jkm_call_put!$F:$F,0),1),"")</f>
        <v/>
      </c>
      <c r="K4" s="9" cm="1">
        <f t="array" aca="1" ref="K4" ca="1">_xlfn.IFNA(INDEX(jkm_call_put!$H:$H,MATCH($B4&amp;K$2&amp;$A$1,jkm_call_put!$G:$G&amp;jkm_call_put!$O:$O&amp;jkm_call_put!$F:$F,0),1),"")</f>
        <v>5.2999999999999999E-2</v>
      </c>
      <c r="L4" s="9" t="str" cm="1">
        <f t="array" aca="1" ref="L4" ca="1">_xlfn.IFNA(INDEX(jkm_call_put!$H:$H,MATCH($B4&amp;L$2&amp;$A$1,jkm_call_put!$G:$G&amp;jkm_call_put!$O:$O&amp;jkm_call_put!$F:$F,0),1),"")</f>
        <v/>
      </c>
      <c r="M4" s="9" t="str" cm="1">
        <f t="array" aca="1" ref="M4" ca="1">_xlfn.IFNA(INDEX(jkm_call_put!$H:$H,MATCH($B4&amp;M$2&amp;$A$1,jkm_call_put!$G:$G&amp;jkm_call_put!$O:$O&amp;jkm_call_put!$F:$F,0),1),"")</f>
        <v/>
      </c>
      <c r="N4" s="9" t="str" cm="1">
        <f t="array" aca="1" ref="N4" ca="1">_xlfn.IFNA(INDEX(jkm_call_put!$H:$H,MATCH($B4&amp;N$2&amp;$A$1,jkm_call_put!$G:$G&amp;jkm_call_put!$O:$O&amp;jkm_call_put!$F:$F,0),1),"")</f>
        <v/>
      </c>
      <c r="O4" s="9" t="str" cm="1">
        <f t="array" aca="1" ref="O4" ca="1">_xlfn.IFNA(INDEX(jkm_call_put!$H:$H,MATCH($B4&amp;O$2&amp;$A$1,jkm_call_put!$G:$G&amp;jkm_call_put!$O:$O&amp;jkm_call_put!$F:$F,0),1),"")</f>
        <v/>
      </c>
      <c r="P4" s="9" t="str" cm="1">
        <f t="array" aca="1" ref="P4" ca="1">_xlfn.IFNA(INDEX(jkm_call_put!$H:$H,MATCH($B4&amp;P$2&amp;$A$1,jkm_call_put!$G:$G&amp;jkm_call_put!$O:$O&amp;jkm_call_put!$F:$F,0),1),"")</f>
        <v/>
      </c>
      <c r="Q4" s="9" t="str" cm="1">
        <f t="array" aca="1" ref="Q4" ca="1">_xlfn.IFNA(INDEX(jkm_call_put!$H:$H,MATCH($B4&amp;Q$2&amp;$A$1,jkm_call_put!$G:$G&amp;jkm_call_put!$O:$O&amp;jkm_call_put!$F:$F,0),1),"")</f>
        <v/>
      </c>
      <c r="R4" s="9" t="str" cm="1">
        <f t="array" aca="1" ref="R4" ca="1">_xlfn.IFNA(INDEX(jkm_call_put!$H:$H,MATCH($B4&amp;R$2&amp;$A$1,jkm_call_put!$G:$G&amp;jkm_call_put!$O:$O&amp;jkm_call_put!$F:$F,0),1),"")</f>
        <v/>
      </c>
      <c r="S4" s="9" t="str" cm="1">
        <f t="array" aca="1" ref="S4" ca="1">_xlfn.IFNA(INDEX(jkm_call_put!$H:$H,MATCH($B4&amp;S$2&amp;$A$1,jkm_call_put!$G:$G&amp;jkm_call_put!$O:$O&amp;jkm_call_put!$F:$F,0),1),"")</f>
        <v/>
      </c>
      <c r="T4" s="9" t="str" cm="1">
        <f t="array" aca="1" ref="T4" ca="1">_xlfn.IFNA(INDEX(jkm_call_put!$H:$H,MATCH($B4&amp;T$2&amp;$A$1,jkm_call_put!$G:$G&amp;jkm_call_put!$O:$O&amp;jkm_call_put!$F:$F,0),1),"")</f>
        <v/>
      </c>
      <c r="U4" s="9" t="str" cm="1">
        <f t="array" aca="1" ref="U4" ca="1">_xlfn.IFNA(INDEX(jkm_call_put!$H:$H,MATCH($B4&amp;U$2&amp;$A$1,jkm_call_put!$G:$G&amp;jkm_call_put!$O:$O&amp;jkm_call_put!$F:$F,0),1),"")</f>
        <v/>
      </c>
      <c r="V4" s="9" t="str" cm="1">
        <f t="array" aca="1" ref="V4" ca="1">_xlfn.IFNA(INDEX(jkm_call_put!$H:$H,MATCH($B4&amp;V$2&amp;$A$1,jkm_call_put!$G:$G&amp;jkm_call_put!$O:$O&amp;jkm_call_put!$F:$F,0),1),"")</f>
        <v/>
      </c>
      <c r="W4" s="9" t="str" cm="1">
        <f t="array" aca="1" ref="W4" ca="1">_xlfn.IFNA(INDEX(jkm_call_put!$H:$H,MATCH($B4&amp;W$2&amp;$A$1,jkm_call_put!$G:$G&amp;jkm_call_put!$O:$O&amp;jkm_call_put!$F:$F,0),1),"")</f>
        <v/>
      </c>
      <c r="X4" s="9" t="str" cm="1">
        <f t="array" aca="1" ref="X4" ca="1">_xlfn.IFNA(INDEX(jkm_call_put!$H:$H,MATCH($B4&amp;X$2&amp;$A$1,jkm_call_put!$G:$G&amp;jkm_call_put!$O:$O&amp;jkm_call_put!$F:$F,0),1),"")</f>
        <v/>
      </c>
      <c r="Y4" s="9" t="str" cm="1">
        <f t="array" aca="1" ref="Y4" ca="1">_xlfn.IFNA(INDEX(jkm_call_put!$H:$H,MATCH($B4&amp;Y$2&amp;$A$1,jkm_call_put!$G:$G&amp;jkm_call_put!$O:$O&amp;jkm_call_put!$F:$F,0),1),"")</f>
        <v/>
      </c>
      <c r="Z4" s="9" t="str" cm="1">
        <f t="array" aca="1" ref="Z4" ca="1">_xlfn.IFNA(INDEX(jkm_call_put!$H:$H,MATCH($B4&amp;Z$2&amp;$A$1,jkm_call_put!$G:$G&amp;jkm_call_put!$O:$O&amp;jkm_call_put!$F:$F,0),1),"")</f>
        <v/>
      </c>
      <c r="AA4" s="9" t="str" cm="1">
        <f t="array" aca="1" ref="AA4" ca="1">_xlfn.IFNA(INDEX(jkm_call_put!$H:$H,MATCH($B4&amp;AA$2&amp;$A$1,jkm_call_put!$G:$G&amp;jkm_call_put!$O:$O&amp;jkm_call_put!$F:$F,0),1),"")</f>
        <v/>
      </c>
      <c r="AB4" s="9" t="str" cm="1">
        <f t="array" aca="1" ref="AB4" ca="1">_xlfn.IFNA(INDEX(jkm_call_put!$H:$H,MATCH($B4&amp;AB$2&amp;$A$1,jkm_call_put!$G:$G&amp;jkm_call_put!$O:$O&amp;jkm_call_put!$F:$F,0),1),"")</f>
        <v/>
      </c>
      <c r="AC4" s="9" t="str" cm="1">
        <f t="array" aca="1" ref="AC4" ca="1">_xlfn.IFNA(INDEX(jkm_call_put!$H:$H,MATCH($B4&amp;AC$2&amp;$A$1,jkm_call_put!$G:$G&amp;jkm_call_put!$O:$O&amp;jkm_call_put!$F:$F,0),1),"")</f>
        <v/>
      </c>
      <c r="AD4" s="9" t="str" cm="1">
        <f t="array" aca="1" ref="AD4" ca="1">_xlfn.IFNA(INDEX(jkm_call_put!$H:$H,MATCH($B4&amp;AD$2&amp;$A$1,jkm_call_put!$G:$G&amp;jkm_call_put!$O:$O&amp;jkm_call_put!$F:$F,0),1),"")</f>
        <v/>
      </c>
      <c r="AE4" s="9" t="str" cm="1">
        <f t="array" aca="1" ref="AE4" ca="1">_xlfn.IFNA(INDEX(jkm_call_put!$H:$H,MATCH($B4&amp;AE$2&amp;$A$1,jkm_call_put!$G:$G&amp;jkm_call_put!$O:$O&amp;jkm_call_put!$F:$F,0),1),"")</f>
        <v/>
      </c>
      <c r="AF4" s="9" t="str" cm="1">
        <f t="array" aca="1" ref="AF4" ca="1">_xlfn.IFNA(INDEX(jkm_call_put!$H:$H,MATCH($B4&amp;AF$2&amp;$A$1,jkm_call_put!$G:$G&amp;jkm_call_put!$O:$O&amp;jkm_call_put!$F:$F,0),1),"")</f>
        <v/>
      </c>
      <c r="AG4" s="9" t="str" cm="1">
        <f t="array" aca="1" ref="AG4" ca="1">_xlfn.IFNA(INDEX(jkm_call_put!$H:$H,MATCH($B4&amp;AG$2&amp;$A$1,jkm_call_put!$G:$G&amp;jkm_call_put!$O:$O&amp;jkm_call_put!$F:$F,0),1),"")</f>
        <v/>
      </c>
      <c r="AH4" s="9" t="str" cm="1">
        <f t="array" aca="1" ref="AH4" ca="1">_xlfn.IFNA(INDEX(jkm_call_put!$H:$H,MATCH($B4&amp;AH$2&amp;$A$1,jkm_call_put!$G:$G&amp;jkm_call_put!$O:$O&amp;jkm_call_put!$F:$F,0),1),"")</f>
        <v/>
      </c>
      <c r="AI4" s="9" t="str" cm="1">
        <f t="array" aca="1" ref="AI4" ca="1">_xlfn.IFNA(INDEX(jkm_call_put!$H:$H,MATCH($B4&amp;AI$2&amp;$A$1,jkm_call_put!$G:$G&amp;jkm_call_put!$O:$O&amp;jkm_call_put!$F:$F,0),1),"")</f>
        <v/>
      </c>
      <c r="AJ4" s="9" t="str" cm="1">
        <f t="array" aca="1" ref="AJ4" ca="1">_xlfn.IFNA(INDEX(jkm_call_put!$H:$H,MATCH($B4&amp;AJ$2&amp;$A$1,jkm_call_put!$G:$G&amp;jkm_call_put!$O:$O&amp;jkm_call_put!$F:$F,0),1),"")</f>
        <v/>
      </c>
      <c r="AK4" s="9" t="str" cm="1">
        <f t="array" aca="1" ref="AK4" ca="1">_xlfn.IFNA(INDEX(jkm_call_put!$H:$H,MATCH($B4&amp;AK$2&amp;$A$1,jkm_call_put!$G:$G&amp;jkm_call_put!$O:$O&amp;jkm_call_put!$F:$F,0),1),"")</f>
        <v/>
      </c>
      <c r="AL4" s="9" t="str" cm="1">
        <f t="array" aca="1" ref="AL4" ca="1">_xlfn.IFNA(INDEX(jkm_call_put!$H:$H,MATCH($B4&amp;AL$2&amp;$A$1,jkm_call_put!$G:$G&amp;jkm_call_put!$O:$O&amp;jkm_call_put!$F:$F,0),1),"")</f>
        <v/>
      </c>
    </row>
    <row r="5" spans="1:39" ht="15" customHeight="1" x14ac:dyDescent="0.25">
      <c r="A5" s="11"/>
      <c r="B5" s="6">
        <v>7</v>
      </c>
      <c r="C5" s="9" t="str" cm="1">
        <f t="array" aca="1" ref="C5" ca="1">_xlfn.IFNA(INDEX(jkm_call_put!$H:$H,MATCH($B5&amp;C$2&amp;$A$1,jkm_call_put!$G:$G&amp;jkm_call_put!$O:$O&amp;jkm_call_put!$F:$F,0),1),"")</f>
        <v/>
      </c>
      <c r="D5" s="9" t="str" cm="1">
        <f t="array" aca="1" ref="D5" ca="1">_xlfn.IFNA(INDEX(jkm_call_put!$H:$H,MATCH($B5&amp;D$2&amp;$A$1,jkm_call_put!$G:$G&amp;jkm_call_put!$O:$O&amp;jkm_call_put!$F:$F,0),1),"")</f>
        <v/>
      </c>
      <c r="E5" s="9" t="str" cm="1">
        <f t="array" aca="1" ref="E5" ca="1">_xlfn.IFNA(INDEX(jkm_call_put!$H:$H,MATCH($B5&amp;E$2&amp;$A$1,jkm_call_put!$G:$G&amp;jkm_call_put!$O:$O&amp;jkm_call_put!$F:$F,0),1),"")</f>
        <v/>
      </c>
      <c r="F5" s="9" t="str" cm="1">
        <f t="array" aca="1" ref="F5" ca="1">_xlfn.IFNA(INDEX(jkm_call_put!$H:$H,MATCH($B5&amp;F$2&amp;$A$1,jkm_call_put!$G:$G&amp;jkm_call_put!$O:$O&amp;jkm_call_put!$F:$F,0),1),"")</f>
        <v/>
      </c>
      <c r="G5" s="9" t="str" cm="1">
        <f t="array" aca="1" ref="G5" ca="1">_xlfn.IFNA(INDEX(jkm_call_put!$H:$H,MATCH($B5&amp;G$2&amp;$A$1,jkm_call_put!$G:$G&amp;jkm_call_put!$O:$O&amp;jkm_call_put!$F:$F,0),1),"")</f>
        <v/>
      </c>
      <c r="H5" s="9" t="str" cm="1">
        <f t="array" aca="1" ref="H5" ca="1">_xlfn.IFNA(INDEX(jkm_call_put!$H:$H,MATCH($B5&amp;H$2&amp;$A$1,jkm_call_put!$G:$G&amp;jkm_call_put!$O:$O&amp;jkm_call_put!$F:$F,0),1),"")</f>
        <v/>
      </c>
      <c r="I5" s="9" t="str" cm="1">
        <f t="array" aca="1" ref="I5" ca="1">_xlfn.IFNA(INDEX(jkm_call_put!$H:$H,MATCH($B5&amp;I$2&amp;$A$1,jkm_call_put!$G:$G&amp;jkm_call_put!$O:$O&amp;jkm_call_put!$F:$F,0),1),"")</f>
        <v/>
      </c>
      <c r="J5" s="9" t="str" cm="1">
        <f t="array" aca="1" ref="J5" ca="1">_xlfn.IFNA(INDEX(jkm_call_put!$H:$H,MATCH($B5&amp;J$2&amp;$A$1,jkm_call_put!$G:$G&amp;jkm_call_put!$O:$O&amp;jkm_call_put!$F:$F,0),1),"")</f>
        <v/>
      </c>
      <c r="K5" s="9" cm="1">
        <f t="array" aca="1" ref="K5" ca="1">_xlfn.IFNA(INDEX(jkm_call_put!$H:$H,MATCH($B5&amp;K$2&amp;$A$1,jkm_call_put!$G:$G&amp;jkm_call_put!$O:$O&amp;jkm_call_put!$F:$F,0),1),"")</f>
        <v>0.11700000000000001</v>
      </c>
      <c r="L5" s="9" t="str" cm="1">
        <f t="array" aca="1" ref="L5" ca="1">_xlfn.IFNA(INDEX(jkm_call_put!$H:$H,MATCH($B5&amp;L$2&amp;$A$1,jkm_call_put!$G:$G&amp;jkm_call_put!$O:$O&amp;jkm_call_put!$F:$F,0),1),"")</f>
        <v/>
      </c>
      <c r="M5" s="9" t="str" cm="1">
        <f t="array" aca="1" ref="M5" ca="1">_xlfn.IFNA(INDEX(jkm_call_put!$H:$H,MATCH($B5&amp;M$2&amp;$A$1,jkm_call_put!$G:$G&amp;jkm_call_put!$O:$O&amp;jkm_call_put!$F:$F,0),1),"")</f>
        <v/>
      </c>
      <c r="N5" s="9" t="str" cm="1">
        <f t="array" aca="1" ref="N5" ca="1">_xlfn.IFNA(INDEX(jkm_call_put!$H:$H,MATCH($B5&amp;N$2&amp;$A$1,jkm_call_put!$G:$G&amp;jkm_call_put!$O:$O&amp;jkm_call_put!$F:$F,0),1),"")</f>
        <v/>
      </c>
      <c r="O5" s="9" t="str" cm="1">
        <f t="array" aca="1" ref="O5" ca="1">_xlfn.IFNA(INDEX(jkm_call_put!$H:$H,MATCH($B5&amp;O$2&amp;$A$1,jkm_call_put!$G:$G&amp;jkm_call_put!$O:$O&amp;jkm_call_put!$F:$F,0),1),"")</f>
        <v/>
      </c>
      <c r="P5" s="9" t="str" cm="1">
        <f t="array" aca="1" ref="P5" ca="1">_xlfn.IFNA(INDEX(jkm_call_put!$H:$H,MATCH($B5&amp;P$2&amp;$A$1,jkm_call_put!$G:$G&amp;jkm_call_put!$O:$O&amp;jkm_call_put!$F:$F,0),1),"")</f>
        <v/>
      </c>
      <c r="Q5" s="9" t="str" cm="1">
        <f t="array" aca="1" ref="Q5" ca="1">_xlfn.IFNA(INDEX(jkm_call_put!$H:$H,MATCH($B5&amp;Q$2&amp;$A$1,jkm_call_put!$G:$G&amp;jkm_call_put!$O:$O&amp;jkm_call_put!$F:$F,0),1),"")</f>
        <v/>
      </c>
      <c r="R5" s="9" t="str" cm="1">
        <f t="array" aca="1" ref="R5" ca="1">_xlfn.IFNA(INDEX(jkm_call_put!$H:$H,MATCH($B5&amp;R$2&amp;$A$1,jkm_call_put!$G:$G&amp;jkm_call_put!$O:$O&amp;jkm_call_put!$F:$F,0),1),"")</f>
        <v/>
      </c>
      <c r="S5" s="9" t="str" cm="1">
        <f t="array" aca="1" ref="S5" ca="1">_xlfn.IFNA(INDEX(jkm_call_put!$H:$H,MATCH($B5&amp;S$2&amp;$A$1,jkm_call_put!$G:$G&amp;jkm_call_put!$O:$O&amp;jkm_call_put!$F:$F,0),1),"")</f>
        <v/>
      </c>
      <c r="T5" s="9" t="str" cm="1">
        <f t="array" aca="1" ref="T5" ca="1">_xlfn.IFNA(INDEX(jkm_call_put!$H:$H,MATCH($B5&amp;T$2&amp;$A$1,jkm_call_put!$G:$G&amp;jkm_call_put!$O:$O&amp;jkm_call_put!$F:$F,0),1),"")</f>
        <v/>
      </c>
      <c r="U5" s="9" t="str" cm="1">
        <f t="array" aca="1" ref="U5" ca="1">_xlfn.IFNA(INDEX(jkm_call_put!$H:$H,MATCH($B5&amp;U$2&amp;$A$1,jkm_call_put!$G:$G&amp;jkm_call_put!$O:$O&amp;jkm_call_put!$F:$F,0),1),"")</f>
        <v/>
      </c>
      <c r="V5" s="9" t="str" cm="1">
        <f t="array" aca="1" ref="V5" ca="1">_xlfn.IFNA(INDEX(jkm_call_put!$H:$H,MATCH($B5&amp;V$2&amp;$A$1,jkm_call_put!$G:$G&amp;jkm_call_put!$O:$O&amp;jkm_call_put!$F:$F,0),1),"")</f>
        <v/>
      </c>
      <c r="W5" s="9" t="str" cm="1">
        <f t="array" aca="1" ref="W5" ca="1">_xlfn.IFNA(INDEX(jkm_call_put!$H:$H,MATCH($B5&amp;W$2&amp;$A$1,jkm_call_put!$G:$G&amp;jkm_call_put!$O:$O&amp;jkm_call_put!$F:$F,0),1),"")</f>
        <v/>
      </c>
      <c r="X5" s="9" t="str" cm="1">
        <f t="array" aca="1" ref="X5" ca="1">_xlfn.IFNA(INDEX(jkm_call_put!$H:$H,MATCH($B5&amp;X$2&amp;$A$1,jkm_call_put!$G:$G&amp;jkm_call_put!$O:$O&amp;jkm_call_put!$F:$F,0),1),"")</f>
        <v/>
      </c>
      <c r="Y5" s="9" t="str" cm="1">
        <f t="array" aca="1" ref="Y5" ca="1">_xlfn.IFNA(INDEX(jkm_call_put!$H:$H,MATCH($B5&amp;Y$2&amp;$A$1,jkm_call_put!$G:$G&amp;jkm_call_put!$O:$O&amp;jkm_call_put!$F:$F,0),1),"")</f>
        <v/>
      </c>
      <c r="Z5" s="9" cm="1">
        <f t="array" aca="1" ref="Z5" ca="1">_xlfn.IFNA(INDEX(jkm_call_put!$H:$H,MATCH($B5&amp;Z$2&amp;$A$1,jkm_call_put!$G:$G&amp;jkm_call_put!$O:$O&amp;jkm_call_put!$F:$F,0),1),"")</f>
        <v>0.51500000000000001</v>
      </c>
      <c r="AA5" s="9" cm="1">
        <f t="array" aca="1" ref="AA5" ca="1">_xlfn.IFNA(INDEX(jkm_call_put!$H:$H,MATCH($B5&amp;AA$2&amp;$A$1,jkm_call_put!$G:$G&amp;jkm_call_put!$O:$O&amp;jkm_call_put!$F:$F,0),1),"")</f>
        <v>0.59299999999999997</v>
      </c>
      <c r="AB5" s="9" cm="1">
        <f t="array" aca="1" ref="AB5" ca="1">_xlfn.IFNA(INDEX(jkm_call_put!$H:$H,MATCH($B5&amp;AB$2&amp;$A$1,jkm_call_put!$G:$G&amp;jkm_call_put!$O:$O&amp;jkm_call_put!$F:$F,0),1),"")</f>
        <v>0.63600000000000001</v>
      </c>
      <c r="AC5" s="9" cm="1">
        <f t="array" aca="1" ref="AC5" ca="1">_xlfn.IFNA(INDEX(jkm_call_put!$H:$H,MATCH($B5&amp;AC$2&amp;$A$1,jkm_call_put!$G:$G&amp;jkm_call_put!$O:$O&amp;jkm_call_put!$F:$F,0),1),"")</f>
        <v>0.65200000000000002</v>
      </c>
      <c r="AD5" s="9" cm="1">
        <f t="array" aca="1" ref="AD5" ca="1">_xlfn.IFNA(INDEX(jkm_call_put!$H:$H,MATCH($B5&amp;AD$2&amp;$A$1,jkm_call_put!$G:$G&amp;jkm_call_put!$O:$O&amp;jkm_call_put!$F:$F,0),1),"")</f>
        <v>0.67400000000000004</v>
      </c>
      <c r="AE5" s="9" cm="1">
        <f t="array" aca="1" ref="AE5" ca="1">_xlfn.IFNA(INDEX(jkm_call_put!$H:$H,MATCH($B5&amp;AE$2&amp;$A$1,jkm_call_put!$G:$G&amp;jkm_call_put!$O:$O&amp;jkm_call_put!$F:$F,0),1),"")</f>
        <v>0.68600000000000005</v>
      </c>
      <c r="AF5" s="9" t="str" cm="1">
        <f t="array" aca="1" ref="AF5" ca="1">_xlfn.IFNA(INDEX(jkm_call_put!$H:$H,MATCH($B5&amp;AF$2&amp;$A$1,jkm_call_put!$G:$G&amp;jkm_call_put!$O:$O&amp;jkm_call_put!$F:$F,0),1),"")</f>
        <v/>
      </c>
      <c r="AG5" s="9" t="str" cm="1">
        <f t="array" aca="1" ref="AG5" ca="1">_xlfn.IFNA(INDEX(jkm_call_put!$H:$H,MATCH($B5&amp;AG$2&amp;$A$1,jkm_call_put!$G:$G&amp;jkm_call_put!$O:$O&amp;jkm_call_put!$F:$F,0),1),"")</f>
        <v/>
      </c>
      <c r="AH5" s="9" t="str" cm="1">
        <f t="array" aca="1" ref="AH5" ca="1">_xlfn.IFNA(INDEX(jkm_call_put!$H:$H,MATCH($B5&amp;AH$2&amp;$A$1,jkm_call_put!$G:$G&amp;jkm_call_put!$O:$O&amp;jkm_call_put!$F:$F,0),1),"")</f>
        <v/>
      </c>
      <c r="AI5" s="9" t="str" cm="1">
        <f t="array" aca="1" ref="AI5" ca="1">_xlfn.IFNA(INDEX(jkm_call_put!$H:$H,MATCH($B5&amp;AI$2&amp;$A$1,jkm_call_put!$G:$G&amp;jkm_call_put!$O:$O&amp;jkm_call_put!$F:$F,0),1),"")</f>
        <v/>
      </c>
      <c r="AJ5" s="9" t="str" cm="1">
        <f t="array" aca="1" ref="AJ5" ca="1">_xlfn.IFNA(INDEX(jkm_call_put!$H:$H,MATCH($B5&amp;AJ$2&amp;$A$1,jkm_call_put!$G:$G&amp;jkm_call_put!$O:$O&amp;jkm_call_put!$F:$F,0),1),"")</f>
        <v/>
      </c>
      <c r="AK5" s="9" t="str" cm="1">
        <f t="array" aca="1" ref="AK5" ca="1">_xlfn.IFNA(INDEX(jkm_call_put!$H:$H,MATCH($B5&amp;AK$2&amp;$A$1,jkm_call_put!$G:$G&amp;jkm_call_put!$O:$O&amp;jkm_call_put!$F:$F,0),1),"")</f>
        <v/>
      </c>
      <c r="AL5" s="9" t="str" cm="1">
        <f t="array" aca="1" ref="AL5" ca="1">_xlfn.IFNA(INDEX(jkm_call_put!$H:$H,MATCH($B5&amp;AL$2&amp;$A$1,jkm_call_put!$G:$G&amp;jkm_call_put!$O:$O&amp;jkm_call_put!$F:$F,0),1),"")</f>
        <v/>
      </c>
    </row>
    <row r="6" spans="1:39" ht="15" customHeight="1" x14ac:dyDescent="0.25">
      <c r="A6" s="11"/>
      <c r="B6" s="6">
        <v>7.6</v>
      </c>
      <c r="C6" s="9" t="str" cm="1">
        <f t="array" aca="1" ref="C6" ca="1">_xlfn.IFNA(INDEX(jkm_call_put!$H:$H,MATCH($B6&amp;C$2&amp;$A$1,jkm_call_put!$G:$G&amp;jkm_call_put!$O:$O&amp;jkm_call_put!$F:$F,0),1),"")</f>
        <v/>
      </c>
      <c r="D6" s="9" t="str" cm="1">
        <f t="array" aca="1" ref="D6" ca="1">_xlfn.IFNA(INDEX(jkm_call_put!$H:$H,MATCH($B6&amp;D$2&amp;$A$1,jkm_call_put!$G:$G&amp;jkm_call_put!$O:$O&amp;jkm_call_put!$F:$F,0),1),"")</f>
        <v/>
      </c>
      <c r="E6" s="9" t="str" cm="1">
        <f t="array" aca="1" ref="E6" ca="1">_xlfn.IFNA(INDEX(jkm_call_put!$H:$H,MATCH($B6&amp;E$2&amp;$A$1,jkm_call_put!$G:$G&amp;jkm_call_put!$O:$O&amp;jkm_call_put!$F:$F,0),1),"")</f>
        <v/>
      </c>
      <c r="F6" s="9" t="str" cm="1">
        <f t="array" aca="1" ref="F6" ca="1">_xlfn.IFNA(INDEX(jkm_call_put!$H:$H,MATCH($B6&amp;F$2&amp;$A$1,jkm_call_put!$G:$G&amp;jkm_call_put!$O:$O&amp;jkm_call_put!$F:$F,0),1),"")</f>
        <v/>
      </c>
      <c r="G6" s="9" t="str" cm="1">
        <f t="array" aca="1" ref="G6" ca="1">_xlfn.IFNA(INDEX(jkm_call_put!$H:$H,MATCH($B6&amp;G$2&amp;$A$1,jkm_call_put!$G:$G&amp;jkm_call_put!$O:$O&amp;jkm_call_put!$F:$F,0),1),"")</f>
        <v/>
      </c>
      <c r="H6" s="9" t="str" cm="1">
        <f t="array" aca="1" ref="H6" ca="1">_xlfn.IFNA(INDEX(jkm_call_put!$H:$H,MATCH($B6&amp;H$2&amp;$A$1,jkm_call_put!$G:$G&amp;jkm_call_put!$O:$O&amp;jkm_call_put!$F:$F,0),1),"")</f>
        <v/>
      </c>
      <c r="I6" s="9" t="str" cm="1">
        <f t="array" aca="1" ref="I6" ca="1">_xlfn.IFNA(INDEX(jkm_call_put!$H:$H,MATCH($B6&amp;I$2&amp;$A$1,jkm_call_put!$G:$G&amp;jkm_call_put!$O:$O&amp;jkm_call_put!$F:$F,0),1),"")</f>
        <v/>
      </c>
      <c r="J6" s="9" t="str" cm="1">
        <f t="array" aca="1" ref="J6" ca="1">_xlfn.IFNA(INDEX(jkm_call_put!$H:$H,MATCH($B6&amp;J$2&amp;$A$1,jkm_call_put!$G:$G&amp;jkm_call_put!$O:$O&amp;jkm_call_put!$F:$F,0),1),"")</f>
        <v/>
      </c>
      <c r="K6" s="9" t="str" cm="1">
        <f t="array" aca="1" ref="K6" ca="1">_xlfn.IFNA(INDEX(jkm_call_put!$H:$H,MATCH($B6&amp;K$2&amp;$A$1,jkm_call_put!$G:$G&amp;jkm_call_put!$O:$O&amp;jkm_call_put!$F:$F,0),1),"")</f>
        <v/>
      </c>
      <c r="L6" s="9" t="str" cm="1">
        <f t="array" aca="1" ref="L6" ca="1">_xlfn.IFNA(INDEX(jkm_call_put!$H:$H,MATCH($B6&amp;L$2&amp;$A$1,jkm_call_put!$G:$G&amp;jkm_call_put!$O:$O&amp;jkm_call_put!$F:$F,0),1),"")</f>
        <v/>
      </c>
      <c r="M6" s="9" t="str" cm="1">
        <f t="array" aca="1" ref="M6" ca="1">_xlfn.IFNA(INDEX(jkm_call_put!$H:$H,MATCH($B6&amp;M$2&amp;$A$1,jkm_call_put!$G:$G&amp;jkm_call_put!$O:$O&amp;jkm_call_put!$F:$F,0),1),"")</f>
        <v/>
      </c>
      <c r="N6" s="9" t="str" cm="1">
        <f t="array" aca="1" ref="N6" ca="1">_xlfn.IFNA(INDEX(jkm_call_put!$H:$H,MATCH($B6&amp;N$2&amp;$A$1,jkm_call_put!$G:$G&amp;jkm_call_put!$O:$O&amp;jkm_call_put!$F:$F,0),1),"")</f>
        <v/>
      </c>
      <c r="O6" s="9" t="str" cm="1">
        <f t="array" aca="1" ref="O6" ca="1">_xlfn.IFNA(INDEX(jkm_call_put!$H:$H,MATCH($B6&amp;O$2&amp;$A$1,jkm_call_put!$G:$G&amp;jkm_call_put!$O:$O&amp;jkm_call_put!$F:$F,0),1),"")</f>
        <v/>
      </c>
      <c r="P6" s="9" t="str" cm="1">
        <f t="array" aca="1" ref="P6" ca="1">_xlfn.IFNA(INDEX(jkm_call_put!$H:$H,MATCH($B6&amp;P$2&amp;$A$1,jkm_call_put!$G:$G&amp;jkm_call_put!$O:$O&amp;jkm_call_put!$F:$F,0),1),"")</f>
        <v/>
      </c>
      <c r="Q6" s="9" t="str" cm="1">
        <f t="array" aca="1" ref="Q6" ca="1">_xlfn.IFNA(INDEX(jkm_call_put!$H:$H,MATCH($B6&amp;Q$2&amp;$A$1,jkm_call_put!$G:$G&amp;jkm_call_put!$O:$O&amp;jkm_call_put!$F:$F,0),1),"")</f>
        <v/>
      </c>
      <c r="R6" s="9" t="str" cm="1">
        <f t="array" aca="1" ref="R6" ca="1">_xlfn.IFNA(INDEX(jkm_call_put!$H:$H,MATCH($B6&amp;R$2&amp;$A$1,jkm_call_put!$G:$G&amp;jkm_call_put!$O:$O&amp;jkm_call_put!$F:$F,0),1),"")</f>
        <v/>
      </c>
      <c r="S6" s="9" t="str" cm="1">
        <f t="array" aca="1" ref="S6" ca="1">_xlfn.IFNA(INDEX(jkm_call_put!$H:$H,MATCH($B6&amp;S$2&amp;$A$1,jkm_call_put!$G:$G&amp;jkm_call_put!$O:$O&amp;jkm_call_put!$F:$F,0),1),"")</f>
        <v/>
      </c>
      <c r="T6" s="9" t="str" cm="1">
        <f t="array" aca="1" ref="T6" ca="1">_xlfn.IFNA(INDEX(jkm_call_put!$H:$H,MATCH($B6&amp;T$2&amp;$A$1,jkm_call_put!$G:$G&amp;jkm_call_put!$O:$O&amp;jkm_call_put!$F:$F,0),1),"")</f>
        <v/>
      </c>
      <c r="U6" s="9" t="str" cm="1">
        <f t="array" aca="1" ref="U6" ca="1">_xlfn.IFNA(INDEX(jkm_call_put!$H:$H,MATCH($B6&amp;U$2&amp;$A$1,jkm_call_put!$G:$G&amp;jkm_call_put!$O:$O&amp;jkm_call_put!$F:$F,0),1),"")</f>
        <v/>
      </c>
      <c r="V6" s="9" t="str" cm="1">
        <f t="array" aca="1" ref="V6" ca="1">_xlfn.IFNA(INDEX(jkm_call_put!$H:$H,MATCH($B6&amp;V$2&amp;$A$1,jkm_call_put!$G:$G&amp;jkm_call_put!$O:$O&amp;jkm_call_put!$F:$F,0),1),"")</f>
        <v/>
      </c>
      <c r="W6" s="9" t="str" cm="1">
        <f t="array" aca="1" ref="W6" ca="1">_xlfn.IFNA(INDEX(jkm_call_put!$H:$H,MATCH($B6&amp;W$2&amp;$A$1,jkm_call_put!$G:$G&amp;jkm_call_put!$O:$O&amp;jkm_call_put!$F:$F,0),1),"")</f>
        <v/>
      </c>
      <c r="X6" s="9" t="str" cm="1">
        <f t="array" aca="1" ref="X6" ca="1">_xlfn.IFNA(INDEX(jkm_call_put!$H:$H,MATCH($B6&amp;X$2&amp;$A$1,jkm_call_put!$G:$G&amp;jkm_call_put!$O:$O&amp;jkm_call_put!$F:$F,0),1),"")</f>
        <v/>
      </c>
      <c r="Y6" s="9" t="str" cm="1">
        <f t="array" aca="1" ref="Y6" ca="1">_xlfn.IFNA(INDEX(jkm_call_put!$H:$H,MATCH($B6&amp;Y$2&amp;$A$1,jkm_call_put!$G:$G&amp;jkm_call_put!$O:$O&amp;jkm_call_put!$F:$F,0),1),"")</f>
        <v/>
      </c>
      <c r="Z6" s="9" t="str" cm="1">
        <f t="array" aca="1" ref="Z6" ca="1">_xlfn.IFNA(INDEX(jkm_call_put!$H:$H,MATCH($B6&amp;Z$2&amp;$A$1,jkm_call_put!$G:$G&amp;jkm_call_put!$O:$O&amp;jkm_call_put!$F:$F,0),1),"")</f>
        <v/>
      </c>
      <c r="AA6" s="9" t="str" cm="1">
        <f t="array" aca="1" ref="AA6" ca="1">_xlfn.IFNA(INDEX(jkm_call_put!$H:$H,MATCH($B6&amp;AA$2&amp;$A$1,jkm_call_put!$G:$G&amp;jkm_call_put!$O:$O&amp;jkm_call_put!$F:$F,0),1),"")</f>
        <v/>
      </c>
      <c r="AB6" s="9" t="str" cm="1">
        <f t="array" aca="1" ref="AB6" ca="1">_xlfn.IFNA(INDEX(jkm_call_put!$H:$H,MATCH($B6&amp;AB$2&amp;$A$1,jkm_call_put!$G:$G&amp;jkm_call_put!$O:$O&amp;jkm_call_put!$F:$F,0),1),"")</f>
        <v/>
      </c>
      <c r="AC6" s="9" t="str" cm="1">
        <f t="array" aca="1" ref="AC6" ca="1">_xlfn.IFNA(INDEX(jkm_call_put!$H:$H,MATCH($B6&amp;AC$2&amp;$A$1,jkm_call_put!$G:$G&amp;jkm_call_put!$O:$O&amp;jkm_call_put!$F:$F,0),1),"")</f>
        <v/>
      </c>
      <c r="AD6" s="9" t="str" cm="1">
        <f t="array" aca="1" ref="AD6" ca="1">_xlfn.IFNA(INDEX(jkm_call_put!$H:$H,MATCH($B6&amp;AD$2&amp;$A$1,jkm_call_put!$G:$G&amp;jkm_call_put!$O:$O&amp;jkm_call_put!$F:$F,0),1),"")</f>
        <v/>
      </c>
      <c r="AE6" s="9" cm="1">
        <f t="array" aca="1" ref="AE6" ca="1">_xlfn.IFNA(INDEX(jkm_call_put!$H:$H,MATCH($B6&amp;AE$2&amp;$A$1,jkm_call_put!$G:$G&amp;jkm_call_put!$O:$O&amp;jkm_call_put!$F:$F,0),1),"")</f>
        <v>0.93100000000000005</v>
      </c>
      <c r="AF6" s="9" t="str" cm="1">
        <f t="array" aca="1" ref="AF6" ca="1">_xlfn.IFNA(INDEX(jkm_call_put!$H:$H,MATCH($B6&amp;AF$2&amp;$A$1,jkm_call_put!$G:$G&amp;jkm_call_put!$O:$O&amp;jkm_call_put!$F:$F,0),1),"")</f>
        <v/>
      </c>
      <c r="AG6" s="9" t="str" cm="1">
        <f t="array" aca="1" ref="AG6" ca="1">_xlfn.IFNA(INDEX(jkm_call_put!$H:$H,MATCH($B6&amp;AG$2&amp;$A$1,jkm_call_put!$G:$G&amp;jkm_call_put!$O:$O&amp;jkm_call_put!$F:$F,0),1),"")</f>
        <v/>
      </c>
      <c r="AH6" s="9" t="str" cm="1">
        <f t="array" aca="1" ref="AH6" ca="1">_xlfn.IFNA(INDEX(jkm_call_put!$H:$H,MATCH($B6&amp;AH$2&amp;$A$1,jkm_call_put!$G:$G&amp;jkm_call_put!$O:$O&amp;jkm_call_put!$F:$F,0),1),"")</f>
        <v/>
      </c>
      <c r="AI6" s="9" t="str" cm="1">
        <f t="array" aca="1" ref="AI6" ca="1">_xlfn.IFNA(INDEX(jkm_call_put!$H:$H,MATCH($B6&amp;AI$2&amp;$A$1,jkm_call_put!$G:$G&amp;jkm_call_put!$O:$O&amp;jkm_call_put!$F:$F,0),1),"")</f>
        <v/>
      </c>
      <c r="AJ6" s="9" t="str" cm="1">
        <f t="array" aca="1" ref="AJ6" ca="1">_xlfn.IFNA(INDEX(jkm_call_put!$H:$H,MATCH($B6&amp;AJ$2&amp;$A$1,jkm_call_put!$G:$G&amp;jkm_call_put!$O:$O&amp;jkm_call_put!$F:$F,0),1),"")</f>
        <v/>
      </c>
      <c r="AK6" s="9" t="str" cm="1">
        <f t="array" aca="1" ref="AK6" ca="1">_xlfn.IFNA(INDEX(jkm_call_put!$H:$H,MATCH($B6&amp;AK$2&amp;$A$1,jkm_call_put!$G:$G&amp;jkm_call_put!$O:$O&amp;jkm_call_put!$F:$F,0),1),"")</f>
        <v/>
      </c>
      <c r="AL6" s="9" t="str" cm="1">
        <f t="array" aca="1" ref="AL6" ca="1">_xlfn.IFNA(INDEX(jkm_call_put!$H:$H,MATCH($B6&amp;AL$2&amp;$A$1,jkm_call_put!$G:$G&amp;jkm_call_put!$O:$O&amp;jkm_call_put!$F:$F,0),1),"")</f>
        <v/>
      </c>
    </row>
    <row r="7" spans="1:39" ht="15" customHeight="1" x14ac:dyDescent="0.25">
      <c r="A7" s="11"/>
      <c r="B7" s="6">
        <v>8</v>
      </c>
      <c r="C7" s="9" cm="1">
        <f t="array" aca="1" ref="C7" ca="1">_xlfn.IFNA(INDEX(jkm_call_put!$H:$H,MATCH($B7&amp;C$2&amp;$A$1,jkm_call_put!$G:$G&amp;jkm_call_put!$O:$O&amp;jkm_call_put!$F:$F,0),1),"")</f>
        <v>1E-3</v>
      </c>
      <c r="D7" s="9" cm="1">
        <f t="array" aca="1" ref="D7" ca="1">_xlfn.IFNA(INDEX(jkm_call_put!$H:$H,MATCH($B7&amp;D$2&amp;$A$1,jkm_call_put!$G:$G&amp;jkm_call_put!$O:$O&amp;jkm_call_put!$F:$F,0),1),"")</f>
        <v>1E-3</v>
      </c>
      <c r="E7" s="9" cm="1">
        <f t="array" aca="1" ref="E7" ca="1">_xlfn.IFNA(INDEX(jkm_call_put!$H:$H,MATCH($B7&amp;E$2&amp;$A$1,jkm_call_put!$G:$G&amp;jkm_call_put!$O:$O&amp;jkm_call_put!$F:$F,0),1),"")</f>
        <v>1.9E-2</v>
      </c>
      <c r="F7" s="9" cm="1">
        <f t="array" aca="1" ref="F7" ca="1">_xlfn.IFNA(INDEX(jkm_call_put!$H:$H,MATCH($B7&amp;F$2&amp;$A$1,jkm_call_put!$G:$G&amp;jkm_call_put!$O:$O&amp;jkm_call_put!$F:$F,0),1),"")</f>
        <v>6.9000000000000006E-2</v>
      </c>
      <c r="G7" s="9" cm="1">
        <f t="array" aca="1" ref="G7" ca="1">_xlfn.IFNA(INDEX(jkm_call_put!$H:$H,MATCH($B7&amp;G$2&amp;$A$1,jkm_call_put!$G:$G&amp;jkm_call_put!$O:$O&amp;jkm_call_put!$F:$F,0),1),"")</f>
        <v>0.14599999999999999</v>
      </c>
      <c r="H7" s="9" t="str" cm="1">
        <f t="array" aca="1" ref="H7" ca="1">_xlfn.IFNA(INDEX(jkm_call_put!$H:$H,MATCH($B7&amp;H$2&amp;$A$1,jkm_call_put!$G:$G&amp;jkm_call_put!$O:$O&amp;jkm_call_put!$F:$F,0),1),"")</f>
        <v/>
      </c>
      <c r="I7" s="9" t="str" cm="1">
        <f t="array" aca="1" ref="I7" ca="1">_xlfn.IFNA(INDEX(jkm_call_put!$H:$H,MATCH($B7&amp;I$2&amp;$A$1,jkm_call_put!$G:$G&amp;jkm_call_put!$O:$O&amp;jkm_call_put!$F:$F,0),1),"")</f>
        <v/>
      </c>
      <c r="J7" s="9" cm="1">
        <f t="array" aca="1" ref="J7" ca="1">_xlfn.IFNA(INDEX(jkm_call_put!$H:$H,MATCH($B7&amp;J$2&amp;$A$1,jkm_call_put!$G:$G&amp;jkm_call_put!$O:$O&amp;jkm_call_put!$F:$F,0),1),"")</f>
        <v>0.16600000000000001</v>
      </c>
      <c r="K7" s="9" cm="1">
        <f t="array" aca="1" ref="K7" ca="1">_xlfn.IFNA(INDEX(jkm_call_put!$H:$H,MATCH($B7&amp;K$2&amp;$A$1,jkm_call_put!$G:$G&amp;jkm_call_put!$O:$O&amp;jkm_call_put!$F:$F,0),1),"")</f>
        <v>0.222</v>
      </c>
      <c r="L7" s="9" cm="1">
        <f t="array" aca="1" ref="L7" ca="1">_xlfn.IFNA(INDEX(jkm_call_put!$H:$H,MATCH($B7&amp;L$2&amp;$A$1,jkm_call_put!$G:$G&amp;jkm_call_put!$O:$O&amp;jkm_call_put!$F:$F,0),1),"")</f>
        <v>0.29699999999999999</v>
      </c>
      <c r="M7" s="9" cm="1">
        <f t="array" aca="1" ref="M7" ca="1">_xlfn.IFNA(INDEX(jkm_call_put!$H:$H,MATCH($B7&amp;M$2&amp;$A$1,jkm_call_put!$G:$G&amp;jkm_call_put!$O:$O&amp;jkm_call_put!$F:$F,0),1),"")</f>
        <v>0.45100000000000001</v>
      </c>
      <c r="N7" s="9" t="str" cm="1">
        <f t="array" aca="1" ref="N7" ca="1">_xlfn.IFNA(INDEX(jkm_call_put!$H:$H,MATCH($B7&amp;N$2&amp;$A$1,jkm_call_put!$G:$G&amp;jkm_call_put!$O:$O&amp;jkm_call_put!$F:$F,0),1),"")</f>
        <v/>
      </c>
      <c r="O7" s="9" cm="1">
        <f t="array" aca="1" ref="O7" ca="1">_xlfn.IFNA(INDEX(jkm_call_put!$H:$H,MATCH($B7&amp;O$2&amp;$A$1,jkm_call_put!$G:$G&amp;jkm_call_put!$O:$O&amp;jkm_call_put!$F:$F,0),1),"")</f>
        <v>0.44900000000000001</v>
      </c>
      <c r="P7" s="9" cm="1">
        <f t="array" aca="1" ref="P7" ca="1">_xlfn.IFNA(INDEX(jkm_call_put!$H:$H,MATCH($B7&amp;P$2&amp;$A$1,jkm_call_put!$G:$G&amp;jkm_call_put!$O:$O&amp;jkm_call_put!$F:$F,0),1),"")</f>
        <v>0.54300000000000004</v>
      </c>
      <c r="Q7" s="9" t="str" cm="1">
        <f t="array" aca="1" ref="Q7" ca="1">_xlfn.IFNA(INDEX(jkm_call_put!$H:$H,MATCH($B7&amp;Q$2&amp;$A$1,jkm_call_put!$G:$G&amp;jkm_call_put!$O:$O&amp;jkm_call_put!$F:$F,0),1),"")</f>
        <v/>
      </c>
      <c r="R7" s="9" t="str" cm="1">
        <f t="array" aca="1" ref="R7" ca="1">_xlfn.IFNA(INDEX(jkm_call_put!$H:$H,MATCH($B7&amp;R$2&amp;$A$1,jkm_call_put!$G:$G&amp;jkm_call_put!$O:$O&amp;jkm_call_put!$F:$F,0),1),"")</f>
        <v/>
      </c>
      <c r="S7" s="9" t="str" cm="1">
        <f t="array" aca="1" ref="S7" ca="1">_xlfn.IFNA(INDEX(jkm_call_put!$H:$H,MATCH($B7&amp;S$2&amp;$A$1,jkm_call_put!$G:$G&amp;jkm_call_put!$O:$O&amp;jkm_call_put!$F:$F,0),1),"")</f>
        <v/>
      </c>
      <c r="T7" s="9" t="str" cm="1">
        <f t="array" aca="1" ref="T7" ca="1">_xlfn.IFNA(INDEX(jkm_call_put!$H:$H,MATCH($B7&amp;T$2&amp;$A$1,jkm_call_put!$G:$G&amp;jkm_call_put!$O:$O&amp;jkm_call_put!$F:$F,0),1),"")</f>
        <v/>
      </c>
      <c r="U7" s="9" t="str" cm="1">
        <f t="array" aca="1" ref="U7" ca="1">_xlfn.IFNA(INDEX(jkm_call_put!$H:$H,MATCH($B7&amp;U$2&amp;$A$1,jkm_call_put!$G:$G&amp;jkm_call_put!$O:$O&amp;jkm_call_put!$F:$F,0),1),"")</f>
        <v/>
      </c>
      <c r="V7" s="9" t="str" cm="1">
        <f t="array" aca="1" ref="V7" ca="1">_xlfn.IFNA(INDEX(jkm_call_put!$H:$H,MATCH($B7&amp;V$2&amp;$A$1,jkm_call_put!$G:$G&amp;jkm_call_put!$O:$O&amp;jkm_call_put!$F:$F,0),1),"")</f>
        <v/>
      </c>
      <c r="W7" s="9" cm="1">
        <f t="array" aca="1" ref="W7" ca="1">_xlfn.IFNA(INDEX(jkm_call_put!$H:$H,MATCH($B7&amp;W$2&amp;$A$1,jkm_call_put!$G:$G&amp;jkm_call_put!$O:$O&amp;jkm_call_put!$F:$F,0),1),"")</f>
        <v>0.41599999999999998</v>
      </c>
      <c r="X7" s="9" cm="1">
        <f t="array" aca="1" ref="X7" ca="1">_xlfn.IFNA(INDEX(jkm_call_put!$H:$H,MATCH($B7&amp;X$2&amp;$A$1,jkm_call_put!$G:$G&amp;jkm_call_put!$O:$O&amp;jkm_call_put!$F:$F,0),1),"")</f>
        <v>0.443</v>
      </c>
      <c r="Y7" s="9" cm="1">
        <f t="array" aca="1" ref="Y7" ca="1">_xlfn.IFNA(INDEX(jkm_call_put!$H:$H,MATCH($B7&amp;Y$2&amp;$A$1,jkm_call_put!$G:$G&amp;jkm_call_put!$O:$O&amp;jkm_call_put!$F:$F,0),1),"")</f>
        <v>0.53800000000000003</v>
      </c>
      <c r="Z7" s="9" cm="1">
        <f t="array" aca="1" ref="Z7" ca="1">_xlfn.IFNA(INDEX(jkm_call_put!$H:$H,MATCH($B7&amp;Z$2&amp;$A$1,jkm_call_put!$G:$G&amp;jkm_call_put!$O:$O&amp;jkm_call_put!$F:$F,0),1),"")</f>
        <v>0.89600000000000002</v>
      </c>
      <c r="AA7" s="9" cm="1">
        <f t="array" aca="1" ref="AA7" ca="1">_xlfn.IFNA(INDEX(jkm_call_put!$H:$H,MATCH($B7&amp;AA$2&amp;$A$1,jkm_call_put!$G:$G&amp;jkm_call_put!$O:$O&amp;jkm_call_put!$F:$F,0),1),"")</f>
        <v>1.0049999999999999</v>
      </c>
      <c r="AB7" s="9" cm="1">
        <f t="array" aca="1" ref="AB7" ca="1">_xlfn.IFNA(INDEX(jkm_call_put!$H:$H,MATCH($B7&amp;AB$2&amp;$A$1,jkm_call_put!$G:$G&amp;jkm_call_put!$O:$O&amp;jkm_call_put!$F:$F,0),1),"")</f>
        <v>1.0629999999999999</v>
      </c>
      <c r="AC7" s="9" cm="1">
        <f t="array" aca="1" ref="AC7" ca="1">_xlfn.IFNA(INDEX(jkm_call_put!$H:$H,MATCH($B7&amp;AC$2&amp;$A$1,jkm_call_put!$G:$G&amp;jkm_call_put!$O:$O&amp;jkm_call_put!$F:$F,0),1),"")</f>
        <v>1.08</v>
      </c>
      <c r="AD7" s="9" cm="1">
        <f t="array" aca="1" ref="AD7" ca="1">_xlfn.IFNA(INDEX(jkm_call_put!$H:$H,MATCH($B7&amp;AD$2&amp;$A$1,jkm_call_put!$G:$G&amp;jkm_call_put!$O:$O&amp;jkm_call_put!$F:$F,0),1),"")</f>
        <v>1.1060000000000001</v>
      </c>
      <c r="AE7" s="9" cm="1">
        <f t="array" aca="1" ref="AE7" ca="1">_xlfn.IFNA(INDEX(jkm_call_put!$H:$H,MATCH($B7&amp;AE$2&amp;$A$1,jkm_call_put!$G:$G&amp;jkm_call_put!$O:$O&amp;jkm_call_put!$F:$F,0),1),"")</f>
        <v>1.1160000000000001</v>
      </c>
      <c r="AF7" s="9" cm="1">
        <f t="array" aca="1" ref="AF7" ca="1">_xlfn.IFNA(INDEX(jkm_call_put!$H:$H,MATCH($B7&amp;AF$2&amp;$A$1,jkm_call_put!$G:$G&amp;jkm_call_put!$O:$O&amp;jkm_call_put!$F:$F,0),1),"")</f>
        <v>1.3720000000000001</v>
      </c>
      <c r="AG7" s="9" cm="1">
        <f t="array" aca="1" ref="AG7" ca="1">_xlfn.IFNA(INDEX(jkm_call_put!$H:$H,MATCH($B7&amp;AG$2&amp;$A$1,jkm_call_put!$G:$G&amp;jkm_call_put!$O:$O&amp;jkm_call_put!$F:$F,0),1),"")</f>
        <v>1.355</v>
      </c>
      <c r="AH7" s="9" cm="1">
        <f t="array" aca="1" ref="AH7" ca="1">_xlfn.IFNA(INDEX(jkm_call_put!$H:$H,MATCH($B7&amp;AH$2&amp;$A$1,jkm_call_put!$G:$G&amp;jkm_call_put!$O:$O&amp;jkm_call_put!$F:$F,0),1),"")</f>
        <v>1.351</v>
      </c>
      <c r="AI7" s="9" t="str" cm="1">
        <f t="array" aca="1" ref="AI7" ca="1">_xlfn.IFNA(INDEX(jkm_call_put!$H:$H,MATCH($B7&amp;AI$2&amp;$A$1,jkm_call_put!$G:$G&amp;jkm_call_put!$O:$O&amp;jkm_call_put!$F:$F,0),1),"")</f>
        <v/>
      </c>
      <c r="AJ7" s="9" t="str" cm="1">
        <f t="array" aca="1" ref="AJ7" ca="1">_xlfn.IFNA(INDEX(jkm_call_put!$H:$H,MATCH($B7&amp;AJ$2&amp;$A$1,jkm_call_put!$G:$G&amp;jkm_call_put!$O:$O&amp;jkm_call_put!$F:$F,0),1),"")</f>
        <v/>
      </c>
      <c r="AK7" s="9" t="str" cm="1">
        <f t="array" aca="1" ref="AK7" ca="1">_xlfn.IFNA(INDEX(jkm_call_put!$H:$H,MATCH($B7&amp;AK$2&amp;$A$1,jkm_call_put!$G:$G&amp;jkm_call_put!$O:$O&amp;jkm_call_put!$F:$F,0),1),"")</f>
        <v/>
      </c>
      <c r="AL7" s="9" t="str" cm="1">
        <f t="array" aca="1" ref="AL7" ca="1">_xlfn.IFNA(INDEX(jkm_call_put!$H:$H,MATCH($B7&amp;AL$2&amp;$A$1,jkm_call_put!$G:$G&amp;jkm_call_put!$O:$O&amp;jkm_call_put!$F:$F,0),1),"")</f>
        <v/>
      </c>
    </row>
    <row r="8" spans="1:39" ht="15" customHeight="1" x14ac:dyDescent="0.25">
      <c r="A8" s="11"/>
      <c r="B8" s="6">
        <v>8.5</v>
      </c>
      <c r="C8" s="9" t="str" cm="1">
        <f t="array" aca="1" ref="C8" ca="1">_xlfn.IFNA(INDEX(jkm_call_put!$H:$H,MATCH($B8&amp;C$2&amp;$A$1,jkm_call_put!$G:$G&amp;jkm_call_put!$O:$O&amp;jkm_call_put!$F:$F,0),1),"")</f>
        <v/>
      </c>
      <c r="D8" s="9" cm="1">
        <f t="array" aca="1" ref="D8" ca="1">_xlfn.IFNA(INDEX(jkm_call_put!$H:$H,MATCH($B8&amp;D$2&amp;$A$1,jkm_call_put!$G:$G&amp;jkm_call_put!$O:$O&amp;jkm_call_put!$F:$F,0),1),"")</f>
        <v>1E-3</v>
      </c>
      <c r="E8" s="9" cm="1">
        <f t="array" aca="1" ref="E8" ca="1">_xlfn.IFNA(INDEX(jkm_call_put!$H:$H,MATCH($B8&amp;E$2&amp;$A$1,jkm_call_put!$G:$G&amp;jkm_call_put!$O:$O&amp;jkm_call_put!$F:$F,0),1),"")</f>
        <v>3.1E-2</v>
      </c>
      <c r="F8" s="9" t="str" cm="1">
        <f t="array" aca="1" ref="F8" ca="1">_xlfn.IFNA(INDEX(jkm_call_put!$H:$H,MATCH($B8&amp;F$2&amp;$A$1,jkm_call_put!$G:$G&amp;jkm_call_put!$O:$O&amp;jkm_call_put!$F:$F,0),1),"")</f>
        <v/>
      </c>
      <c r="G8" s="9" t="str" cm="1">
        <f t="array" aca="1" ref="G8" ca="1">_xlfn.IFNA(INDEX(jkm_call_put!$H:$H,MATCH($B8&amp;G$2&amp;$A$1,jkm_call_put!$G:$G&amp;jkm_call_put!$O:$O&amp;jkm_call_put!$F:$F,0),1),"")</f>
        <v/>
      </c>
      <c r="H8" s="9" cm="1">
        <f t="array" aca="1" ref="H8" ca="1">_xlfn.IFNA(INDEX(jkm_call_put!$H:$H,MATCH($B8&amp;H$2&amp;$A$1,jkm_call_put!$G:$G&amp;jkm_call_put!$O:$O&amp;jkm_call_put!$F:$F,0),1),"")</f>
        <v>0.113</v>
      </c>
      <c r="I8" s="9" cm="1">
        <f t="array" aca="1" ref="I8" ca="1">_xlfn.IFNA(INDEX(jkm_call_put!$H:$H,MATCH($B8&amp;I$2&amp;$A$1,jkm_call_put!$G:$G&amp;jkm_call_put!$O:$O&amp;jkm_call_put!$F:$F,0),1),"")</f>
        <v>0.17100000000000001</v>
      </c>
      <c r="J8" s="9" t="str" cm="1">
        <f t="array" aca="1" ref="J8" ca="1">_xlfn.IFNA(INDEX(jkm_call_put!$H:$H,MATCH($B8&amp;J$2&amp;$A$1,jkm_call_put!$G:$G&amp;jkm_call_put!$O:$O&amp;jkm_call_put!$F:$F,0),1),"")</f>
        <v/>
      </c>
      <c r="K8" s="9" cm="1">
        <f t="array" aca="1" ref="K8" ca="1">_xlfn.IFNA(INDEX(jkm_call_put!$H:$H,MATCH($B8&amp;K$2&amp;$A$1,jkm_call_put!$G:$G&amp;jkm_call_put!$O:$O&amp;jkm_call_put!$F:$F,0),1),"")</f>
        <v>0.29199999999999998</v>
      </c>
      <c r="L8" s="9" t="str" cm="1">
        <f t="array" aca="1" ref="L8" ca="1">_xlfn.IFNA(INDEX(jkm_call_put!$H:$H,MATCH($B8&amp;L$2&amp;$A$1,jkm_call_put!$G:$G&amp;jkm_call_put!$O:$O&amp;jkm_call_put!$F:$F,0),1),"")</f>
        <v/>
      </c>
      <c r="M8" s="9" t="str" cm="1">
        <f t="array" aca="1" ref="M8" ca="1">_xlfn.IFNA(INDEX(jkm_call_put!$H:$H,MATCH($B8&amp;M$2&amp;$A$1,jkm_call_put!$G:$G&amp;jkm_call_put!$O:$O&amp;jkm_call_put!$F:$F,0),1),"")</f>
        <v/>
      </c>
      <c r="N8" s="9" t="str" cm="1">
        <f t="array" aca="1" ref="N8" ca="1">_xlfn.IFNA(INDEX(jkm_call_put!$H:$H,MATCH($B8&amp;N$2&amp;$A$1,jkm_call_put!$G:$G&amp;jkm_call_put!$O:$O&amp;jkm_call_put!$F:$F,0),1),"")</f>
        <v/>
      </c>
      <c r="O8" s="9" t="str" cm="1">
        <f t="array" aca="1" ref="O8" ca="1">_xlfn.IFNA(INDEX(jkm_call_put!$H:$H,MATCH($B8&amp;O$2&amp;$A$1,jkm_call_put!$G:$G&amp;jkm_call_put!$O:$O&amp;jkm_call_put!$F:$F,0),1),"")</f>
        <v/>
      </c>
      <c r="P8" s="9" t="str" cm="1">
        <f t="array" aca="1" ref="P8" ca="1">_xlfn.IFNA(INDEX(jkm_call_put!$H:$H,MATCH($B8&amp;P$2&amp;$A$1,jkm_call_put!$G:$G&amp;jkm_call_put!$O:$O&amp;jkm_call_put!$F:$F,0),1),"")</f>
        <v/>
      </c>
      <c r="Q8" s="9" t="str" cm="1">
        <f t="array" aca="1" ref="Q8" ca="1">_xlfn.IFNA(INDEX(jkm_call_put!$H:$H,MATCH($B8&amp;Q$2&amp;$A$1,jkm_call_put!$G:$G&amp;jkm_call_put!$O:$O&amp;jkm_call_put!$F:$F,0),1),"")</f>
        <v/>
      </c>
      <c r="R8" s="9" t="str" cm="1">
        <f t="array" aca="1" ref="R8" ca="1">_xlfn.IFNA(INDEX(jkm_call_put!$H:$H,MATCH($B8&amp;R$2&amp;$A$1,jkm_call_put!$G:$G&amp;jkm_call_put!$O:$O&amp;jkm_call_put!$F:$F,0),1),"")</f>
        <v/>
      </c>
      <c r="S8" s="9" t="str" cm="1">
        <f t="array" aca="1" ref="S8" ca="1">_xlfn.IFNA(INDEX(jkm_call_put!$H:$H,MATCH($B8&amp;S$2&amp;$A$1,jkm_call_put!$G:$G&amp;jkm_call_put!$O:$O&amp;jkm_call_put!$F:$F,0),1),"")</f>
        <v/>
      </c>
      <c r="T8" s="9" t="str" cm="1">
        <f t="array" aca="1" ref="T8" ca="1">_xlfn.IFNA(INDEX(jkm_call_put!$H:$H,MATCH($B8&amp;T$2&amp;$A$1,jkm_call_put!$G:$G&amp;jkm_call_put!$O:$O&amp;jkm_call_put!$F:$F,0),1),"")</f>
        <v/>
      </c>
      <c r="U8" s="9" t="str" cm="1">
        <f t="array" aca="1" ref="U8" ca="1">_xlfn.IFNA(INDEX(jkm_call_put!$H:$H,MATCH($B8&amp;U$2&amp;$A$1,jkm_call_put!$G:$G&amp;jkm_call_put!$O:$O&amp;jkm_call_put!$F:$F,0),1),"")</f>
        <v/>
      </c>
      <c r="V8" s="9" t="str" cm="1">
        <f t="array" aca="1" ref="V8" ca="1">_xlfn.IFNA(INDEX(jkm_call_put!$H:$H,MATCH($B8&amp;V$2&amp;$A$1,jkm_call_put!$G:$G&amp;jkm_call_put!$O:$O&amp;jkm_call_put!$F:$F,0),1),"")</f>
        <v/>
      </c>
      <c r="W8" s="9" t="str" cm="1">
        <f t="array" aca="1" ref="W8" ca="1">_xlfn.IFNA(INDEX(jkm_call_put!$H:$H,MATCH($B8&amp;W$2&amp;$A$1,jkm_call_put!$G:$G&amp;jkm_call_put!$O:$O&amp;jkm_call_put!$F:$F,0),1),"")</f>
        <v/>
      </c>
      <c r="X8" s="9" t="str" cm="1">
        <f t="array" aca="1" ref="X8" ca="1">_xlfn.IFNA(INDEX(jkm_call_put!$H:$H,MATCH($B8&amp;X$2&amp;$A$1,jkm_call_put!$G:$G&amp;jkm_call_put!$O:$O&amp;jkm_call_put!$F:$F,0),1),"")</f>
        <v/>
      </c>
      <c r="Y8" s="9" t="str" cm="1">
        <f t="array" aca="1" ref="Y8" ca="1">_xlfn.IFNA(INDEX(jkm_call_put!$H:$H,MATCH($B8&amp;Y$2&amp;$A$1,jkm_call_put!$G:$G&amp;jkm_call_put!$O:$O&amp;jkm_call_put!$F:$F,0),1),"")</f>
        <v/>
      </c>
      <c r="Z8" s="9" t="str" cm="1">
        <f t="array" aca="1" ref="Z8" ca="1">_xlfn.IFNA(INDEX(jkm_call_put!$H:$H,MATCH($B8&amp;Z$2&amp;$A$1,jkm_call_put!$G:$G&amp;jkm_call_put!$O:$O&amp;jkm_call_put!$F:$F,0),1),"")</f>
        <v/>
      </c>
      <c r="AA8" s="9" t="str" cm="1">
        <f t="array" aca="1" ref="AA8" ca="1">_xlfn.IFNA(INDEX(jkm_call_put!$H:$H,MATCH($B8&amp;AA$2&amp;$A$1,jkm_call_put!$G:$G&amp;jkm_call_put!$O:$O&amp;jkm_call_put!$F:$F,0),1),"")</f>
        <v/>
      </c>
      <c r="AB8" s="9" t="str" cm="1">
        <f t="array" aca="1" ref="AB8" ca="1">_xlfn.IFNA(INDEX(jkm_call_put!$H:$H,MATCH($B8&amp;AB$2&amp;$A$1,jkm_call_put!$G:$G&amp;jkm_call_put!$O:$O&amp;jkm_call_put!$F:$F,0),1),"")</f>
        <v/>
      </c>
      <c r="AC8" s="9" t="str" cm="1">
        <f t="array" aca="1" ref="AC8" ca="1">_xlfn.IFNA(INDEX(jkm_call_put!$H:$H,MATCH($B8&amp;AC$2&amp;$A$1,jkm_call_put!$G:$G&amp;jkm_call_put!$O:$O&amp;jkm_call_put!$F:$F,0),1),"")</f>
        <v/>
      </c>
      <c r="AD8" s="9" t="str" cm="1">
        <f t="array" aca="1" ref="AD8" ca="1">_xlfn.IFNA(INDEX(jkm_call_put!$H:$H,MATCH($B8&amp;AD$2&amp;$A$1,jkm_call_put!$G:$G&amp;jkm_call_put!$O:$O&amp;jkm_call_put!$F:$F,0),1),"")</f>
        <v/>
      </c>
      <c r="AE8" s="9" t="str" cm="1">
        <f t="array" aca="1" ref="AE8" ca="1">_xlfn.IFNA(INDEX(jkm_call_put!$H:$H,MATCH($B8&amp;AE$2&amp;$A$1,jkm_call_put!$G:$G&amp;jkm_call_put!$O:$O&amp;jkm_call_put!$F:$F,0),1),"")</f>
        <v/>
      </c>
      <c r="AF8" s="9" t="str" cm="1">
        <f t="array" aca="1" ref="AF8" ca="1">_xlfn.IFNA(INDEX(jkm_call_put!$H:$H,MATCH($B8&amp;AF$2&amp;$A$1,jkm_call_put!$G:$G&amp;jkm_call_put!$O:$O&amp;jkm_call_put!$F:$F,0),1),"")</f>
        <v/>
      </c>
      <c r="AG8" s="9" t="str" cm="1">
        <f t="array" aca="1" ref="AG8" ca="1">_xlfn.IFNA(INDEX(jkm_call_put!$H:$H,MATCH($B8&amp;AG$2&amp;$A$1,jkm_call_put!$G:$G&amp;jkm_call_put!$O:$O&amp;jkm_call_put!$F:$F,0),1),"")</f>
        <v/>
      </c>
      <c r="AH8" s="9" t="str" cm="1">
        <f t="array" aca="1" ref="AH8" ca="1">_xlfn.IFNA(INDEX(jkm_call_put!$H:$H,MATCH($B8&amp;AH$2&amp;$A$1,jkm_call_put!$G:$G&amp;jkm_call_put!$O:$O&amp;jkm_call_put!$F:$F,0),1),"")</f>
        <v/>
      </c>
      <c r="AI8" s="9" t="str" cm="1">
        <f t="array" aca="1" ref="AI8" ca="1">_xlfn.IFNA(INDEX(jkm_call_put!$H:$H,MATCH($B8&amp;AI$2&amp;$A$1,jkm_call_put!$G:$G&amp;jkm_call_put!$O:$O&amp;jkm_call_put!$F:$F,0),1),"")</f>
        <v/>
      </c>
      <c r="AJ8" s="9" t="str" cm="1">
        <f t="array" aca="1" ref="AJ8" ca="1">_xlfn.IFNA(INDEX(jkm_call_put!$H:$H,MATCH($B8&amp;AJ$2&amp;$A$1,jkm_call_put!$G:$G&amp;jkm_call_put!$O:$O&amp;jkm_call_put!$F:$F,0),1),"")</f>
        <v/>
      </c>
      <c r="AK8" s="9" t="str" cm="1">
        <f t="array" aca="1" ref="AK8" ca="1">_xlfn.IFNA(INDEX(jkm_call_put!$H:$H,MATCH($B8&amp;AK$2&amp;$A$1,jkm_call_put!$G:$G&amp;jkm_call_put!$O:$O&amp;jkm_call_put!$F:$F,0),1),"")</f>
        <v/>
      </c>
      <c r="AL8" s="9" t="str" cm="1">
        <f t="array" aca="1" ref="AL8" ca="1">_xlfn.IFNA(INDEX(jkm_call_put!$H:$H,MATCH($B8&amp;AL$2&amp;$A$1,jkm_call_put!$G:$G&amp;jkm_call_put!$O:$O&amp;jkm_call_put!$F:$F,0),1),"")</f>
        <v/>
      </c>
    </row>
    <row r="9" spans="1:39" ht="15" customHeight="1" x14ac:dyDescent="0.25">
      <c r="A9" s="11"/>
      <c r="B9" s="6">
        <v>9</v>
      </c>
      <c r="C9" s="9" cm="1">
        <f t="array" aca="1" ref="C9" ca="1">_xlfn.IFNA(INDEX(jkm_call_put!$H:$H,MATCH($B9&amp;C$2&amp;$A$1,jkm_call_put!$G:$G&amp;jkm_call_put!$O:$O&amp;jkm_call_put!$F:$F,0),1),"")</f>
        <v>1E-3</v>
      </c>
      <c r="D9" s="9" cm="1">
        <f t="array" aca="1" ref="D9" ca="1">_xlfn.IFNA(INDEX(jkm_call_put!$H:$H,MATCH($B9&amp;D$2&amp;$A$1,jkm_call_put!$G:$G&amp;jkm_call_put!$O:$O&amp;jkm_call_put!$F:$F,0),1),"")</f>
        <v>1E-3</v>
      </c>
      <c r="E9" s="9" cm="1">
        <f t="array" aca="1" ref="E9" ca="1">_xlfn.IFNA(INDEX(jkm_call_put!$H:$H,MATCH($B9&amp;E$2&amp;$A$1,jkm_call_put!$G:$G&amp;jkm_call_put!$O:$O&amp;jkm_call_put!$F:$F,0),1),"")</f>
        <v>4.9000000000000002E-2</v>
      </c>
      <c r="F9" s="9" cm="1">
        <f t="array" aca="1" ref="F9" ca="1">_xlfn.IFNA(INDEX(jkm_call_put!$H:$H,MATCH($B9&amp;F$2&amp;$A$1,jkm_call_put!$G:$G&amp;jkm_call_put!$O:$O&amp;jkm_call_put!$F:$F,0),1),"")</f>
        <v>0.13900000000000001</v>
      </c>
      <c r="G9" s="9" cm="1">
        <f t="array" aca="1" ref="G9" ca="1">_xlfn.IFNA(INDEX(jkm_call_put!$H:$H,MATCH($B9&amp;G$2&amp;$A$1,jkm_call_put!$G:$G&amp;jkm_call_put!$O:$O&amp;jkm_call_put!$F:$F,0),1),"")</f>
        <v>0.26100000000000001</v>
      </c>
      <c r="H9" s="9" cm="1">
        <f t="array" aca="1" ref="H9" ca="1">_xlfn.IFNA(INDEX(jkm_call_put!$H:$H,MATCH($B9&amp;H$2&amp;$A$1,jkm_call_put!$G:$G&amp;jkm_call_put!$O:$O&amp;jkm_call_put!$F:$F,0),1),"")</f>
        <v>0.159</v>
      </c>
      <c r="I9" s="9" cm="1">
        <f t="array" aca="1" ref="I9" ca="1">_xlfn.IFNA(INDEX(jkm_call_put!$H:$H,MATCH($B9&amp;I$2&amp;$A$1,jkm_call_put!$G:$G&amp;jkm_call_put!$O:$O&amp;jkm_call_put!$F:$F,0),1),"")</f>
        <v>0.23</v>
      </c>
      <c r="J9" s="9" cm="1">
        <f t="array" aca="1" ref="J9" ca="1">_xlfn.IFNA(INDEX(jkm_call_put!$H:$H,MATCH($B9&amp;J$2&amp;$A$1,jkm_call_put!$G:$G&amp;jkm_call_put!$O:$O&amp;jkm_call_put!$F:$F,0),1),"")</f>
        <v>0.29299999999999998</v>
      </c>
      <c r="K9" s="9" cm="1">
        <f t="array" aca="1" ref="K9" ca="1">_xlfn.IFNA(INDEX(jkm_call_put!$H:$H,MATCH($B9&amp;K$2&amp;$A$1,jkm_call_put!$G:$G&amp;jkm_call_put!$O:$O&amp;jkm_call_put!$F:$F,0),1),"")</f>
        <v>0.375</v>
      </c>
      <c r="L9" s="9" cm="1">
        <f t="array" aca="1" ref="L9" ca="1">_xlfn.IFNA(INDEX(jkm_call_put!$H:$H,MATCH($B9&amp;L$2&amp;$A$1,jkm_call_put!$G:$G&amp;jkm_call_put!$O:$O&amp;jkm_call_put!$F:$F,0),1),"")</f>
        <v>0.48</v>
      </c>
      <c r="M9" s="9" cm="1">
        <f t="array" aca="1" ref="M9" ca="1">_xlfn.IFNA(INDEX(jkm_call_put!$H:$H,MATCH($B9&amp;M$2&amp;$A$1,jkm_call_put!$G:$G&amp;jkm_call_put!$O:$O&amp;jkm_call_put!$F:$F,0),1),"")</f>
        <v>0.69499999999999995</v>
      </c>
      <c r="N9" s="9" t="str" cm="1">
        <f t="array" aca="1" ref="N9" ca="1">_xlfn.IFNA(INDEX(jkm_call_put!$H:$H,MATCH($B9&amp;N$2&amp;$A$1,jkm_call_put!$G:$G&amp;jkm_call_put!$O:$O&amp;jkm_call_put!$F:$F,0),1),"")</f>
        <v/>
      </c>
      <c r="O9" s="9" t="str" cm="1">
        <f t="array" aca="1" ref="O9" ca="1">_xlfn.IFNA(INDEX(jkm_call_put!$H:$H,MATCH($B9&amp;O$2&amp;$A$1,jkm_call_put!$G:$G&amp;jkm_call_put!$O:$O&amp;jkm_call_put!$F:$F,0),1),"")</f>
        <v/>
      </c>
      <c r="P9" s="9" t="str" cm="1">
        <f t="array" aca="1" ref="P9" ca="1">_xlfn.IFNA(INDEX(jkm_call_put!$H:$H,MATCH($B9&amp;P$2&amp;$A$1,jkm_call_put!$G:$G&amp;jkm_call_put!$O:$O&amp;jkm_call_put!$F:$F,0),1),"")</f>
        <v/>
      </c>
      <c r="Q9" s="9" t="str" cm="1">
        <f t="array" aca="1" ref="Q9" ca="1">_xlfn.IFNA(INDEX(jkm_call_put!$H:$H,MATCH($B9&amp;Q$2&amp;$A$1,jkm_call_put!$G:$G&amp;jkm_call_put!$O:$O&amp;jkm_call_put!$F:$F,0),1),"")</f>
        <v/>
      </c>
      <c r="R9" s="9" t="str" cm="1">
        <f t="array" aca="1" ref="R9" ca="1">_xlfn.IFNA(INDEX(jkm_call_put!$H:$H,MATCH($B9&amp;R$2&amp;$A$1,jkm_call_put!$G:$G&amp;jkm_call_put!$O:$O&amp;jkm_call_put!$F:$F,0),1),"")</f>
        <v/>
      </c>
      <c r="S9" s="9" t="str" cm="1">
        <f t="array" aca="1" ref="S9" ca="1">_xlfn.IFNA(INDEX(jkm_call_put!$H:$H,MATCH($B9&amp;S$2&amp;$A$1,jkm_call_put!$G:$G&amp;jkm_call_put!$O:$O&amp;jkm_call_put!$F:$F,0),1),"")</f>
        <v/>
      </c>
      <c r="T9" s="9" t="str" cm="1">
        <f t="array" aca="1" ref="T9" ca="1">_xlfn.IFNA(INDEX(jkm_call_put!$H:$H,MATCH($B9&amp;T$2&amp;$A$1,jkm_call_put!$G:$G&amp;jkm_call_put!$O:$O&amp;jkm_call_put!$F:$F,0),1),"")</f>
        <v/>
      </c>
      <c r="U9" s="9" t="str" cm="1">
        <f t="array" aca="1" ref="U9" ca="1">_xlfn.IFNA(INDEX(jkm_call_put!$H:$H,MATCH($B9&amp;U$2&amp;$A$1,jkm_call_put!$G:$G&amp;jkm_call_put!$O:$O&amp;jkm_call_put!$F:$F,0),1),"")</f>
        <v/>
      </c>
      <c r="V9" s="9" t="str" cm="1">
        <f t="array" aca="1" ref="V9" ca="1">_xlfn.IFNA(INDEX(jkm_call_put!$H:$H,MATCH($B9&amp;V$2&amp;$A$1,jkm_call_put!$G:$G&amp;jkm_call_put!$O:$O&amp;jkm_call_put!$F:$F,0),1),"")</f>
        <v/>
      </c>
      <c r="W9" s="9" t="str" cm="1">
        <f t="array" aca="1" ref="W9" ca="1">_xlfn.IFNA(INDEX(jkm_call_put!$H:$H,MATCH($B9&amp;W$2&amp;$A$1,jkm_call_put!$G:$G&amp;jkm_call_put!$O:$O&amp;jkm_call_put!$F:$F,0),1),"")</f>
        <v/>
      </c>
      <c r="X9" s="9" t="str" cm="1">
        <f t="array" aca="1" ref="X9" ca="1">_xlfn.IFNA(INDEX(jkm_call_put!$H:$H,MATCH($B9&amp;X$2&amp;$A$1,jkm_call_put!$G:$G&amp;jkm_call_put!$O:$O&amp;jkm_call_put!$F:$F,0),1),"")</f>
        <v/>
      </c>
      <c r="Y9" s="9" t="str" cm="1">
        <f t="array" aca="1" ref="Y9" ca="1">_xlfn.IFNA(INDEX(jkm_call_put!$H:$H,MATCH($B9&amp;Y$2&amp;$A$1,jkm_call_put!$G:$G&amp;jkm_call_put!$O:$O&amp;jkm_call_put!$F:$F,0),1),"")</f>
        <v/>
      </c>
      <c r="Z9" s="9" t="str" cm="1">
        <f t="array" aca="1" ref="Z9" ca="1">_xlfn.IFNA(INDEX(jkm_call_put!$H:$H,MATCH($B9&amp;Z$2&amp;$A$1,jkm_call_put!$G:$G&amp;jkm_call_put!$O:$O&amp;jkm_call_put!$F:$F,0),1),"")</f>
        <v/>
      </c>
      <c r="AA9" s="9" t="str" cm="1">
        <f t="array" aca="1" ref="AA9" ca="1">_xlfn.IFNA(INDEX(jkm_call_put!$H:$H,MATCH($B9&amp;AA$2&amp;$A$1,jkm_call_put!$G:$G&amp;jkm_call_put!$O:$O&amp;jkm_call_put!$F:$F,0),1),"")</f>
        <v/>
      </c>
      <c r="AB9" s="9" t="str" cm="1">
        <f t="array" aca="1" ref="AB9" ca="1">_xlfn.IFNA(INDEX(jkm_call_put!$H:$H,MATCH($B9&amp;AB$2&amp;$A$1,jkm_call_put!$G:$G&amp;jkm_call_put!$O:$O&amp;jkm_call_put!$F:$F,0),1),"")</f>
        <v/>
      </c>
      <c r="AC9" s="9" t="str" cm="1">
        <f t="array" aca="1" ref="AC9" ca="1">_xlfn.IFNA(INDEX(jkm_call_put!$H:$H,MATCH($B9&amp;AC$2&amp;$A$1,jkm_call_put!$G:$G&amp;jkm_call_put!$O:$O&amp;jkm_call_put!$F:$F,0),1),"")</f>
        <v/>
      </c>
      <c r="AD9" s="9" t="str" cm="1">
        <f t="array" aca="1" ref="AD9" ca="1">_xlfn.IFNA(INDEX(jkm_call_put!$H:$H,MATCH($B9&amp;AD$2&amp;$A$1,jkm_call_put!$G:$G&amp;jkm_call_put!$O:$O&amp;jkm_call_put!$F:$F,0),1),"")</f>
        <v/>
      </c>
      <c r="AE9" s="9" t="str" cm="1">
        <f t="array" aca="1" ref="AE9" ca="1">_xlfn.IFNA(INDEX(jkm_call_put!$H:$H,MATCH($B9&amp;AE$2&amp;$A$1,jkm_call_put!$G:$G&amp;jkm_call_put!$O:$O&amp;jkm_call_put!$F:$F,0),1),"")</f>
        <v/>
      </c>
      <c r="AF9" s="9" t="str" cm="1">
        <f t="array" aca="1" ref="AF9" ca="1">_xlfn.IFNA(INDEX(jkm_call_put!$H:$H,MATCH($B9&amp;AF$2&amp;$A$1,jkm_call_put!$G:$G&amp;jkm_call_put!$O:$O&amp;jkm_call_put!$F:$F,0),1),"")</f>
        <v/>
      </c>
      <c r="AG9" s="9" t="str" cm="1">
        <f t="array" aca="1" ref="AG9" ca="1">_xlfn.IFNA(INDEX(jkm_call_put!$H:$H,MATCH($B9&amp;AG$2&amp;$A$1,jkm_call_put!$G:$G&amp;jkm_call_put!$O:$O&amp;jkm_call_put!$F:$F,0),1),"")</f>
        <v/>
      </c>
      <c r="AH9" s="9" t="str" cm="1">
        <f t="array" aca="1" ref="AH9" ca="1">_xlfn.IFNA(INDEX(jkm_call_put!$H:$H,MATCH($B9&amp;AH$2&amp;$A$1,jkm_call_put!$G:$G&amp;jkm_call_put!$O:$O&amp;jkm_call_put!$F:$F,0),1),"")</f>
        <v/>
      </c>
      <c r="AI9" s="9" t="str" cm="1">
        <f t="array" aca="1" ref="AI9" ca="1">_xlfn.IFNA(INDEX(jkm_call_put!$H:$H,MATCH($B9&amp;AI$2&amp;$A$1,jkm_call_put!$G:$G&amp;jkm_call_put!$O:$O&amp;jkm_call_put!$F:$F,0),1),"")</f>
        <v/>
      </c>
      <c r="AJ9" s="9" t="str" cm="1">
        <f t="array" aca="1" ref="AJ9" ca="1">_xlfn.IFNA(INDEX(jkm_call_put!$H:$H,MATCH($B9&amp;AJ$2&amp;$A$1,jkm_call_put!$G:$G&amp;jkm_call_put!$O:$O&amp;jkm_call_put!$F:$F,0),1),"")</f>
        <v/>
      </c>
      <c r="AK9" s="9" t="str" cm="1">
        <f t="array" aca="1" ref="AK9" ca="1">_xlfn.IFNA(INDEX(jkm_call_put!$H:$H,MATCH($B9&amp;AK$2&amp;$A$1,jkm_call_put!$G:$G&amp;jkm_call_put!$O:$O&amp;jkm_call_put!$F:$F,0),1),"")</f>
        <v/>
      </c>
      <c r="AL9" s="9" t="str" cm="1">
        <f t="array" aca="1" ref="AL9" ca="1">_xlfn.IFNA(INDEX(jkm_call_put!$H:$H,MATCH($B9&amp;AL$2&amp;$A$1,jkm_call_put!$G:$G&amp;jkm_call_put!$O:$O&amp;jkm_call_put!$F:$F,0),1),"")</f>
        <v/>
      </c>
    </row>
    <row r="10" spans="1:39" ht="15" customHeight="1" x14ac:dyDescent="0.25">
      <c r="A10" s="11"/>
      <c r="B10" s="6">
        <v>9.5</v>
      </c>
      <c r="C10" s="9" t="str" cm="1">
        <f t="array" aca="1" ref="C10" ca="1">_xlfn.IFNA(INDEX(jkm_call_put!$H:$H,MATCH($B10&amp;C$2&amp;$A$1,jkm_call_put!$G:$G&amp;jkm_call_put!$O:$O&amp;jkm_call_put!$F:$F,0),1),"")</f>
        <v/>
      </c>
      <c r="D10" s="9" t="str" cm="1">
        <f t="array" aca="1" ref="D10" ca="1">_xlfn.IFNA(INDEX(jkm_call_put!$H:$H,MATCH($B10&amp;D$2&amp;$A$1,jkm_call_put!$G:$G&amp;jkm_call_put!$O:$O&amp;jkm_call_put!$F:$F,0),1),"")</f>
        <v/>
      </c>
      <c r="E10" s="9" cm="1">
        <f t="array" aca="1" ref="E10" ca="1">_xlfn.IFNA(INDEX(jkm_call_put!$H:$H,MATCH($B10&amp;E$2&amp;$A$1,jkm_call_put!$G:$G&amp;jkm_call_put!$O:$O&amp;jkm_call_put!$F:$F,0),1),"")</f>
        <v>7.1999999999999995E-2</v>
      </c>
      <c r="F10" s="9" t="str" cm="1">
        <f t="array" aca="1" ref="F10" ca="1">_xlfn.IFNA(INDEX(jkm_call_put!$H:$H,MATCH($B10&amp;F$2&amp;$A$1,jkm_call_put!$G:$G&amp;jkm_call_put!$O:$O&amp;jkm_call_put!$F:$F,0),1),"")</f>
        <v/>
      </c>
      <c r="G10" s="9" t="str" cm="1">
        <f t="array" aca="1" ref="G10" ca="1">_xlfn.IFNA(INDEX(jkm_call_put!$H:$H,MATCH($B10&amp;G$2&amp;$A$1,jkm_call_put!$G:$G&amp;jkm_call_put!$O:$O&amp;jkm_call_put!$F:$F,0),1),"")</f>
        <v/>
      </c>
      <c r="H10" s="9" cm="1">
        <f t="array" aca="1" ref="H10" ca="1">_xlfn.IFNA(INDEX(jkm_call_put!$H:$H,MATCH($B10&amp;H$2&amp;$A$1,jkm_call_put!$G:$G&amp;jkm_call_put!$O:$O&amp;jkm_call_put!$F:$F,0),1),"")</f>
        <v>0.215</v>
      </c>
      <c r="I10" s="9" cm="1">
        <f t="array" aca="1" ref="I10" ca="1">_xlfn.IFNA(INDEX(jkm_call_put!$H:$H,MATCH($B10&amp;I$2&amp;$A$1,jkm_call_put!$G:$G&amp;jkm_call_put!$O:$O&amp;jkm_call_put!$F:$F,0),1),"")</f>
        <v>0.30199999999999999</v>
      </c>
      <c r="J10" s="9" cm="1">
        <f t="array" aca="1" ref="J10" ca="1">_xlfn.IFNA(INDEX(jkm_call_put!$H:$H,MATCH($B10&amp;J$2&amp;$A$1,jkm_call_put!$G:$G&amp;jkm_call_put!$O:$O&amp;jkm_call_put!$F:$F,0),1),"")</f>
        <v>0.376</v>
      </c>
      <c r="K10" s="9" cm="1">
        <f t="array" aca="1" ref="K10" ca="1">_xlfn.IFNA(INDEX(jkm_call_put!$H:$H,MATCH($B10&amp;K$2&amp;$A$1,jkm_call_put!$G:$G&amp;jkm_call_put!$O:$O&amp;jkm_call_put!$F:$F,0),1),"")</f>
        <v>0.47099999999999997</v>
      </c>
      <c r="L10" s="9" cm="1">
        <f t="array" aca="1" ref="L10" ca="1">_xlfn.IFNA(INDEX(jkm_call_put!$H:$H,MATCH($B10&amp;L$2&amp;$A$1,jkm_call_put!$G:$G&amp;jkm_call_put!$O:$O&amp;jkm_call_put!$F:$F,0),1),"")</f>
        <v>0.59199999999999997</v>
      </c>
      <c r="M10" s="9" cm="1">
        <f t="array" aca="1" ref="M10" ca="1">_xlfn.IFNA(INDEX(jkm_call_put!$H:$H,MATCH($B10&amp;M$2&amp;$A$1,jkm_call_put!$G:$G&amp;jkm_call_put!$O:$O&amp;jkm_call_put!$F:$F,0),1),"")</f>
        <v>0.84</v>
      </c>
      <c r="N10" s="9" t="str" cm="1">
        <f t="array" aca="1" ref="N10" ca="1">_xlfn.IFNA(INDEX(jkm_call_put!$H:$H,MATCH($B10&amp;N$2&amp;$A$1,jkm_call_put!$G:$G&amp;jkm_call_put!$O:$O&amp;jkm_call_put!$F:$F,0),1),"")</f>
        <v/>
      </c>
      <c r="O10" s="9" t="str" cm="1">
        <f t="array" aca="1" ref="O10" ca="1">_xlfn.IFNA(INDEX(jkm_call_put!$H:$H,MATCH($B10&amp;O$2&amp;$A$1,jkm_call_put!$G:$G&amp;jkm_call_put!$O:$O&amp;jkm_call_put!$F:$F,0),1),"")</f>
        <v/>
      </c>
      <c r="P10" s="9" t="str" cm="1">
        <f t="array" aca="1" ref="P10" ca="1">_xlfn.IFNA(INDEX(jkm_call_put!$H:$H,MATCH($B10&amp;P$2&amp;$A$1,jkm_call_put!$G:$G&amp;jkm_call_put!$O:$O&amp;jkm_call_put!$F:$F,0),1),"")</f>
        <v/>
      </c>
      <c r="Q10" s="9" t="str" cm="1">
        <f t="array" aca="1" ref="Q10" ca="1">_xlfn.IFNA(INDEX(jkm_call_put!$H:$H,MATCH($B10&amp;Q$2&amp;$A$1,jkm_call_put!$G:$G&amp;jkm_call_put!$O:$O&amp;jkm_call_put!$F:$F,0),1),"")</f>
        <v/>
      </c>
      <c r="R10" s="9" t="str" cm="1">
        <f t="array" aca="1" ref="R10" ca="1">_xlfn.IFNA(INDEX(jkm_call_put!$H:$H,MATCH($B10&amp;R$2&amp;$A$1,jkm_call_put!$G:$G&amp;jkm_call_put!$O:$O&amp;jkm_call_put!$F:$F,0),1),"")</f>
        <v/>
      </c>
      <c r="S10" s="9" t="str" cm="1">
        <f t="array" aca="1" ref="S10" ca="1">_xlfn.IFNA(INDEX(jkm_call_put!$H:$H,MATCH($B10&amp;S$2&amp;$A$1,jkm_call_put!$G:$G&amp;jkm_call_put!$O:$O&amp;jkm_call_put!$F:$F,0),1),"")</f>
        <v/>
      </c>
      <c r="T10" s="9" t="str" cm="1">
        <f t="array" aca="1" ref="T10" ca="1">_xlfn.IFNA(INDEX(jkm_call_put!$H:$H,MATCH($B10&amp;T$2&amp;$A$1,jkm_call_put!$G:$G&amp;jkm_call_put!$O:$O&amp;jkm_call_put!$F:$F,0),1),"")</f>
        <v/>
      </c>
      <c r="U10" s="9" t="str" cm="1">
        <f t="array" aca="1" ref="U10" ca="1">_xlfn.IFNA(INDEX(jkm_call_put!$H:$H,MATCH($B10&amp;U$2&amp;$A$1,jkm_call_put!$G:$G&amp;jkm_call_put!$O:$O&amp;jkm_call_put!$F:$F,0),1),"")</f>
        <v/>
      </c>
      <c r="V10" s="9" t="str" cm="1">
        <f t="array" aca="1" ref="V10" ca="1">_xlfn.IFNA(INDEX(jkm_call_put!$H:$H,MATCH($B10&amp;V$2&amp;$A$1,jkm_call_put!$G:$G&amp;jkm_call_put!$O:$O&amp;jkm_call_put!$F:$F,0),1),"")</f>
        <v/>
      </c>
      <c r="W10" s="9" t="str" cm="1">
        <f t="array" aca="1" ref="W10" ca="1">_xlfn.IFNA(INDEX(jkm_call_put!$H:$H,MATCH($B10&amp;W$2&amp;$A$1,jkm_call_put!$G:$G&amp;jkm_call_put!$O:$O&amp;jkm_call_put!$F:$F,0),1),"")</f>
        <v/>
      </c>
      <c r="X10" s="9" t="str" cm="1">
        <f t="array" aca="1" ref="X10" ca="1">_xlfn.IFNA(INDEX(jkm_call_put!$H:$H,MATCH($B10&amp;X$2&amp;$A$1,jkm_call_put!$G:$G&amp;jkm_call_put!$O:$O&amp;jkm_call_put!$F:$F,0),1),"")</f>
        <v/>
      </c>
      <c r="Y10" s="9" t="str" cm="1">
        <f t="array" aca="1" ref="Y10" ca="1">_xlfn.IFNA(INDEX(jkm_call_put!$H:$H,MATCH($B10&amp;Y$2&amp;$A$1,jkm_call_put!$G:$G&amp;jkm_call_put!$O:$O&amp;jkm_call_put!$F:$F,0),1),"")</f>
        <v/>
      </c>
      <c r="Z10" s="9" t="str" cm="1">
        <f t="array" aca="1" ref="Z10" ca="1">_xlfn.IFNA(INDEX(jkm_call_put!$H:$H,MATCH($B10&amp;Z$2&amp;$A$1,jkm_call_put!$G:$G&amp;jkm_call_put!$O:$O&amp;jkm_call_put!$F:$F,0),1),"")</f>
        <v/>
      </c>
      <c r="AA10" s="9" t="str" cm="1">
        <f t="array" aca="1" ref="AA10" ca="1">_xlfn.IFNA(INDEX(jkm_call_put!$H:$H,MATCH($B10&amp;AA$2&amp;$A$1,jkm_call_put!$G:$G&amp;jkm_call_put!$O:$O&amp;jkm_call_put!$F:$F,0),1),"")</f>
        <v/>
      </c>
      <c r="AB10" s="9" t="str" cm="1">
        <f t="array" aca="1" ref="AB10" ca="1">_xlfn.IFNA(INDEX(jkm_call_put!$H:$H,MATCH($B10&amp;AB$2&amp;$A$1,jkm_call_put!$G:$G&amp;jkm_call_put!$O:$O&amp;jkm_call_put!$F:$F,0),1),"")</f>
        <v/>
      </c>
      <c r="AC10" s="9" t="str" cm="1">
        <f t="array" aca="1" ref="AC10" ca="1">_xlfn.IFNA(INDEX(jkm_call_put!$H:$H,MATCH($B10&amp;AC$2&amp;$A$1,jkm_call_put!$G:$G&amp;jkm_call_put!$O:$O&amp;jkm_call_put!$F:$F,0),1),"")</f>
        <v/>
      </c>
      <c r="AD10" s="9" t="str" cm="1">
        <f t="array" aca="1" ref="AD10" ca="1">_xlfn.IFNA(INDEX(jkm_call_put!$H:$H,MATCH($B10&amp;AD$2&amp;$A$1,jkm_call_put!$G:$G&amp;jkm_call_put!$O:$O&amp;jkm_call_put!$F:$F,0),1),"")</f>
        <v/>
      </c>
      <c r="AE10" s="9" t="str" cm="1">
        <f t="array" aca="1" ref="AE10" ca="1">_xlfn.IFNA(INDEX(jkm_call_put!$H:$H,MATCH($B10&amp;AE$2&amp;$A$1,jkm_call_put!$G:$G&amp;jkm_call_put!$O:$O&amp;jkm_call_put!$F:$F,0),1),"")</f>
        <v/>
      </c>
      <c r="AF10" s="9" t="str" cm="1">
        <f t="array" aca="1" ref="AF10" ca="1">_xlfn.IFNA(INDEX(jkm_call_put!$H:$H,MATCH($B10&amp;AF$2&amp;$A$1,jkm_call_put!$G:$G&amp;jkm_call_put!$O:$O&amp;jkm_call_put!$F:$F,0),1),"")</f>
        <v/>
      </c>
      <c r="AG10" s="9" t="str" cm="1">
        <f t="array" aca="1" ref="AG10" ca="1">_xlfn.IFNA(INDEX(jkm_call_put!$H:$H,MATCH($B10&amp;AG$2&amp;$A$1,jkm_call_put!$G:$G&amp;jkm_call_put!$O:$O&amp;jkm_call_put!$F:$F,0),1),"")</f>
        <v/>
      </c>
      <c r="AH10" s="9" t="str" cm="1">
        <f t="array" aca="1" ref="AH10" ca="1">_xlfn.IFNA(INDEX(jkm_call_put!$H:$H,MATCH($B10&amp;AH$2&amp;$A$1,jkm_call_put!$G:$G&amp;jkm_call_put!$O:$O&amp;jkm_call_put!$F:$F,0),1),"")</f>
        <v/>
      </c>
      <c r="AI10" s="9" t="str" cm="1">
        <f t="array" aca="1" ref="AI10" ca="1">_xlfn.IFNA(INDEX(jkm_call_put!$H:$H,MATCH($B10&amp;AI$2&amp;$A$1,jkm_call_put!$G:$G&amp;jkm_call_put!$O:$O&amp;jkm_call_put!$F:$F,0),1),"")</f>
        <v/>
      </c>
      <c r="AJ10" s="9" t="str" cm="1">
        <f t="array" aca="1" ref="AJ10" ca="1">_xlfn.IFNA(INDEX(jkm_call_put!$H:$H,MATCH($B10&amp;AJ$2&amp;$A$1,jkm_call_put!$G:$G&amp;jkm_call_put!$O:$O&amp;jkm_call_put!$F:$F,0),1),"")</f>
        <v/>
      </c>
      <c r="AK10" s="9" t="str" cm="1">
        <f t="array" aca="1" ref="AK10" ca="1">_xlfn.IFNA(INDEX(jkm_call_put!$H:$H,MATCH($B10&amp;AK$2&amp;$A$1,jkm_call_put!$G:$G&amp;jkm_call_put!$O:$O&amp;jkm_call_put!$F:$F,0),1),"")</f>
        <v/>
      </c>
      <c r="AL10" s="9" t="str" cm="1">
        <f t="array" aca="1" ref="AL10" ca="1">_xlfn.IFNA(INDEX(jkm_call_put!$H:$H,MATCH($B10&amp;AL$2&amp;$A$1,jkm_call_put!$G:$G&amp;jkm_call_put!$O:$O&amp;jkm_call_put!$F:$F,0),1),"")</f>
        <v/>
      </c>
    </row>
    <row r="11" spans="1:39" ht="15" customHeight="1" x14ac:dyDescent="0.25">
      <c r="A11" s="11"/>
      <c r="B11" s="6">
        <v>9.6999999999999993</v>
      </c>
      <c r="C11" s="9" t="str" cm="1">
        <f t="array" aca="1" ref="C11" ca="1">_xlfn.IFNA(INDEX(jkm_call_put!$H:$H,MATCH($B11&amp;C$2&amp;$A$1,jkm_call_put!$G:$G&amp;jkm_call_put!$O:$O&amp;jkm_call_put!$F:$F,0),1),"")</f>
        <v/>
      </c>
      <c r="D11" s="9" t="str" cm="1">
        <f t="array" aca="1" ref="D11" ca="1">_xlfn.IFNA(INDEX(jkm_call_put!$H:$H,MATCH($B11&amp;D$2&amp;$A$1,jkm_call_put!$G:$G&amp;jkm_call_put!$O:$O&amp;jkm_call_put!$F:$F,0),1),"")</f>
        <v/>
      </c>
      <c r="E11" s="9" t="str" cm="1">
        <f t="array" aca="1" ref="E11" ca="1">_xlfn.IFNA(INDEX(jkm_call_put!$H:$H,MATCH($B11&amp;E$2&amp;$A$1,jkm_call_put!$G:$G&amp;jkm_call_put!$O:$O&amp;jkm_call_put!$F:$F,0),1),"")</f>
        <v/>
      </c>
      <c r="F11" s="9" t="str" cm="1">
        <f t="array" aca="1" ref="F11" ca="1">_xlfn.IFNA(INDEX(jkm_call_put!$H:$H,MATCH($B11&amp;F$2&amp;$A$1,jkm_call_put!$G:$G&amp;jkm_call_put!$O:$O&amp;jkm_call_put!$F:$F,0),1),"")</f>
        <v/>
      </c>
      <c r="G11" s="9" cm="1">
        <f t="array" aca="1" ref="G11" ca="1">_xlfn.IFNA(INDEX(jkm_call_put!$H:$H,MATCH($B11&amp;G$2&amp;$A$1,jkm_call_put!$G:$G&amp;jkm_call_put!$O:$O&amp;jkm_call_put!$F:$F,0),1),"")</f>
        <v>0.37</v>
      </c>
      <c r="H11" s="9" t="str" cm="1">
        <f t="array" aca="1" ref="H11" ca="1">_xlfn.IFNA(INDEX(jkm_call_put!$H:$H,MATCH($B11&amp;H$2&amp;$A$1,jkm_call_put!$G:$G&amp;jkm_call_put!$O:$O&amp;jkm_call_put!$F:$F,0),1),"")</f>
        <v/>
      </c>
      <c r="I11" s="9" t="str" cm="1">
        <f t="array" aca="1" ref="I11" ca="1">_xlfn.IFNA(INDEX(jkm_call_put!$H:$H,MATCH($B11&amp;I$2&amp;$A$1,jkm_call_put!$G:$G&amp;jkm_call_put!$O:$O&amp;jkm_call_put!$F:$F,0),1),"")</f>
        <v/>
      </c>
      <c r="J11" s="9" t="str" cm="1">
        <f t="array" aca="1" ref="J11" ca="1">_xlfn.IFNA(INDEX(jkm_call_put!$H:$H,MATCH($B11&amp;J$2&amp;$A$1,jkm_call_put!$G:$G&amp;jkm_call_put!$O:$O&amp;jkm_call_put!$F:$F,0),1),"")</f>
        <v/>
      </c>
      <c r="K11" s="9" t="str" cm="1">
        <f t="array" aca="1" ref="K11" ca="1">_xlfn.IFNA(INDEX(jkm_call_put!$H:$H,MATCH($B11&amp;K$2&amp;$A$1,jkm_call_put!$G:$G&amp;jkm_call_put!$O:$O&amp;jkm_call_put!$F:$F,0),1),"")</f>
        <v/>
      </c>
      <c r="L11" s="9" t="str" cm="1">
        <f t="array" aca="1" ref="L11" ca="1">_xlfn.IFNA(INDEX(jkm_call_put!$H:$H,MATCH($B11&amp;L$2&amp;$A$1,jkm_call_put!$G:$G&amp;jkm_call_put!$O:$O&amp;jkm_call_put!$F:$F,0),1),"")</f>
        <v/>
      </c>
      <c r="M11" s="9" t="str" cm="1">
        <f t="array" aca="1" ref="M11" ca="1">_xlfn.IFNA(INDEX(jkm_call_put!$H:$H,MATCH($B11&amp;M$2&amp;$A$1,jkm_call_put!$G:$G&amp;jkm_call_put!$O:$O&amp;jkm_call_put!$F:$F,0),1),"")</f>
        <v/>
      </c>
      <c r="N11" s="9" t="str" cm="1">
        <f t="array" aca="1" ref="N11" ca="1">_xlfn.IFNA(INDEX(jkm_call_put!$H:$H,MATCH($B11&amp;N$2&amp;$A$1,jkm_call_put!$G:$G&amp;jkm_call_put!$O:$O&amp;jkm_call_put!$F:$F,0),1),"")</f>
        <v/>
      </c>
      <c r="O11" s="9" t="str" cm="1">
        <f t="array" aca="1" ref="O11" ca="1">_xlfn.IFNA(INDEX(jkm_call_put!$H:$H,MATCH($B11&amp;O$2&amp;$A$1,jkm_call_put!$G:$G&amp;jkm_call_put!$O:$O&amp;jkm_call_put!$F:$F,0),1),"")</f>
        <v/>
      </c>
      <c r="P11" s="9" t="str" cm="1">
        <f t="array" aca="1" ref="P11" ca="1">_xlfn.IFNA(INDEX(jkm_call_put!$H:$H,MATCH($B11&amp;P$2&amp;$A$1,jkm_call_put!$G:$G&amp;jkm_call_put!$O:$O&amp;jkm_call_put!$F:$F,0),1),"")</f>
        <v/>
      </c>
      <c r="Q11" s="9" t="str" cm="1">
        <f t="array" aca="1" ref="Q11" ca="1">_xlfn.IFNA(INDEX(jkm_call_put!$H:$H,MATCH($B11&amp;Q$2&amp;$A$1,jkm_call_put!$G:$G&amp;jkm_call_put!$O:$O&amp;jkm_call_put!$F:$F,0),1),"")</f>
        <v/>
      </c>
      <c r="R11" s="9" t="str" cm="1">
        <f t="array" aca="1" ref="R11" ca="1">_xlfn.IFNA(INDEX(jkm_call_put!$H:$H,MATCH($B11&amp;R$2&amp;$A$1,jkm_call_put!$G:$G&amp;jkm_call_put!$O:$O&amp;jkm_call_put!$F:$F,0),1),"")</f>
        <v/>
      </c>
      <c r="S11" s="9" t="str" cm="1">
        <f t="array" aca="1" ref="S11" ca="1">_xlfn.IFNA(INDEX(jkm_call_put!$H:$H,MATCH($B11&amp;S$2&amp;$A$1,jkm_call_put!$G:$G&amp;jkm_call_put!$O:$O&amp;jkm_call_put!$F:$F,0),1),"")</f>
        <v/>
      </c>
      <c r="T11" s="9" t="str" cm="1">
        <f t="array" aca="1" ref="T11" ca="1">_xlfn.IFNA(INDEX(jkm_call_put!$H:$H,MATCH($B11&amp;T$2&amp;$A$1,jkm_call_put!$G:$G&amp;jkm_call_put!$O:$O&amp;jkm_call_put!$F:$F,0),1),"")</f>
        <v/>
      </c>
      <c r="U11" s="9" t="str" cm="1">
        <f t="array" aca="1" ref="U11" ca="1">_xlfn.IFNA(INDEX(jkm_call_put!$H:$H,MATCH($B11&amp;U$2&amp;$A$1,jkm_call_put!$G:$G&amp;jkm_call_put!$O:$O&amp;jkm_call_put!$F:$F,0),1),"")</f>
        <v/>
      </c>
      <c r="V11" s="9" t="str" cm="1">
        <f t="array" aca="1" ref="V11" ca="1">_xlfn.IFNA(INDEX(jkm_call_put!$H:$H,MATCH($B11&amp;V$2&amp;$A$1,jkm_call_put!$G:$G&amp;jkm_call_put!$O:$O&amp;jkm_call_put!$F:$F,0),1),"")</f>
        <v/>
      </c>
      <c r="W11" s="9" t="str" cm="1">
        <f t="array" aca="1" ref="W11" ca="1">_xlfn.IFNA(INDEX(jkm_call_put!$H:$H,MATCH($B11&amp;W$2&amp;$A$1,jkm_call_put!$G:$G&amp;jkm_call_put!$O:$O&amp;jkm_call_put!$F:$F,0),1),"")</f>
        <v/>
      </c>
      <c r="X11" s="9" t="str" cm="1">
        <f t="array" aca="1" ref="X11" ca="1">_xlfn.IFNA(INDEX(jkm_call_put!$H:$H,MATCH($B11&amp;X$2&amp;$A$1,jkm_call_put!$G:$G&amp;jkm_call_put!$O:$O&amp;jkm_call_put!$F:$F,0),1),"")</f>
        <v/>
      </c>
      <c r="Y11" s="9" t="str" cm="1">
        <f t="array" aca="1" ref="Y11" ca="1">_xlfn.IFNA(INDEX(jkm_call_put!$H:$H,MATCH($B11&amp;Y$2&amp;$A$1,jkm_call_put!$G:$G&amp;jkm_call_put!$O:$O&amp;jkm_call_put!$F:$F,0),1),"")</f>
        <v/>
      </c>
      <c r="Z11" s="9" t="str" cm="1">
        <f t="array" aca="1" ref="Z11" ca="1">_xlfn.IFNA(INDEX(jkm_call_put!$H:$H,MATCH($B11&amp;Z$2&amp;$A$1,jkm_call_put!$G:$G&amp;jkm_call_put!$O:$O&amp;jkm_call_put!$F:$F,0),1),"")</f>
        <v/>
      </c>
      <c r="AA11" s="9" t="str" cm="1">
        <f t="array" aca="1" ref="AA11" ca="1">_xlfn.IFNA(INDEX(jkm_call_put!$H:$H,MATCH($B11&amp;AA$2&amp;$A$1,jkm_call_put!$G:$G&amp;jkm_call_put!$O:$O&amp;jkm_call_put!$F:$F,0),1),"")</f>
        <v/>
      </c>
      <c r="AB11" s="9" t="str" cm="1">
        <f t="array" aca="1" ref="AB11" ca="1">_xlfn.IFNA(INDEX(jkm_call_put!$H:$H,MATCH($B11&amp;AB$2&amp;$A$1,jkm_call_put!$G:$G&amp;jkm_call_put!$O:$O&amp;jkm_call_put!$F:$F,0),1),"")</f>
        <v/>
      </c>
      <c r="AC11" s="9" t="str" cm="1">
        <f t="array" aca="1" ref="AC11" ca="1">_xlfn.IFNA(INDEX(jkm_call_put!$H:$H,MATCH($B11&amp;AC$2&amp;$A$1,jkm_call_put!$G:$G&amp;jkm_call_put!$O:$O&amp;jkm_call_put!$F:$F,0),1),"")</f>
        <v/>
      </c>
      <c r="AD11" s="9" t="str" cm="1">
        <f t="array" aca="1" ref="AD11" ca="1">_xlfn.IFNA(INDEX(jkm_call_put!$H:$H,MATCH($B11&amp;AD$2&amp;$A$1,jkm_call_put!$G:$G&amp;jkm_call_put!$O:$O&amp;jkm_call_put!$F:$F,0),1),"")</f>
        <v/>
      </c>
      <c r="AE11" s="9" t="str" cm="1">
        <f t="array" aca="1" ref="AE11" ca="1">_xlfn.IFNA(INDEX(jkm_call_put!$H:$H,MATCH($B11&amp;AE$2&amp;$A$1,jkm_call_put!$G:$G&amp;jkm_call_put!$O:$O&amp;jkm_call_put!$F:$F,0),1),"")</f>
        <v/>
      </c>
      <c r="AF11" s="9" t="str" cm="1">
        <f t="array" aca="1" ref="AF11" ca="1">_xlfn.IFNA(INDEX(jkm_call_put!$H:$H,MATCH($B11&amp;AF$2&amp;$A$1,jkm_call_put!$G:$G&amp;jkm_call_put!$O:$O&amp;jkm_call_put!$F:$F,0),1),"")</f>
        <v/>
      </c>
      <c r="AG11" s="9" t="str" cm="1">
        <f t="array" aca="1" ref="AG11" ca="1">_xlfn.IFNA(INDEX(jkm_call_put!$H:$H,MATCH($B11&amp;AG$2&amp;$A$1,jkm_call_put!$G:$G&amp;jkm_call_put!$O:$O&amp;jkm_call_put!$F:$F,0),1),"")</f>
        <v/>
      </c>
      <c r="AH11" s="9" t="str" cm="1">
        <f t="array" aca="1" ref="AH11" ca="1">_xlfn.IFNA(INDEX(jkm_call_put!$H:$H,MATCH($B11&amp;AH$2&amp;$A$1,jkm_call_put!$G:$G&amp;jkm_call_put!$O:$O&amp;jkm_call_put!$F:$F,0),1),"")</f>
        <v/>
      </c>
      <c r="AI11" s="9" t="str" cm="1">
        <f t="array" aca="1" ref="AI11" ca="1">_xlfn.IFNA(INDEX(jkm_call_put!$H:$H,MATCH($B11&amp;AI$2&amp;$A$1,jkm_call_put!$G:$G&amp;jkm_call_put!$O:$O&amp;jkm_call_put!$F:$F,0),1),"")</f>
        <v/>
      </c>
      <c r="AJ11" s="9" t="str" cm="1">
        <f t="array" aca="1" ref="AJ11" ca="1">_xlfn.IFNA(INDEX(jkm_call_put!$H:$H,MATCH($B11&amp;AJ$2&amp;$A$1,jkm_call_put!$G:$G&amp;jkm_call_put!$O:$O&amp;jkm_call_put!$F:$F,0),1),"")</f>
        <v/>
      </c>
      <c r="AK11" s="9" t="str" cm="1">
        <f t="array" aca="1" ref="AK11" ca="1">_xlfn.IFNA(INDEX(jkm_call_put!$H:$H,MATCH($B11&amp;AK$2&amp;$A$1,jkm_call_put!$G:$G&amp;jkm_call_put!$O:$O&amp;jkm_call_put!$F:$F,0),1),"")</f>
        <v/>
      </c>
      <c r="AL11" s="9" t="str" cm="1">
        <f t="array" aca="1" ref="AL11" ca="1">_xlfn.IFNA(INDEX(jkm_call_put!$H:$H,MATCH($B11&amp;AL$2&amp;$A$1,jkm_call_put!$G:$G&amp;jkm_call_put!$O:$O&amp;jkm_call_put!$F:$F,0),1),"")</f>
        <v/>
      </c>
    </row>
    <row r="12" spans="1:39" ht="15" customHeight="1" x14ac:dyDescent="0.25">
      <c r="A12" s="11"/>
      <c r="B12" s="6">
        <v>9.8000000000000007</v>
      </c>
      <c r="C12" s="9" t="str" cm="1">
        <f t="array" aca="1" ref="C12" ca="1">_xlfn.IFNA(INDEX(jkm_call_put!$H:$H,MATCH($B12&amp;C$2&amp;$A$1,jkm_call_put!$G:$G&amp;jkm_call_put!$O:$O&amp;jkm_call_put!$F:$F,0),1),"")</f>
        <v/>
      </c>
      <c r="D12" s="9" t="str" cm="1">
        <f t="array" aca="1" ref="D12" ca="1">_xlfn.IFNA(INDEX(jkm_call_put!$H:$H,MATCH($B12&amp;D$2&amp;$A$1,jkm_call_put!$G:$G&amp;jkm_call_put!$O:$O&amp;jkm_call_put!$F:$F,0),1),"")</f>
        <v/>
      </c>
      <c r="E12" s="9" t="str" cm="1">
        <f t="array" aca="1" ref="E12" ca="1">_xlfn.IFNA(INDEX(jkm_call_put!$H:$H,MATCH($B12&amp;E$2&amp;$A$1,jkm_call_put!$G:$G&amp;jkm_call_put!$O:$O&amp;jkm_call_put!$F:$F,0),1),"")</f>
        <v/>
      </c>
      <c r="F12" s="9" t="str" cm="1">
        <f t="array" aca="1" ref="F12" ca="1">_xlfn.IFNA(INDEX(jkm_call_put!$H:$H,MATCH($B12&amp;F$2&amp;$A$1,jkm_call_put!$G:$G&amp;jkm_call_put!$O:$O&amp;jkm_call_put!$F:$F,0),1),"")</f>
        <v/>
      </c>
      <c r="G12" s="9" cm="1">
        <f t="array" aca="1" ref="G12" ca="1">_xlfn.IFNA(INDEX(jkm_call_put!$H:$H,MATCH($B12&amp;G$2&amp;$A$1,jkm_call_put!$G:$G&amp;jkm_call_put!$O:$O&amp;jkm_call_put!$F:$F,0),1),"")</f>
        <v>0.38800000000000001</v>
      </c>
      <c r="H12" s="9" t="str" cm="1">
        <f t="array" aca="1" ref="H12" ca="1">_xlfn.IFNA(INDEX(jkm_call_put!$H:$H,MATCH($B12&amp;H$2&amp;$A$1,jkm_call_put!$G:$G&amp;jkm_call_put!$O:$O&amp;jkm_call_put!$F:$F,0),1),"")</f>
        <v/>
      </c>
      <c r="I12" s="9" t="str" cm="1">
        <f t="array" aca="1" ref="I12" ca="1">_xlfn.IFNA(INDEX(jkm_call_put!$H:$H,MATCH($B12&amp;I$2&amp;$A$1,jkm_call_put!$G:$G&amp;jkm_call_put!$O:$O&amp;jkm_call_put!$F:$F,0),1),"")</f>
        <v/>
      </c>
      <c r="J12" s="9" t="str" cm="1">
        <f t="array" aca="1" ref="J12" ca="1">_xlfn.IFNA(INDEX(jkm_call_put!$H:$H,MATCH($B12&amp;J$2&amp;$A$1,jkm_call_put!$G:$G&amp;jkm_call_put!$O:$O&amp;jkm_call_put!$F:$F,0),1),"")</f>
        <v/>
      </c>
      <c r="K12" s="9" t="str" cm="1">
        <f t="array" aca="1" ref="K12" ca="1">_xlfn.IFNA(INDEX(jkm_call_put!$H:$H,MATCH($B12&amp;K$2&amp;$A$1,jkm_call_put!$G:$G&amp;jkm_call_put!$O:$O&amp;jkm_call_put!$F:$F,0),1),"")</f>
        <v/>
      </c>
      <c r="L12" s="9" t="str" cm="1">
        <f t="array" aca="1" ref="L12" ca="1">_xlfn.IFNA(INDEX(jkm_call_put!$H:$H,MATCH($B12&amp;L$2&amp;$A$1,jkm_call_put!$G:$G&amp;jkm_call_put!$O:$O&amp;jkm_call_put!$F:$F,0),1),"")</f>
        <v/>
      </c>
      <c r="M12" s="9" t="str" cm="1">
        <f t="array" aca="1" ref="M12" ca="1">_xlfn.IFNA(INDEX(jkm_call_put!$H:$H,MATCH($B12&amp;M$2&amp;$A$1,jkm_call_put!$G:$G&amp;jkm_call_put!$O:$O&amp;jkm_call_put!$F:$F,0),1),"")</f>
        <v/>
      </c>
      <c r="N12" s="9" t="str" cm="1">
        <f t="array" aca="1" ref="N12" ca="1">_xlfn.IFNA(INDEX(jkm_call_put!$H:$H,MATCH($B12&amp;N$2&amp;$A$1,jkm_call_put!$G:$G&amp;jkm_call_put!$O:$O&amp;jkm_call_put!$F:$F,0),1),"")</f>
        <v/>
      </c>
      <c r="O12" s="9" t="str" cm="1">
        <f t="array" aca="1" ref="O12" ca="1">_xlfn.IFNA(INDEX(jkm_call_put!$H:$H,MATCH($B12&amp;O$2&amp;$A$1,jkm_call_put!$G:$G&amp;jkm_call_put!$O:$O&amp;jkm_call_put!$F:$F,0),1),"")</f>
        <v/>
      </c>
      <c r="P12" s="9" t="str" cm="1">
        <f t="array" aca="1" ref="P12" ca="1">_xlfn.IFNA(INDEX(jkm_call_put!$H:$H,MATCH($B12&amp;P$2&amp;$A$1,jkm_call_put!$G:$G&amp;jkm_call_put!$O:$O&amp;jkm_call_put!$F:$F,0),1),"")</f>
        <v/>
      </c>
      <c r="Q12" s="9" t="str" cm="1">
        <f t="array" aca="1" ref="Q12" ca="1">_xlfn.IFNA(INDEX(jkm_call_put!$H:$H,MATCH($B12&amp;Q$2&amp;$A$1,jkm_call_put!$G:$G&amp;jkm_call_put!$O:$O&amp;jkm_call_put!$F:$F,0),1),"")</f>
        <v/>
      </c>
      <c r="R12" s="9" t="str" cm="1">
        <f t="array" aca="1" ref="R12" ca="1">_xlfn.IFNA(INDEX(jkm_call_put!$H:$H,MATCH($B12&amp;R$2&amp;$A$1,jkm_call_put!$G:$G&amp;jkm_call_put!$O:$O&amp;jkm_call_put!$F:$F,0),1),"")</f>
        <v/>
      </c>
      <c r="S12" s="9" t="str" cm="1">
        <f t="array" aca="1" ref="S12" ca="1">_xlfn.IFNA(INDEX(jkm_call_put!$H:$H,MATCH($B12&amp;S$2&amp;$A$1,jkm_call_put!$G:$G&amp;jkm_call_put!$O:$O&amp;jkm_call_put!$F:$F,0),1),"")</f>
        <v/>
      </c>
      <c r="T12" s="9" t="str" cm="1">
        <f t="array" aca="1" ref="T12" ca="1">_xlfn.IFNA(INDEX(jkm_call_put!$H:$H,MATCH($B12&amp;T$2&amp;$A$1,jkm_call_put!$G:$G&amp;jkm_call_put!$O:$O&amp;jkm_call_put!$F:$F,0),1),"")</f>
        <v/>
      </c>
      <c r="U12" s="9" t="str" cm="1">
        <f t="array" aca="1" ref="U12" ca="1">_xlfn.IFNA(INDEX(jkm_call_put!$H:$H,MATCH($B12&amp;U$2&amp;$A$1,jkm_call_put!$G:$G&amp;jkm_call_put!$O:$O&amp;jkm_call_put!$F:$F,0),1),"")</f>
        <v/>
      </c>
      <c r="V12" s="9" t="str" cm="1">
        <f t="array" aca="1" ref="V12" ca="1">_xlfn.IFNA(INDEX(jkm_call_put!$H:$H,MATCH($B12&amp;V$2&amp;$A$1,jkm_call_put!$G:$G&amp;jkm_call_put!$O:$O&amp;jkm_call_put!$F:$F,0),1),"")</f>
        <v/>
      </c>
      <c r="W12" s="9" t="str" cm="1">
        <f t="array" aca="1" ref="W12" ca="1">_xlfn.IFNA(INDEX(jkm_call_put!$H:$H,MATCH($B12&amp;W$2&amp;$A$1,jkm_call_put!$G:$G&amp;jkm_call_put!$O:$O&amp;jkm_call_put!$F:$F,0),1),"")</f>
        <v/>
      </c>
      <c r="X12" s="9" t="str" cm="1">
        <f t="array" aca="1" ref="X12" ca="1">_xlfn.IFNA(INDEX(jkm_call_put!$H:$H,MATCH($B12&amp;X$2&amp;$A$1,jkm_call_put!$G:$G&amp;jkm_call_put!$O:$O&amp;jkm_call_put!$F:$F,0),1),"")</f>
        <v/>
      </c>
      <c r="Y12" s="9" t="str" cm="1">
        <f t="array" aca="1" ref="Y12" ca="1">_xlfn.IFNA(INDEX(jkm_call_put!$H:$H,MATCH($B12&amp;Y$2&amp;$A$1,jkm_call_put!$G:$G&amp;jkm_call_put!$O:$O&amp;jkm_call_put!$F:$F,0),1),"")</f>
        <v/>
      </c>
      <c r="Z12" s="9" t="str" cm="1">
        <f t="array" aca="1" ref="Z12" ca="1">_xlfn.IFNA(INDEX(jkm_call_put!$H:$H,MATCH($B12&amp;Z$2&amp;$A$1,jkm_call_put!$G:$G&amp;jkm_call_put!$O:$O&amp;jkm_call_put!$F:$F,0),1),"")</f>
        <v/>
      </c>
      <c r="AA12" s="9" t="str" cm="1">
        <f t="array" aca="1" ref="AA12" ca="1">_xlfn.IFNA(INDEX(jkm_call_put!$H:$H,MATCH($B12&amp;AA$2&amp;$A$1,jkm_call_put!$G:$G&amp;jkm_call_put!$O:$O&amp;jkm_call_put!$F:$F,0),1),"")</f>
        <v/>
      </c>
      <c r="AB12" s="9" t="str" cm="1">
        <f t="array" aca="1" ref="AB12" ca="1">_xlfn.IFNA(INDEX(jkm_call_put!$H:$H,MATCH($B12&amp;AB$2&amp;$A$1,jkm_call_put!$G:$G&amp;jkm_call_put!$O:$O&amp;jkm_call_put!$F:$F,0),1),"")</f>
        <v/>
      </c>
      <c r="AC12" s="9" t="str" cm="1">
        <f t="array" aca="1" ref="AC12" ca="1">_xlfn.IFNA(INDEX(jkm_call_put!$H:$H,MATCH($B12&amp;AC$2&amp;$A$1,jkm_call_put!$G:$G&amp;jkm_call_put!$O:$O&amp;jkm_call_put!$F:$F,0),1),"")</f>
        <v/>
      </c>
      <c r="AD12" s="9" t="str" cm="1">
        <f t="array" aca="1" ref="AD12" ca="1">_xlfn.IFNA(INDEX(jkm_call_put!$H:$H,MATCH($B12&amp;AD$2&amp;$A$1,jkm_call_put!$G:$G&amp;jkm_call_put!$O:$O&amp;jkm_call_put!$F:$F,0),1),"")</f>
        <v/>
      </c>
      <c r="AE12" s="9" t="str" cm="1">
        <f t="array" aca="1" ref="AE12" ca="1">_xlfn.IFNA(INDEX(jkm_call_put!$H:$H,MATCH($B12&amp;AE$2&amp;$A$1,jkm_call_put!$G:$G&amp;jkm_call_put!$O:$O&amp;jkm_call_put!$F:$F,0),1),"")</f>
        <v/>
      </c>
      <c r="AF12" s="9" t="str" cm="1">
        <f t="array" aca="1" ref="AF12" ca="1">_xlfn.IFNA(INDEX(jkm_call_put!$H:$H,MATCH($B12&amp;AF$2&amp;$A$1,jkm_call_put!$G:$G&amp;jkm_call_put!$O:$O&amp;jkm_call_put!$F:$F,0),1),"")</f>
        <v/>
      </c>
      <c r="AG12" s="9" t="str" cm="1">
        <f t="array" aca="1" ref="AG12" ca="1">_xlfn.IFNA(INDEX(jkm_call_put!$H:$H,MATCH($B12&amp;AG$2&amp;$A$1,jkm_call_put!$G:$G&amp;jkm_call_put!$O:$O&amp;jkm_call_put!$F:$F,0),1),"")</f>
        <v/>
      </c>
      <c r="AH12" s="9" t="str" cm="1">
        <f t="array" aca="1" ref="AH12" ca="1">_xlfn.IFNA(INDEX(jkm_call_put!$H:$H,MATCH($B12&amp;AH$2&amp;$A$1,jkm_call_put!$G:$G&amp;jkm_call_put!$O:$O&amp;jkm_call_put!$F:$F,0),1),"")</f>
        <v/>
      </c>
      <c r="AI12" s="9" t="str" cm="1">
        <f t="array" aca="1" ref="AI12" ca="1">_xlfn.IFNA(INDEX(jkm_call_put!$H:$H,MATCH($B12&amp;AI$2&amp;$A$1,jkm_call_put!$G:$G&amp;jkm_call_put!$O:$O&amp;jkm_call_put!$F:$F,0),1),"")</f>
        <v/>
      </c>
      <c r="AJ12" s="9" t="str" cm="1">
        <f t="array" aca="1" ref="AJ12" ca="1">_xlfn.IFNA(INDEX(jkm_call_put!$H:$H,MATCH($B12&amp;AJ$2&amp;$A$1,jkm_call_put!$G:$G&amp;jkm_call_put!$O:$O&amp;jkm_call_put!$F:$F,0),1),"")</f>
        <v/>
      </c>
      <c r="AK12" s="9" t="str" cm="1">
        <f t="array" aca="1" ref="AK12" ca="1">_xlfn.IFNA(INDEX(jkm_call_put!$H:$H,MATCH($B12&amp;AK$2&amp;$A$1,jkm_call_put!$G:$G&amp;jkm_call_put!$O:$O&amp;jkm_call_put!$F:$F,0),1),"")</f>
        <v/>
      </c>
      <c r="AL12" s="9" t="str" cm="1">
        <f t="array" aca="1" ref="AL12" ca="1">_xlfn.IFNA(INDEX(jkm_call_put!$H:$H,MATCH($B12&amp;AL$2&amp;$A$1,jkm_call_put!$G:$G&amp;jkm_call_put!$O:$O&amp;jkm_call_put!$F:$F,0),1),"")</f>
        <v/>
      </c>
    </row>
    <row r="13" spans="1:39" ht="15" customHeight="1" x14ac:dyDescent="0.25">
      <c r="A13" s="11"/>
      <c r="B13" s="6">
        <v>10</v>
      </c>
      <c r="C13" s="9" cm="1">
        <f t="array" aca="1" ref="C13" ca="1">_xlfn.IFNA(INDEX(jkm_call_put!$H:$H,MATCH($B13&amp;C$2&amp;$A$1,jkm_call_put!$G:$G&amp;jkm_call_put!$O:$O&amp;jkm_call_put!$F:$F,0),1),"")</f>
        <v>1E-3</v>
      </c>
      <c r="D13" s="9" cm="1">
        <f t="array" aca="1" ref="D13" ca="1">_xlfn.IFNA(INDEX(jkm_call_put!$H:$H,MATCH($B13&amp;D$2&amp;$A$1,jkm_call_put!$G:$G&amp;jkm_call_put!$O:$O&amp;jkm_call_put!$F:$F,0),1),"")</f>
        <v>1E-3</v>
      </c>
      <c r="E13" s="9" cm="1">
        <f t="array" aca="1" ref="E13" ca="1">_xlfn.IFNA(INDEX(jkm_call_put!$H:$H,MATCH($B13&amp;E$2&amp;$A$1,jkm_call_put!$G:$G&amp;jkm_call_put!$O:$O&amp;jkm_call_put!$F:$F,0),1),"")</f>
        <v>0.104</v>
      </c>
      <c r="F13" s="9" cm="1">
        <f t="array" aca="1" ref="F13" ca="1">_xlfn.IFNA(INDEX(jkm_call_put!$H:$H,MATCH($B13&amp;F$2&amp;$A$1,jkm_call_put!$G:$G&amp;jkm_call_put!$O:$O&amp;jkm_call_put!$F:$F,0),1),"")</f>
        <v>0.25</v>
      </c>
      <c r="G13" s="9" cm="1">
        <f t="array" aca="1" ref="G13" ca="1">_xlfn.IFNA(INDEX(jkm_call_put!$H:$H,MATCH($B13&amp;G$2&amp;$A$1,jkm_call_put!$G:$G&amp;jkm_call_put!$O:$O&amp;jkm_call_put!$F:$F,0),1),"")</f>
        <v>0.42399999999999999</v>
      </c>
      <c r="H13" s="9" cm="1">
        <f t="array" aca="1" ref="H13" ca="1">_xlfn.IFNA(INDEX(jkm_call_put!$H:$H,MATCH($B13&amp;H$2&amp;$A$1,jkm_call_put!$G:$G&amp;jkm_call_put!$O:$O&amp;jkm_call_put!$F:$F,0),1),"")</f>
        <v>0.28399999999999997</v>
      </c>
      <c r="I13" s="9" cm="1">
        <f t="array" aca="1" ref="I13" ca="1">_xlfn.IFNA(INDEX(jkm_call_put!$H:$H,MATCH($B13&amp;I$2&amp;$A$1,jkm_call_put!$G:$G&amp;jkm_call_put!$O:$O&amp;jkm_call_put!$F:$F,0),1),"")</f>
        <v>0.38700000000000001</v>
      </c>
      <c r="J13" s="9" cm="1">
        <f t="array" aca="1" ref="J13" ca="1">_xlfn.IFNA(INDEX(jkm_call_put!$H:$H,MATCH($B13&amp;J$2&amp;$A$1,jkm_call_put!$G:$G&amp;jkm_call_put!$O:$O&amp;jkm_call_put!$F:$F,0),1),"")</f>
        <v>0.47199999999999998</v>
      </c>
      <c r="K13" s="9" cm="1">
        <f t="array" aca="1" ref="K13" ca="1">_xlfn.IFNA(INDEX(jkm_call_put!$H:$H,MATCH($B13&amp;K$2&amp;$A$1,jkm_call_put!$G:$G&amp;jkm_call_put!$O:$O&amp;jkm_call_put!$F:$F,0),1),"")</f>
        <v>0.58099999999999996</v>
      </c>
      <c r="L13" s="9" cm="1">
        <f t="array" aca="1" ref="L13" ca="1">_xlfn.IFNA(INDEX(jkm_call_put!$H:$H,MATCH($B13&amp;L$2&amp;$A$1,jkm_call_put!$G:$G&amp;jkm_call_put!$O:$O&amp;jkm_call_put!$F:$F,0),1),"")</f>
        <v>0.71899999999999997</v>
      </c>
      <c r="M13" s="9" cm="1">
        <f t="array" aca="1" ref="M13" ca="1">_xlfn.IFNA(INDEX(jkm_call_put!$H:$H,MATCH($B13&amp;M$2&amp;$A$1,jkm_call_put!$G:$G&amp;jkm_call_put!$O:$O&amp;jkm_call_put!$F:$F,0),1),"")</f>
        <v>1</v>
      </c>
      <c r="N13" s="9" cm="1">
        <f t="array" aca="1" ref="N13" ca="1">_xlfn.IFNA(INDEX(jkm_call_put!$H:$H,MATCH($B13&amp;N$2&amp;$A$1,jkm_call_put!$G:$G&amp;jkm_call_put!$O:$O&amp;jkm_call_put!$F:$F,0),1),"")</f>
        <v>0.80600000000000005</v>
      </c>
      <c r="O13" s="9" cm="1">
        <f t="array" aca="1" ref="O13" ca="1">_xlfn.IFNA(INDEX(jkm_call_put!$H:$H,MATCH($B13&amp;O$2&amp;$A$1,jkm_call_put!$G:$G&amp;jkm_call_put!$O:$O&amp;jkm_call_put!$F:$F,0),1),"")</f>
        <v>1.0820000000000001</v>
      </c>
      <c r="P13" s="9" cm="1">
        <f t="array" aca="1" ref="P13" ca="1">_xlfn.IFNA(INDEX(jkm_call_put!$H:$H,MATCH($B13&amp;P$2&amp;$A$1,jkm_call_put!$G:$G&amp;jkm_call_put!$O:$O&amp;jkm_call_put!$F:$F,0),1),"")</f>
        <v>1.2410000000000001</v>
      </c>
      <c r="Q13" s="9" cm="1">
        <f t="array" aca="1" ref="Q13" ca="1">_xlfn.IFNA(INDEX(jkm_call_put!$H:$H,MATCH($B13&amp;Q$2&amp;$A$1,jkm_call_put!$G:$G&amp;jkm_call_put!$O:$O&amp;jkm_call_put!$F:$F,0),1),"")</f>
        <v>1.319</v>
      </c>
      <c r="R13" s="9" cm="1">
        <f t="array" aca="1" ref="R13" ca="1">_xlfn.IFNA(INDEX(jkm_call_put!$H:$H,MATCH($B13&amp;R$2&amp;$A$1,jkm_call_put!$G:$G&amp;jkm_call_put!$O:$O&amp;jkm_call_put!$F:$F,0),1),"")</f>
        <v>1.3460000000000001</v>
      </c>
      <c r="S13" s="9" cm="1">
        <f t="array" aca="1" ref="S13" ca="1">_xlfn.IFNA(INDEX(jkm_call_put!$H:$H,MATCH($B13&amp;S$2&amp;$A$1,jkm_call_put!$G:$G&amp;jkm_call_put!$O:$O&amp;jkm_call_put!$F:$F,0),1),"")</f>
        <v>1.474</v>
      </c>
      <c r="T13" s="9" cm="1">
        <f t="array" aca="1" ref="T13" ca="1">_xlfn.IFNA(INDEX(jkm_call_put!$H:$H,MATCH($B13&amp;T$2&amp;$A$1,jkm_call_put!$G:$G&amp;jkm_call_put!$O:$O&amp;jkm_call_put!$F:$F,0),1),"")</f>
        <v>0.96199999999999997</v>
      </c>
      <c r="U13" s="9" cm="1">
        <f t="array" aca="1" ref="U13" ca="1">_xlfn.IFNA(INDEX(jkm_call_put!$H:$H,MATCH($B13&amp;U$2&amp;$A$1,jkm_call_put!$G:$G&amp;jkm_call_put!$O:$O&amp;jkm_call_put!$F:$F,0),1),"")</f>
        <v>0.97599999999999998</v>
      </c>
      <c r="V13" s="9" cm="1">
        <f t="array" aca="1" ref="V13" ca="1">_xlfn.IFNA(INDEX(jkm_call_put!$H:$H,MATCH($B13&amp;V$2&amp;$A$1,jkm_call_put!$G:$G&amp;jkm_call_put!$O:$O&amp;jkm_call_put!$F:$F,0),1),"")</f>
        <v>0.93700000000000006</v>
      </c>
      <c r="W13" s="9" cm="1">
        <f t="array" aca="1" ref="W13" ca="1">_xlfn.IFNA(INDEX(jkm_call_put!$H:$H,MATCH($B13&amp;W$2&amp;$A$1,jkm_call_put!$G:$G&amp;jkm_call_put!$O:$O&amp;jkm_call_put!$F:$F,0),1),"")</f>
        <v>1.0509999999999999</v>
      </c>
      <c r="X13" s="9" cm="1">
        <f t="array" aca="1" ref="X13" ca="1">_xlfn.IFNA(INDEX(jkm_call_put!$H:$H,MATCH($B13&amp;X$2&amp;$A$1,jkm_call_put!$G:$G&amp;jkm_call_put!$O:$O&amp;jkm_call_put!$F:$F,0),1),"")</f>
        <v>1.093</v>
      </c>
      <c r="Y13" s="9" cm="1">
        <f t="array" aca="1" ref="Y13" ca="1">_xlfn.IFNA(INDEX(jkm_call_put!$H:$H,MATCH($B13&amp;Y$2&amp;$A$1,jkm_call_put!$G:$G&amp;jkm_call_put!$O:$O&amp;jkm_call_put!$F:$F,0),1),"")</f>
        <v>1.266</v>
      </c>
      <c r="Z13" s="9" cm="1">
        <f t="array" aca="1" ref="Z13" ca="1">_xlfn.IFNA(INDEX(jkm_call_put!$H:$H,MATCH($B13&amp;Z$2&amp;$A$1,jkm_call_put!$G:$G&amp;jkm_call_put!$O:$O&amp;jkm_call_put!$F:$F,0),1),"")</f>
        <v>1.9910000000000001</v>
      </c>
      <c r="AA13" s="9" cm="1">
        <f t="array" aca="1" ref="AA13" ca="1">_xlfn.IFNA(INDEX(jkm_call_put!$H:$H,MATCH($B13&amp;AA$2&amp;$A$1,jkm_call_put!$G:$G&amp;jkm_call_put!$O:$O&amp;jkm_call_put!$F:$F,0),1),"")</f>
        <v>2.1589999999999998</v>
      </c>
      <c r="AB13" s="9" cm="1">
        <f t="array" aca="1" ref="AB13" ca="1">_xlfn.IFNA(INDEX(jkm_call_put!$H:$H,MATCH($B13&amp;AB$2&amp;$A$1,jkm_call_put!$G:$G&amp;jkm_call_put!$O:$O&amp;jkm_call_put!$F:$F,0),1),"")</f>
        <v>2.238</v>
      </c>
      <c r="AC13" s="9" cm="1">
        <f t="array" aca="1" ref="AC13" ca="1">_xlfn.IFNA(INDEX(jkm_call_put!$H:$H,MATCH($B13&amp;AC$2&amp;$A$1,jkm_call_put!$G:$G&amp;jkm_call_put!$O:$O&amp;jkm_call_put!$F:$F,0),1),"")</f>
        <v>2.2519999999999998</v>
      </c>
      <c r="AD13" s="9" cm="1">
        <f t="array" aca="1" ref="AD13" ca="1">_xlfn.IFNA(INDEX(jkm_call_put!$H:$H,MATCH($B13&amp;AD$2&amp;$A$1,jkm_call_put!$G:$G&amp;jkm_call_put!$O:$O&amp;jkm_call_put!$F:$F,0),1),"")</f>
        <v>2.2799999999999998</v>
      </c>
      <c r="AE13" s="9" cm="1">
        <f t="array" aca="1" ref="AE13" ca="1">_xlfn.IFNA(INDEX(jkm_call_put!$H:$H,MATCH($B13&amp;AE$2&amp;$A$1,jkm_call_put!$G:$G&amp;jkm_call_put!$O:$O&amp;jkm_call_put!$F:$F,0),1),"")</f>
        <v>2.282</v>
      </c>
      <c r="AF13" s="9" cm="1">
        <f t="array" aca="1" ref="AF13" ca="1">_xlfn.IFNA(INDEX(jkm_call_put!$H:$H,MATCH($B13&amp;AF$2&amp;$A$1,jkm_call_put!$G:$G&amp;jkm_call_put!$O:$O&amp;jkm_call_put!$F:$F,0),1),"")</f>
        <v>2.5649999999999999</v>
      </c>
      <c r="AG13" s="9" cm="1">
        <f t="array" aca="1" ref="AG13" ca="1">_xlfn.IFNA(INDEX(jkm_call_put!$H:$H,MATCH($B13&amp;AG$2&amp;$A$1,jkm_call_put!$G:$G&amp;jkm_call_put!$O:$O&amp;jkm_call_put!$F:$F,0),1),"")</f>
        <v>2.5270000000000001</v>
      </c>
      <c r="AH13" s="9" cm="1">
        <f t="array" aca="1" ref="AH13" ca="1">_xlfn.IFNA(INDEX(jkm_call_put!$H:$H,MATCH($B13&amp;AH$2&amp;$A$1,jkm_call_put!$G:$G&amp;jkm_call_put!$O:$O&amp;jkm_call_put!$F:$F,0),1),"")</f>
        <v>2.5099999999999998</v>
      </c>
      <c r="AI13" s="9" cm="1">
        <f t="array" aca="1" ref="AI13" ca="1">_xlfn.IFNA(INDEX(jkm_call_put!$H:$H,MATCH($B13&amp;AI$2&amp;$A$1,jkm_call_put!$G:$G&amp;jkm_call_put!$O:$O&amp;jkm_call_put!$F:$F,0),1),"")</f>
        <v>2.4969999999999999</v>
      </c>
      <c r="AJ13" s="9" cm="1">
        <f t="array" aca="1" ref="AJ13" ca="1">_xlfn.IFNA(INDEX(jkm_call_put!$H:$H,MATCH($B13&amp;AJ$2&amp;$A$1,jkm_call_put!$G:$G&amp;jkm_call_put!$O:$O&amp;jkm_call_put!$F:$F,0),1),"")</f>
        <v>2.516</v>
      </c>
      <c r="AK13" s="9" cm="1">
        <f t="array" aca="1" ref="AK13" ca="1">_xlfn.IFNA(INDEX(jkm_call_put!$H:$H,MATCH($B13&amp;AK$2&amp;$A$1,jkm_call_put!$G:$G&amp;jkm_call_put!$O:$O&amp;jkm_call_put!$F:$F,0),1),"")</f>
        <v>2.5760000000000001</v>
      </c>
      <c r="AL13" s="9" cm="1">
        <f t="array" aca="1" ref="AL13" ca="1">_xlfn.IFNA(INDEX(jkm_call_put!$H:$H,MATCH($B13&amp;AL$2&amp;$A$1,jkm_call_put!$G:$G&amp;jkm_call_put!$O:$O&amp;jkm_call_put!$F:$F,0),1),"")</f>
        <v>3.0489999999999999</v>
      </c>
    </row>
    <row r="14" spans="1:39" ht="15" customHeight="1" x14ac:dyDescent="0.25">
      <c r="A14" s="11"/>
      <c r="B14" s="6">
        <v>10.5</v>
      </c>
      <c r="C14" s="9" t="str" cm="1">
        <f t="array" aca="1" ref="C14" ca="1">_xlfn.IFNA(INDEX(jkm_call_put!$H:$H,MATCH($B14&amp;C$2&amp;$A$1,jkm_call_put!$G:$G&amp;jkm_call_put!$O:$O&amp;jkm_call_put!$F:$F,0),1),"")</f>
        <v/>
      </c>
      <c r="D14" s="9" t="str" cm="1">
        <f t="array" aca="1" ref="D14" ca="1">_xlfn.IFNA(INDEX(jkm_call_put!$H:$H,MATCH($B14&amp;D$2&amp;$A$1,jkm_call_put!$G:$G&amp;jkm_call_put!$O:$O&amp;jkm_call_put!$F:$F,0),1),"")</f>
        <v/>
      </c>
      <c r="E14" s="9" t="str" cm="1">
        <f t="array" aca="1" ref="E14" ca="1">_xlfn.IFNA(INDEX(jkm_call_put!$H:$H,MATCH($B14&amp;E$2&amp;$A$1,jkm_call_put!$G:$G&amp;jkm_call_put!$O:$O&amp;jkm_call_put!$F:$F,0),1),"")</f>
        <v/>
      </c>
      <c r="F14" s="9" t="str" cm="1">
        <f t="array" aca="1" ref="F14" ca="1">_xlfn.IFNA(INDEX(jkm_call_put!$H:$H,MATCH($B14&amp;F$2&amp;$A$1,jkm_call_put!$G:$G&amp;jkm_call_put!$O:$O&amp;jkm_call_put!$F:$F,0),1),"")</f>
        <v/>
      </c>
      <c r="G14" s="9" t="str" cm="1">
        <f t="array" aca="1" ref="G14" ca="1">_xlfn.IFNA(INDEX(jkm_call_put!$H:$H,MATCH($B14&amp;G$2&amp;$A$1,jkm_call_put!$G:$G&amp;jkm_call_put!$O:$O&amp;jkm_call_put!$F:$F,0),1),"")</f>
        <v/>
      </c>
      <c r="H14" s="9" cm="1">
        <f t="array" aca="1" ref="H14" ca="1">_xlfn.IFNA(INDEX(jkm_call_put!$H:$H,MATCH($B14&amp;H$2&amp;$A$1,jkm_call_put!$G:$G&amp;jkm_call_put!$O:$O&amp;jkm_call_put!$F:$F,0),1),"")</f>
        <v>0.36699999999999999</v>
      </c>
      <c r="I14" s="9" cm="1">
        <f t="array" aca="1" ref="I14" ca="1">_xlfn.IFNA(INDEX(jkm_call_put!$H:$H,MATCH($B14&amp;I$2&amp;$A$1,jkm_call_put!$G:$G&amp;jkm_call_put!$O:$O&amp;jkm_call_put!$F:$F,0),1),"")</f>
        <v>0.48699999999999999</v>
      </c>
      <c r="J14" s="9" cm="1">
        <f t="array" aca="1" ref="J14" ca="1">_xlfn.IFNA(INDEX(jkm_call_put!$H:$H,MATCH($B14&amp;J$2&amp;$A$1,jkm_call_put!$G:$G&amp;jkm_call_put!$O:$O&amp;jkm_call_put!$F:$F,0),1),"")</f>
        <v>0.58199999999999996</v>
      </c>
      <c r="K14" s="9" cm="1">
        <f t="array" aca="1" ref="K14" ca="1">_xlfn.IFNA(INDEX(jkm_call_put!$H:$H,MATCH($B14&amp;K$2&amp;$A$1,jkm_call_put!$G:$G&amp;jkm_call_put!$O:$O&amp;jkm_call_put!$F:$F,0),1),"")</f>
        <v>0.70499999999999996</v>
      </c>
      <c r="L14" s="9" cm="1">
        <f t="array" aca="1" ref="L14" ca="1">_xlfn.IFNA(INDEX(jkm_call_put!$H:$H,MATCH($B14&amp;L$2&amp;$A$1,jkm_call_put!$G:$G&amp;jkm_call_put!$O:$O&amp;jkm_call_put!$F:$F,0),1),"")</f>
        <v>0.86</v>
      </c>
      <c r="M14" s="9" cm="1">
        <f t="array" aca="1" ref="M14" ca="1">_xlfn.IFNA(INDEX(jkm_call_put!$H:$H,MATCH($B14&amp;M$2&amp;$A$1,jkm_call_put!$G:$G&amp;jkm_call_put!$O:$O&amp;jkm_call_put!$F:$F,0),1),"")</f>
        <v>1.175</v>
      </c>
      <c r="N14" s="9" cm="1">
        <f t="array" aca="1" ref="N14" ca="1">_xlfn.IFNA(INDEX(jkm_call_put!$H:$H,MATCH($B14&amp;N$2&amp;$A$1,jkm_call_put!$G:$G&amp;jkm_call_put!$O:$O&amp;jkm_call_put!$F:$F,0),1),"")</f>
        <v>0.97799999999999998</v>
      </c>
      <c r="O14" s="9" cm="1">
        <f t="array" aca="1" ref="O14" ca="1">_xlfn.IFNA(INDEX(jkm_call_put!$H:$H,MATCH($B14&amp;O$2&amp;$A$1,jkm_call_put!$G:$G&amp;jkm_call_put!$O:$O&amp;jkm_call_put!$F:$F,0),1),"")</f>
        <v>1.2889999999999999</v>
      </c>
      <c r="P14" s="9" cm="1">
        <f t="array" aca="1" ref="P14" ca="1">_xlfn.IFNA(INDEX(jkm_call_put!$H:$H,MATCH($B14&amp;P$2&amp;$A$1,jkm_call_put!$G:$G&amp;jkm_call_put!$O:$O&amp;jkm_call_put!$F:$F,0),1),"")</f>
        <v>1.4630000000000001</v>
      </c>
      <c r="Q14" s="9" cm="1">
        <f t="array" aca="1" ref="Q14" ca="1">_xlfn.IFNA(INDEX(jkm_call_put!$H:$H,MATCH($B14&amp;Q$2&amp;$A$1,jkm_call_put!$G:$G&amp;jkm_call_put!$O:$O&amp;jkm_call_put!$F:$F,0),1),"")</f>
        <v>1.5469999999999999</v>
      </c>
      <c r="R14" s="9" cm="1">
        <f t="array" aca="1" ref="R14" ca="1">_xlfn.IFNA(INDEX(jkm_call_put!$H:$H,MATCH($B14&amp;R$2&amp;$A$1,jkm_call_put!$G:$G&amp;jkm_call_put!$O:$O&amp;jkm_call_put!$F:$F,0),1),"")</f>
        <v>1.573</v>
      </c>
      <c r="S14" s="9" cm="1">
        <f t="array" aca="1" ref="S14" ca="1">_xlfn.IFNA(INDEX(jkm_call_put!$H:$H,MATCH($B14&amp;S$2&amp;$A$1,jkm_call_put!$G:$G&amp;jkm_call_put!$O:$O&amp;jkm_call_put!$F:$F,0),1),"")</f>
        <v>1.712</v>
      </c>
      <c r="T14" s="9" t="str" cm="1">
        <f t="array" aca="1" ref="T14" ca="1">_xlfn.IFNA(INDEX(jkm_call_put!$H:$H,MATCH($B14&amp;T$2&amp;$A$1,jkm_call_put!$G:$G&amp;jkm_call_put!$O:$O&amp;jkm_call_put!$F:$F,0),1),"")</f>
        <v/>
      </c>
      <c r="U14" s="9" t="str" cm="1">
        <f t="array" aca="1" ref="U14" ca="1">_xlfn.IFNA(INDEX(jkm_call_put!$H:$H,MATCH($B14&amp;U$2&amp;$A$1,jkm_call_put!$G:$G&amp;jkm_call_put!$O:$O&amp;jkm_call_put!$F:$F,0),1),"")</f>
        <v/>
      </c>
      <c r="V14" s="9" t="str" cm="1">
        <f t="array" aca="1" ref="V14" ca="1">_xlfn.IFNA(INDEX(jkm_call_put!$H:$H,MATCH($B14&amp;V$2&amp;$A$1,jkm_call_put!$G:$G&amp;jkm_call_put!$O:$O&amp;jkm_call_put!$F:$F,0),1),"")</f>
        <v/>
      </c>
      <c r="W14" s="9" t="str" cm="1">
        <f t="array" aca="1" ref="W14" ca="1">_xlfn.IFNA(INDEX(jkm_call_put!$H:$H,MATCH($B14&amp;W$2&amp;$A$1,jkm_call_put!$G:$G&amp;jkm_call_put!$O:$O&amp;jkm_call_put!$F:$F,0),1),"")</f>
        <v/>
      </c>
      <c r="X14" s="9" t="str" cm="1">
        <f t="array" aca="1" ref="X14" ca="1">_xlfn.IFNA(INDEX(jkm_call_put!$H:$H,MATCH($B14&amp;X$2&amp;$A$1,jkm_call_put!$G:$G&amp;jkm_call_put!$O:$O&amp;jkm_call_put!$F:$F,0),1),"")</f>
        <v/>
      </c>
      <c r="Y14" s="9" t="str" cm="1">
        <f t="array" aca="1" ref="Y14" ca="1">_xlfn.IFNA(INDEX(jkm_call_put!$H:$H,MATCH($B14&amp;Y$2&amp;$A$1,jkm_call_put!$G:$G&amp;jkm_call_put!$O:$O&amp;jkm_call_put!$F:$F,0),1),"")</f>
        <v/>
      </c>
      <c r="Z14" s="9" t="str" cm="1">
        <f t="array" aca="1" ref="Z14" ca="1">_xlfn.IFNA(INDEX(jkm_call_put!$H:$H,MATCH($B14&amp;Z$2&amp;$A$1,jkm_call_put!$G:$G&amp;jkm_call_put!$O:$O&amp;jkm_call_put!$F:$F,0),1),"")</f>
        <v/>
      </c>
      <c r="AA14" s="9" t="str" cm="1">
        <f t="array" aca="1" ref="AA14" ca="1">_xlfn.IFNA(INDEX(jkm_call_put!$H:$H,MATCH($B14&amp;AA$2&amp;$A$1,jkm_call_put!$G:$G&amp;jkm_call_put!$O:$O&amp;jkm_call_put!$F:$F,0),1),"")</f>
        <v/>
      </c>
      <c r="AB14" s="9" t="str" cm="1">
        <f t="array" aca="1" ref="AB14" ca="1">_xlfn.IFNA(INDEX(jkm_call_put!$H:$H,MATCH($B14&amp;AB$2&amp;$A$1,jkm_call_put!$G:$G&amp;jkm_call_put!$O:$O&amp;jkm_call_put!$F:$F,0),1),"")</f>
        <v/>
      </c>
      <c r="AC14" s="9" t="str" cm="1">
        <f t="array" aca="1" ref="AC14" ca="1">_xlfn.IFNA(INDEX(jkm_call_put!$H:$H,MATCH($B14&amp;AC$2&amp;$A$1,jkm_call_put!$G:$G&amp;jkm_call_put!$O:$O&amp;jkm_call_put!$F:$F,0),1),"")</f>
        <v/>
      </c>
      <c r="AD14" s="9" t="str" cm="1">
        <f t="array" aca="1" ref="AD14" ca="1">_xlfn.IFNA(INDEX(jkm_call_put!$H:$H,MATCH($B14&amp;AD$2&amp;$A$1,jkm_call_put!$G:$G&amp;jkm_call_put!$O:$O&amp;jkm_call_put!$F:$F,0),1),"")</f>
        <v/>
      </c>
      <c r="AE14" s="9" t="str" cm="1">
        <f t="array" aca="1" ref="AE14" ca="1">_xlfn.IFNA(INDEX(jkm_call_put!$H:$H,MATCH($B14&amp;AE$2&amp;$A$1,jkm_call_put!$G:$G&amp;jkm_call_put!$O:$O&amp;jkm_call_put!$F:$F,0),1),"")</f>
        <v/>
      </c>
      <c r="AF14" s="9" t="str" cm="1">
        <f t="array" aca="1" ref="AF14" ca="1">_xlfn.IFNA(INDEX(jkm_call_put!$H:$H,MATCH($B14&amp;AF$2&amp;$A$1,jkm_call_put!$G:$G&amp;jkm_call_put!$O:$O&amp;jkm_call_put!$F:$F,0),1),"")</f>
        <v/>
      </c>
      <c r="AG14" s="9" t="str" cm="1">
        <f t="array" aca="1" ref="AG14" ca="1">_xlfn.IFNA(INDEX(jkm_call_put!$H:$H,MATCH($B14&amp;AG$2&amp;$A$1,jkm_call_put!$G:$G&amp;jkm_call_put!$O:$O&amp;jkm_call_put!$F:$F,0),1),"")</f>
        <v/>
      </c>
      <c r="AH14" s="9" t="str" cm="1">
        <f t="array" aca="1" ref="AH14" ca="1">_xlfn.IFNA(INDEX(jkm_call_put!$H:$H,MATCH($B14&amp;AH$2&amp;$A$1,jkm_call_put!$G:$G&amp;jkm_call_put!$O:$O&amp;jkm_call_put!$F:$F,0),1),"")</f>
        <v/>
      </c>
      <c r="AI14" s="9" t="str" cm="1">
        <f t="array" aca="1" ref="AI14" ca="1">_xlfn.IFNA(INDEX(jkm_call_put!$H:$H,MATCH($B14&amp;AI$2&amp;$A$1,jkm_call_put!$G:$G&amp;jkm_call_put!$O:$O&amp;jkm_call_put!$F:$F,0),1),"")</f>
        <v/>
      </c>
      <c r="AJ14" s="9" t="str" cm="1">
        <f t="array" aca="1" ref="AJ14" ca="1">_xlfn.IFNA(INDEX(jkm_call_put!$H:$H,MATCH($B14&amp;AJ$2&amp;$A$1,jkm_call_put!$G:$G&amp;jkm_call_put!$O:$O&amp;jkm_call_put!$F:$F,0),1),"")</f>
        <v/>
      </c>
      <c r="AK14" s="9" t="str" cm="1">
        <f t="array" aca="1" ref="AK14" ca="1">_xlfn.IFNA(INDEX(jkm_call_put!$H:$H,MATCH($B14&amp;AK$2&amp;$A$1,jkm_call_put!$G:$G&amp;jkm_call_put!$O:$O&amp;jkm_call_put!$F:$F,0),1),"")</f>
        <v/>
      </c>
      <c r="AL14" s="9" t="str" cm="1">
        <f t="array" aca="1" ref="AL14" ca="1">_xlfn.IFNA(INDEX(jkm_call_put!$H:$H,MATCH($B14&amp;AL$2&amp;$A$1,jkm_call_put!$G:$G&amp;jkm_call_put!$O:$O&amp;jkm_call_put!$F:$F,0),1),"")</f>
        <v/>
      </c>
    </row>
    <row r="15" spans="1:39" ht="15" customHeight="1" x14ac:dyDescent="0.25">
      <c r="A15" s="11"/>
      <c r="B15" s="6">
        <v>11</v>
      </c>
      <c r="C15" s="9" t="str" cm="1">
        <f t="array" aca="1" ref="C15" ca="1">_xlfn.IFNA(INDEX(jkm_call_put!$H:$H,MATCH($B15&amp;C$2&amp;$A$1,jkm_call_put!$G:$G&amp;jkm_call_put!$O:$O&amp;jkm_call_put!$F:$F,0),1),"")</f>
        <v/>
      </c>
      <c r="D15" s="9" t="str" cm="1">
        <f t="array" aca="1" ref="D15" ca="1">_xlfn.IFNA(INDEX(jkm_call_put!$H:$H,MATCH($B15&amp;D$2&amp;$A$1,jkm_call_put!$G:$G&amp;jkm_call_put!$O:$O&amp;jkm_call_put!$F:$F,0),1),"")</f>
        <v/>
      </c>
      <c r="E15" s="9" t="str" cm="1">
        <f t="array" aca="1" ref="E15" ca="1">_xlfn.IFNA(INDEX(jkm_call_put!$H:$H,MATCH($B15&amp;E$2&amp;$A$1,jkm_call_put!$G:$G&amp;jkm_call_put!$O:$O&amp;jkm_call_put!$F:$F,0),1),"")</f>
        <v/>
      </c>
      <c r="F15" s="9" t="str" cm="1">
        <f t="array" aca="1" ref="F15" ca="1">_xlfn.IFNA(INDEX(jkm_call_put!$H:$H,MATCH($B15&amp;F$2&amp;$A$1,jkm_call_put!$G:$G&amp;jkm_call_put!$O:$O&amp;jkm_call_put!$F:$F,0),1),"")</f>
        <v/>
      </c>
      <c r="G15" s="9" t="str" cm="1">
        <f t="array" aca="1" ref="G15" ca="1">_xlfn.IFNA(INDEX(jkm_call_put!$H:$H,MATCH($B15&amp;G$2&amp;$A$1,jkm_call_put!$G:$G&amp;jkm_call_put!$O:$O&amp;jkm_call_put!$F:$F,0),1),"")</f>
        <v/>
      </c>
      <c r="H15" s="9" cm="1">
        <f t="array" aca="1" ref="H15" ca="1">_xlfn.IFNA(INDEX(jkm_call_put!$H:$H,MATCH($B15&amp;H$2&amp;$A$1,jkm_call_put!$G:$G&amp;jkm_call_put!$O:$O&amp;jkm_call_put!$F:$F,0),1),"")</f>
        <v>0.46400000000000002</v>
      </c>
      <c r="I15" s="9" cm="1">
        <f t="array" aca="1" ref="I15" ca="1">_xlfn.IFNA(INDEX(jkm_call_put!$H:$H,MATCH($B15&amp;I$2&amp;$A$1,jkm_call_put!$G:$G&amp;jkm_call_put!$O:$O&amp;jkm_call_put!$F:$F,0),1),"")</f>
        <v>0.6</v>
      </c>
      <c r="J15" s="9" cm="1">
        <f t="array" aca="1" ref="J15" ca="1">_xlfn.IFNA(INDEX(jkm_call_put!$H:$H,MATCH($B15&amp;J$2&amp;$A$1,jkm_call_put!$G:$G&amp;jkm_call_put!$O:$O&amp;jkm_call_put!$F:$F,0),1),"")</f>
        <v>0.70599999999999996</v>
      </c>
      <c r="K15" s="9" cm="1">
        <f t="array" aca="1" ref="K15" ca="1">_xlfn.IFNA(INDEX(jkm_call_put!$H:$H,MATCH($B15&amp;K$2&amp;$A$1,jkm_call_put!$G:$G&amp;jkm_call_put!$O:$O&amp;jkm_call_put!$F:$F,0),1),"")</f>
        <v>0.84399999999999997</v>
      </c>
      <c r="L15" s="9" t="str" cm="1">
        <f t="array" aca="1" ref="L15" ca="1">_xlfn.IFNA(INDEX(jkm_call_put!$H:$H,MATCH($B15&amp;L$2&amp;$A$1,jkm_call_put!$G:$G&amp;jkm_call_put!$O:$O&amp;jkm_call_put!$F:$F,0),1),"")</f>
        <v/>
      </c>
      <c r="M15" s="9" t="str" cm="1">
        <f t="array" aca="1" ref="M15" ca="1">_xlfn.IFNA(INDEX(jkm_call_put!$H:$H,MATCH($B15&amp;M$2&amp;$A$1,jkm_call_put!$G:$G&amp;jkm_call_put!$O:$O&amp;jkm_call_put!$F:$F,0),1),"")</f>
        <v/>
      </c>
      <c r="N15" s="9" cm="1">
        <f t="array" aca="1" ref="N15" ca="1">_xlfn.IFNA(INDEX(jkm_call_put!$H:$H,MATCH($B15&amp;N$2&amp;$A$1,jkm_call_put!$G:$G&amp;jkm_call_put!$O:$O&amp;jkm_call_put!$F:$F,0),1),"")</f>
        <v>1.1679999999999999</v>
      </c>
      <c r="O15" s="9" cm="1">
        <f t="array" aca="1" ref="O15" ca="1">_xlfn.IFNA(INDEX(jkm_call_put!$H:$H,MATCH($B15&amp;O$2&amp;$A$1,jkm_call_put!$G:$G&amp;jkm_call_put!$O:$O&amp;jkm_call_put!$F:$F,0),1),"")</f>
        <v>1.5149999999999999</v>
      </c>
      <c r="P15" s="9" cm="1">
        <f t="array" aca="1" ref="P15" ca="1">_xlfn.IFNA(INDEX(jkm_call_put!$H:$H,MATCH($B15&amp;P$2&amp;$A$1,jkm_call_put!$G:$G&amp;jkm_call_put!$O:$O&amp;jkm_call_put!$F:$F,0),1),"")</f>
        <v>1.704</v>
      </c>
      <c r="Q15" s="9" cm="1">
        <f t="array" aca="1" ref="Q15" ca="1">_xlfn.IFNA(INDEX(jkm_call_put!$H:$H,MATCH($B15&amp;Q$2&amp;$A$1,jkm_call_put!$G:$G&amp;jkm_call_put!$O:$O&amp;jkm_call_put!$F:$F,0),1),"")</f>
        <v>1.7929999999999999</v>
      </c>
      <c r="R15" s="9" cm="1">
        <f t="array" aca="1" ref="R15" ca="1">_xlfn.IFNA(INDEX(jkm_call_put!$H:$H,MATCH($B15&amp;R$2&amp;$A$1,jkm_call_put!$G:$G&amp;jkm_call_put!$O:$O&amp;jkm_call_put!$F:$F,0),1),"")</f>
        <v>1.8169999999999999</v>
      </c>
      <c r="S15" s="9" cm="1">
        <f t="array" aca="1" ref="S15" ca="1">_xlfn.IFNA(INDEX(jkm_call_put!$H:$H,MATCH($B15&amp;S$2&amp;$A$1,jkm_call_put!$G:$G&amp;jkm_call_put!$O:$O&amp;jkm_call_put!$F:$F,0),1),"")</f>
        <v>1.966</v>
      </c>
      <c r="T15" s="9" t="str" cm="1">
        <f t="array" aca="1" ref="T15" ca="1">_xlfn.IFNA(INDEX(jkm_call_put!$H:$H,MATCH($B15&amp;T$2&amp;$A$1,jkm_call_put!$G:$G&amp;jkm_call_put!$O:$O&amp;jkm_call_put!$F:$F,0),1),"")</f>
        <v/>
      </c>
      <c r="U15" s="9" t="str" cm="1">
        <f t="array" aca="1" ref="U15" ca="1">_xlfn.IFNA(INDEX(jkm_call_put!$H:$H,MATCH($B15&amp;U$2&amp;$A$1,jkm_call_put!$G:$G&amp;jkm_call_put!$O:$O&amp;jkm_call_put!$F:$F,0),1),"")</f>
        <v/>
      </c>
      <c r="V15" s="9" t="str" cm="1">
        <f t="array" aca="1" ref="V15" ca="1">_xlfn.IFNA(INDEX(jkm_call_put!$H:$H,MATCH($B15&amp;V$2&amp;$A$1,jkm_call_put!$G:$G&amp;jkm_call_put!$O:$O&amp;jkm_call_put!$F:$F,0),1),"")</f>
        <v/>
      </c>
      <c r="W15" s="9" t="str" cm="1">
        <f t="array" aca="1" ref="W15" ca="1">_xlfn.IFNA(INDEX(jkm_call_put!$H:$H,MATCH($B15&amp;W$2&amp;$A$1,jkm_call_put!$G:$G&amp;jkm_call_put!$O:$O&amp;jkm_call_put!$F:$F,0),1),"")</f>
        <v/>
      </c>
      <c r="X15" s="9" t="str" cm="1">
        <f t="array" aca="1" ref="X15" ca="1">_xlfn.IFNA(INDEX(jkm_call_put!$H:$H,MATCH($B15&amp;X$2&amp;$A$1,jkm_call_put!$G:$G&amp;jkm_call_put!$O:$O&amp;jkm_call_put!$F:$F,0),1),"")</f>
        <v/>
      </c>
      <c r="Y15" s="9" t="str" cm="1">
        <f t="array" aca="1" ref="Y15" ca="1">_xlfn.IFNA(INDEX(jkm_call_put!$H:$H,MATCH($B15&amp;Y$2&amp;$A$1,jkm_call_put!$G:$G&amp;jkm_call_put!$O:$O&amp;jkm_call_put!$F:$F,0),1),"")</f>
        <v/>
      </c>
      <c r="Z15" s="9" t="str" cm="1">
        <f t="array" aca="1" ref="Z15" ca="1">_xlfn.IFNA(INDEX(jkm_call_put!$H:$H,MATCH($B15&amp;Z$2&amp;$A$1,jkm_call_put!$G:$G&amp;jkm_call_put!$O:$O&amp;jkm_call_put!$F:$F,0),1),"")</f>
        <v/>
      </c>
      <c r="AA15" s="9" t="str" cm="1">
        <f t="array" aca="1" ref="AA15" ca="1">_xlfn.IFNA(INDEX(jkm_call_put!$H:$H,MATCH($B15&amp;AA$2&amp;$A$1,jkm_call_put!$G:$G&amp;jkm_call_put!$O:$O&amp;jkm_call_put!$F:$F,0),1),"")</f>
        <v/>
      </c>
      <c r="AB15" s="9" t="str" cm="1">
        <f t="array" aca="1" ref="AB15" ca="1">_xlfn.IFNA(INDEX(jkm_call_put!$H:$H,MATCH($B15&amp;AB$2&amp;$A$1,jkm_call_put!$G:$G&amp;jkm_call_put!$O:$O&amp;jkm_call_put!$F:$F,0),1),"")</f>
        <v/>
      </c>
      <c r="AC15" s="9" t="str" cm="1">
        <f t="array" aca="1" ref="AC15" ca="1">_xlfn.IFNA(INDEX(jkm_call_put!$H:$H,MATCH($B15&amp;AC$2&amp;$A$1,jkm_call_put!$G:$G&amp;jkm_call_put!$O:$O&amp;jkm_call_put!$F:$F,0),1),"")</f>
        <v/>
      </c>
      <c r="AD15" s="9" t="str" cm="1">
        <f t="array" aca="1" ref="AD15" ca="1">_xlfn.IFNA(INDEX(jkm_call_put!$H:$H,MATCH($B15&amp;AD$2&amp;$A$1,jkm_call_put!$G:$G&amp;jkm_call_put!$O:$O&amp;jkm_call_put!$F:$F,0),1),"")</f>
        <v/>
      </c>
      <c r="AE15" s="9" t="str" cm="1">
        <f t="array" aca="1" ref="AE15" ca="1">_xlfn.IFNA(INDEX(jkm_call_put!$H:$H,MATCH($B15&amp;AE$2&amp;$A$1,jkm_call_put!$G:$G&amp;jkm_call_put!$O:$O&amp;jkm_call_put!$F:$F,0),1),"")</f>
        <v/>
      </c>
      <c r="AF15" s="9" t="str" cm="1">
        <f t="array" aca="1" ref="AF15" ca="1">_xlfn.IFNA(INDEX(jkm_call_put!$H:$H,MATCH($B15&amp;AF$2&amp;$A$1,jkm_call_put!$G:$G&amp;jkm_call_put!$O:$O&amp;jkm_call_put!$F:$F,0),1),"")</f>
        <v/>
      </c>
      <c r="AG15" s="9" t="str" cm="1">
        <f t="array" aca="1" ref="AG15" ca="1">_xlfn.IFNA(INDEX(jkm_call_put!$H:$H,MATCH($B15&amp;AG$2&amp;$A$1,jkm_call_put!$G:$G&amp;jkm_call_put!$O:$O&amp;jkm_call_put!$F:$F,0),1),"")</f>
        <v/>
      </c>
      <c r="AH15" s="9" t="str" cm="1">
        <f t="array" aca="1" ref="AH15" ca="1">_xlfn.IFNA(INDEX(jkm_call_put!$H:$H,MATCH($B15&amp;AH$2&amp;$A$1,jkm_call_put!$G:$G&amp;jkm_call_put!$O:$O&amp;jkm_call_put!$F:$F,0),1),"")</f>
        <v/>
      </c>
      <c r="AI15" s="9" t="str" cm="1">
        <f t="array" aca="1" ref="AI15" ca="1">_xlfn.IFNA(INDEX(jkm_call_put!$H:$H,MATCH($B15&amp;AI$2&amp;$A$1,jkm_call_put!$G:$G&amp;jkm_call_put!$O:$O&amp;jkm_call_put!$F:$F,0),1),"")</f>
        <v/>
      </c>
      <c r="AJ15" s="9" t="str" cm="1">
        <f t="array" aca="1" ref="AJ15" ca="1">_xlfn.IFNA(INDEX(jkm_call_put!$H:$H,MATCH($B15&amp;AJ$2&amp;$A$1,jkm_call_put!$G:$G&amp;jkm_call_put!$O:$O&amp;jkm_call_put!$F:$F,0),1),"")</f>
        <v/>
      </c>
      <c r="AK15" s="9" t="str" cm="1">
        <f t="array" aca="1" ref="AK15" ca="1">_xlfn.IFNA(INDEX(jkm_call_put!$H:$H,MATCH($B15&amp;AK$2&amp;$A$1,jkm_call_put!$G:$G&amp;jkm_call_put!$O:$O&amp;jkm_call_put!$F:$F,0),1),"")</f>
        <v/>
      </c>
      <c r="AL15" s="9" t="str" cm="1">
        <f t="array" aca="1" ref="AL15" ca="1">_xlfn.IFNA(INDEX(jkm_call_put!$H:$H,MATCH($B15&amp;AL$2&amp;$A$1,jkm_call_put!$G:$G&amp;jkm_call_put!$O:$O&amp;jkm_call_put!$F:$F,0),1),"")</f>
        <v/>
      </c>
    </row>
    <row r="16" spans="1:39" ht="15" customHeight="1" x14ac:dyDescent="0.25">
      <c r="A16" s="11"/>
      <c r="B16" s="6">
        <v>11.5</v>
      </c>
      <c r="C16" s="9" cm="1">
        <f t="array" aca="1" ref="C16" ca="1">_xlfn.IFNA(INDEX(jkm_call_put!$H:$H,MATCH($B16&amp;C$2&amp;$A$1,jkm_call_put!$G:$G&amp;jkm_call_put!$O:$O&amp;jkm_call_put!$F:$F,0),1),"")</f>
        <v>1E-3</v>
      </c>
      <c r="D16" s="9" cm="1">
        <f t="array" aca="1" ref="D16" ca="1">_xlfn.IFNA(INDEX(jkm_call_put!$H:$H,MATCH($B16&amp;D$2&amp;$A$1,jkm_call_put!$G:$G&amp;jkm_call_put!$O:$O&amp;jkm_call_put!$F:$F,0),1),"")</f>
        <v>2E-3</v>
      </c>
      <c r="E16" s="9" t="str" cm="1">
        <f t="array" aca="1" ref="E16" ca="1">_xlfn.IFNA(INDEX(jkm_call_put!$H:$H,MATCH($B16&amp;E$2&amp;$A$1,jkm_call_put!$G:$G&amp;jkm_call_put!$O:$O&amp;jkm_call_put!$F:$F,0),1),"")</f>
        <v/>
      </c>
      <c r="F16" s="9" t="str" cm="1">
        <f t="array" aca="1" ref="F16" ca="1">_xlfn.IFNA(INDEX(jkm_call_put!$H:$H,MATCH($B16&amp;F$2&amp;$A$1,jkm_call_put!$G:$G&amp;jkm_call_put!$O:$O&amp;jkm_call_put!$F:$F,0),1),"")</f>
        <v/>
      </c>
      <c r="G16" s="9" t="str" cm="1">
        <f t="array" aca="1" ref="G16" ca="1">_xlfn.IFNA(INDEX(jkm_call_put!$H:$H,MATCH($B16&amp;G$2&amp;$A$1,jkm_call_put!$G:$G&amp;jkm_call_put!$O:$O&amp;jkm_call_put!$F:$F,0),1),"")</f>
        <v/>
      </c>
      <c r="H16" s="9" t="str" cm="1">
        <f t="array" aca="1" ref="H16" ca="1">_xlfn.IFNA(INDEX(jkm_call_put!$H:$H,MATCH($B16&amp;H$2&amp;$A$1,jkm_call_put!$G:$G&amp;jkm_call_put!$O:$O&amp;jkm_call_put!$F:$F,0),1),"")</f>
        <v/>
      </c>
      <c r="I16" s="9" t="str" cm="1">
        <f t="array" aca="1" ref="I16" ca="1">_xlfn.IFNA(INDEX(jkm_call_put!$H:$H,MATCH($B16&amp;I$2&amp;$A$1,jkm_call_put!$G:$G&amp;jkm_call_put!$O:$O&amp;jkm_call_put!$F:$F,0),1),"")</f>
        <v/>
      </c>
      <c r="J16" s="9" t="str" cm="1">
        <f t="array" aca="1" ref="J16" ca="1">_xlfn.IFNA(INDEX(jkm_call_put!$H:$H,MATCH($B16&amp;J$2&amp;$A$1,jkm_call_put!$G:$G&amp;jkm_call_put!$O:$O&amp;jkm_call_put!$F:$F,0),1),"")</f>
        <v/>
      </c>
      <c r="K16" s="9" t="str" cm="1">
        <f t="array" aca="1" ref="K16" ca="1">_xlfn.IFNA(INDEX(jkm_call_put!$H:$H,MATCH($B16&amp;K$2&amp;$A$1,jkm_call_put!$G:$G&amp;jkm_call_put!$O:$O&amp;jkm_call_put!$F:$F,0),1),"")</f>
        <v/>
      </c>
      <c r="L16" s="9" t="str" cm="1">
        <f t="array" aca="1" ref="L16" ca="1">_xlfn.IFNA(INDEX(jkm_call_put!$H:$H,MATCH($B16&amp;L$2&amp;$A$1,jkm_call_put!$G:$G&amp;jkm_call_put!$O:$O&amp;jkm_call_put!$F:$F,0),1),"")</f>
        <v/>
      </c>
      <c r="M16" s="9" t="str" cm="1">
        <f t="array" aca="1" ref="M16" ca="1">_xlfn.IFNA(INDEX(jkm_call_put!$H:$H,MATCH($B16&amp;M$2&amp;$A$1,jkm_call_put!$G:$G&amp;jkm_call_put!$O:$O&amp;jkm_call_put!$F:$F,0),1),"")</f>
        <v/>
      </c>
      <c r="N16" s="9" t="str" cm="1">
        <f t="array" aca="1" ref="N16" ca="1">_xlfn.IFNA(INDEX(jkm_call_put!$H:$H,MATCH($B16&amp;N$2&amp;$A$1,jkm_call_put!$G:$G&amp;jkm_call_put!$O:$O&amp;jkm_call_put!$F:$F,0),1),"")</f>
        <v/>
      </c>
      <c r="O16" s="9" t="str" cm="1">
        <f t="array" aca="1" ref="O16" ca="1">_xlfn.IFNA(INDEX(jkm_call_put!$H:$H,MATCH($B16&amp;O$2&amp;$A$1,jkm_call_put!$G:$G&amp;jkm_call_put!$O:$O&amp;jkm_call_put!$F:$F,0),1),"")</f>
        <v/>
      </c>
      <c r="P16" s="9" t="str" cm="1">
        <f t="array" aca="1" ref="P16" ca="1">_xlfn.IFNA(INDEX(jkm_call_put!$H:$H,MATCH($B16&amp;P$2&amp;$A$1,jkm_call_put!$G:$G&amp;jkm_call_put!$O:$O&amp;jkm_call_put!$F:$F,0),1),"")</f>
        <v/>
      </c>
      <c r="Q16" s="9" t="str" cm="1">
        <f t="array" aca="1" ref="Q16" ca="1">_xlfn.IFNA(INDEX(jkm_call_put!$H:$H,MATCH($B16&amp;Q$2&amp;$A$1,jkm_call_put!$G:$G&amp;jkm_call_put!$O:$O&amp;jkm_call_put!$F:$F,0),1),"")</f>
        <v/>
      </c>
      <c r="R16" s="9" t="str" cm="1">
        <f t="array" aca="1" ref="R16" ca="1">_xlfn.IFNA(INDEX(jkm_call_put!$H:$H,MATCH($B16&amp;R$2&amp;$A$1,jkm_call_put!$G:$G&amp;jkm_call_put!$O:$O&amp;jkm_call_put!$F:$F,0),1),"")</f>
        <v/>
      </c>
      <c r="S16" s="9" t="str" cm="1">
        <f t="array" aca="1" ref="S16" ca="1">_xlfn.IFNA(INDEX(jkm_call_put!$H:$H,MATCH($B16&amp;S$2&amp;$A$1,jkm_call_put!$G:$G&amp;jkm_call_put!$O:$O&amp;jkm_call_put!$F:$F,0),1),"")</f>
        <v/>
      </c>
      <c r="T16" s="9" t="str" cm="1">
        <f t="array" aca="1" ref="T16" ca="1">_xlfn.IFNA(INDEX(jkm_call_put!$H:$H,MATCH($B16&amp;T$2&amp;$A$1,jkm_call_put!$G:$G&amp;jkm_call_put!$O:$O&amp;jkm_call_put!$F:$F,0),1),"")</f>
        <v/>
      </c>
      <c r="U16" s="9" t="str" cm="1">
        <f t="array" aca="1" ref="U16" ca="1">_xlfn.IFNA(INDEX(jkm_call_put!$H:$H,MATCH($B16&amp;U$2&amp;$A$1,jkm_call_put!$G:$G&amp;jkm_call_put!$O:$O&amp;jkm_call_put!$F:$F,0),1),"")</f>
        <v/>
      </c>
      <c r="V16" s="9" t="str" cm="1">
        <f t="array" aca="1" ref="V16" ca="1">_xlfn.IFNA(INDEX(jkm_call_put!$H:$H,MATCH($B16&amp;V$2&amp;$A$1,jkm_call_put!$G:$G&amp;jkm_call_put!$O:$O&amp;jkm_call_put!$F:$F,0),1),"")</f>
        <v/>
      </c>
      <c r="W16" s="9" t="str" cm="1">
        <f t="array" aca="1" ref="W16" ca="1">_xlfn.IFNA(INDEX(jkm_call_put!$H:$H,MATCH($B16&amp;W$2&amp;$A$1,jkm_call_put!$G:$G&amp;jkm_call_put!$O:$O&amp;jkm_call_put!$F:$F,0),1),"")</f>
        <v/>
      </c>
      <c r="X16" s="9" t="str" cm="1">
        <f t="array" aca="1" ref="X16" ca="1">_xlfn.IFNA(INDEX(jkm_call_put!$H:$H,MATCH($B16&amp;X$2&amp;$A$1,jkm_call_put!$G:$G&amp;jkm_call_put!$O:$O&amp;jkm_call_put!$F:$F,0),1),"")</f>
        <v/>
      </c>
      <c r="Y16" s="9" t="str" cm="1">
        <f t="array" aca="1" ref="Y16" ca="1">_xlfn.IFNA(INDEX(jkm_call_put!$H:$H,MATCH($B16&amp;Y$2&amp;$A$1,jkm_call_put!$G:$G&amp;jkm_call_put!$O:$O&amp;jkm_call_put!$F:$F,0),1),"")</f>
        <v/>
      </c>
      <c r="Z16" s="9" t="str" cm="1">
        <f t="array" aca="1" ref="Z16" ca="1">_xlfn.IFNA(INDEX(jkm_call_put!$H:$H,MATCH($B16&amp;Z$2&amp;$A$1,jkm_call_put!$G:$G&amp;jkm_call_put!$O:$O&amp;jkm_call_put!$F:$F,0),1),"")</f>
        <v/>
      </c>
      <c r="AA16" s="9" t="str" cm="1">
        <f t="array" aca="1" ref="AA16" ca="1">_xlfn.IFNA(INDEX(jkm_call_put!$H:$H,MATCH($B16&amp;AA$2&amp;$A$1,jkm_call_put!$G:$G&amp;jkm_call_put!$O:$O&amp;jkm_call_put!$F:$F,0),1),"")</f>
        <v/>
      </c>
      <c r="AB16" s="9" t="str" cm="1">
        <f t="array" aca="1" ref="AB16" ca="1">_xlfn.IFNA(INDEX(jkm_call_put!$H:$H,MATCH($B16&amp;AB$2&amp;$A$1,jkm_call_put!$G:$G&amp;jkm_call_put!$O:$O&amp;jkm_call_put!$F:$F,0),1),"")</f>
        <v/>
      </c>
      <c r="AC16" s="9" t="str" cm="1">
        <f t="array" aca="1" ref="AC16" ca="1">_xlfn.IFNA(INDEX(jkm_call_put!$H:$H,MATCH($B16&amp;AC$2&amp;$A$1,jkm_call_put!$G:$G&amp;jkm_call_put!$O:$O&amp;jkm_call_put!$F:$F,0),1),"")</f>
        <v/>
      </c>
      <c r="AD16" s="9" t="str" cm="1">
        <f t="array" aca="1" ref="AD16" ca="1">_xlfn.IFNA(INDEX(jkm_call_put!$H:$H,MATCH($B16&amp;AD$2&amp;$A$1,jkm_call_put!$G:$G&amp;jkm_call_put!$O:$O&amp;jkm_call_put!$F:$F,0),1),"")</f>
        <v/>
      </c>
      <c r="AE16" s="9" t="str" cm="1">
        <f t="array" aca="1" ref="AE16" ca="1">_xlfn.IFNA(INDEX(jkm_call_put!$H:$H,MATCH($B16&amp;AE$2&amp;$A$1,jkm_call_put!$G:$G&amp;jkm_call_put!$O:$O&amp;jkm_call_put!$F:$F,0),1),"")</f>
        <v/>
      </c>
      <c r="AF16" s="9" t="str" cm="1">
        <f t="array" aca="1" ref="AF16" ca="1">_xlfn.IFNA(INDEX(jkm_call_put!$H:$H,MATCH($B16&amp;AF$2&amp;$A$1,jkm_call_put!$G:$G&amp;jkm_call_put!$O:$O&amp;jkm_call_put!$F:$F,0),1),"")</f>
        <v/>
      </c>
      <c r="AG16" s="9" t="str" cm="1">
        <f t="array" aca="1" ref="AG16" ca="1">_xlfn.IFNA(INDEX(jkm_call_put!$H:$H,MATCH($B16&amp;AG$2&amp;$A$1,jkm_call_put!$G:$G&amp;jkm_call_put!$O:$O&amp;jkm_call_put!$F:$F,0),1),"")</f>
        <v/>
      </c>
      <c r="AH16" s="9" t="str" cm="1">
        <f t="array" aca="1" ref="AH16" ca="1">_xlfn.IFNA(INDEX(jkm_call_put!$H:$H,MATCH($B16&amp;AH$2&amp;$A$1,jkm_call_put!$G:$G&amp;jkm_call_put!$O:$O&amp;jkm_call_put!$F:$F,0),1),"")</f>
        <v/>
      </c>
      <c r="AI16" s="9" t="str" cm="1">
        <f t="array" aca="1" ref="AI16" ca="1">_xlfn.IFNA(INDEX(jkm_call_put!$H:$H,MATCH($B16&amp;AI$2&amp;$A$1,jkm_call_put!$G:$G&amp;jkm_call_put!$O:$O&amp;jkm_call_put!$F:$F,0),1),"")</f>
        <v/>
      </c>
      <c r="AJ16" s="9" t="str" cm="1">
        <f t="array" aca="1" ref="AJ16" ca="1">_xlfn.IFNA(INDEX(jkm_call_put!$H:$H,MATCH($B16&amp;AJ$2&amp;$A$1,jkm_call_put!$G:$G&amp;jkm_call_put!$O:$O&amp;jkm_call_put!$F:$F,0),1),"")</f>
        <v/>
      </c>
      <c r="AK16" s="9" t="str" cm="1">
        <f t="array" aca="1" ref="AK16" ca="1">_xlfn.IFNA(INDEX(jkm_call_put!$H:$H,MATCH($B16&amp;AK$2&amp;$A$1,jkm_call_put!$G:$G&amp;jkm_call_put!$O:$O&amp;jkm_call_put!$F:$F,0),1),"")</f>
        <v/>
      </c>
      <c r="AL16" s="9" t="str" cm="1">
        <f t="array" aca="1" ref="AL16" ca="1">_xlfn.IFNA(INDEX(jkm_call_put!$H:$H,MATCH($B16&amp;AL$2&amp;$A$1,jkm_call_put!$G:$G&amp;jkm_call_put!$O:$O&amp;jkm_call_put!$F:$F,0),1),"")</f>
        <v/>
      </c>
    </row>
    <row r="17" spans="1:38" ht="15" customHeight="1" x14ac:dyDescent="0.25">
      <c r="A17" s="11"/>
      <c r="B17" s="6">
        <v>12.5</v>
      </c>
      <c r="C17" s="9" cm="1">
        <f t="array" aca="1" ref="C17" ca="1">_xlfn.IFNA(INDEX(jkm_call_put!$H:$H,MATCH($B17&amp;C$2&amp;$A$1,jkm_call_put!$G:$G&amp;jkm_call_put!$O:$O&amp;jkm_call_put!$F:$F,0),1),"")</f>
        <v>1E-3</v>
      </c>
      <c r="D17" s="9" cm="1">
        <f t="array" aca="1" ref="D17" ca="1">_xlfn.IFNA(INDEX(jkm_call_put!$H:$H,MATCH($B17&amp;D$2&amp;$A$1,jkm_call_put!$G:$G&amp;jkm_call_put!$O:$O&amp;jkm_call_put!$F:$F,0),1),"")</f>
        <v>8.0000000000000002E-3</v>
      </c>
      <c r="E17" s="9" cm="1">
        <f t="array" aca="1" ref="E17" ca="1">_xlfn.IFNA(INDEX(jkm_call_put!$H:$H,MATCH($B17&amp;E$2&amp;$A$1,jkm_call_put!$G:$G&amp;jkm_call_put!$O:$O&amp;jkm_call_put!$F:$F,0),1),"")</f>
        <v>0.42399999999999999</v>
      </c>
      <c r="F17" s="9" cm="1">
        <f t="array" aca="1" ref="F17" ca="1">_xlfn.IFNA(INDEX(jkm_call_put!$H:$H,MATCH($B17&amp;F$2&amp;$A$1,jkm_call_put!$G:$G&amp;jkm_call_put!$O:$O&amp;jkm_call_put!$F:$F,0),1),"")</f>
        <v>0.751</v>
      </c>
      <c r="G17" s="9" cm="1">
        <f t="array" aca="1" ref="G17" ca="1">_xlfn.IFNA(INDEX(jkm_call_put!$H:$H,MATCH($B17&amp;G$2&amp;$A$1,jkm_call_put!$G:$G&amp;jkm_call_put!$O:$O&amp;jkm_call_put!$F:$F,0),1),"")</f>
        <v>1.071</v>
      </c>
      <c r="H17" s="9" t="str" cm="1">
        <f t="array" aca="1" ref="H17" ca="1">_xlfn.IFNA(INDEX(jkm_call_put!$H:$H,MATCH($B17&amp;H$2&amp;$A$1,jkm_call_put!$G:$G&amp;jkm_call_put!$O:$O&amp;jkm_call_put!$F:$F,0),1),"")</f>
        <v/>
      </c>
      <c r="I17" s="9" t="str" cm="1">
        <f t="array" aca="1" ref="I17" ca="1">_xlfn.IFNA(INDEX(jkm_call_put!$H:$H,MATCH($B17&amp;I$2&amp;$A$1,jkm_call_put!$G:$G&amp;jkm_call_put!$O:$O&amp;jkm_call_put!$F:$F,0),1),"")</f>
        <v/>
      </c>
      <c r="J17" s="9" t="str" cm="1">
        <f t="array" aca="1" ref="J17" ca="1">_xlfn.IFNA(INDEX(jkm_call_put!$H:$H,MATCH($B17&amp;J$2&amp;$A$1,jkm_call_put!$G:$G&amp;jkm_call_put!$O:$O&amp;jkm_call_put!$F:$F,0),1),"")</f>
        <v/>
      </c>
      <c r="K17" s="9" t="str" cm="1">
        <f t="array" aca="1" ref="K17" ca="1">_xlfn.IFNA(INDEX(jkm_call_put!$H:$H,MATCH($B17&amp;K$2&amp;$A$1,jkm_call_put!$G:$G&amp;jkm_call_put!$O:$O&amp;jkm_call_put!$F:$F,0),1),"")</f>
        <v/>
      </c>
      <c r="L17" s="9" t="str" cm="1">
        <f t="array" aca="1" ref="L17" ca="1">_xlfn.IFNA(INDEX(jkm_call_put!$H:$H,MATCH($B17&amp;L$2&amp;$A$1,jkm_call_put!$G:$G&amp;jkm_call_put!$O:$O&amp;jkm_call_put!$F:$F,0),1),"")</f>
        <v/>
      </c>
      <c r="M17" s="9" t="str" cm="1">
        <f t="array" aca="1" ref="M17" ca="1">_xlfn.IFNA(INDEX(jkm_call_put!$H:$H,MATCH($B17&amp;M$2&amp;$A$1,jkm_call_put!$G:$G&amp;jkm_call_put!$O:$O&amp;jkm_call_put!$F:$F,0),1),"")</f>
        <v/>
      </c>
      <c r="N17" s="9" t="str" cm="1">
        <f t="array" aca="1" ref="N17" ca="1">_xlfn.IFNA(INDEX(jkm_call_put!$H:$H,MATCH($B17&amp;N$2&amp;$A$1,jkm_call_put!$G:$G&amp;jkm_call_put!$O:$O&amp;jkm_call_put!$F:$F,0),1),"")</f>
        <v/>
      </c>
      <c r="O17" s="9" t="str" cm="1">
        <f t="array" aca="1" ref="O17" ca="1">_xlfn.IFNA(INDEX(jkm_call_put!$H:$H,MATCH($B17&amp;O$2&amp;$A$1,jkm_call_put!$G:$G&amp;jkm_call_put!$O:$O&amp;jkm_call_put!$F:$F,0),1),"")</f>
        <v/>
      </c>
      <c r="P17" s="9" t="str" cm="1">
        <f t="array" aca="1" ref="P17" ca="1">_xlfn.IFNA(INDEX(jkm_call_put!$H:$H,MATCH($B17&amp;P$2&amp;$A$1,jkm_call_put!$G:$G&amp;jkm_call_put!$O:$O&amp;jkm_call_put!$F:$F,0),1),"")</f>
        <v/>
      </c>
      <c r="Q17" s="9" t="str" cm="1">
        <f t="array" aca="1" ref="Q17" ca="1">_xlfn.IFNA(INDEX(jkm_call_put!$H:$H,MATCH($B17&amp;Q$2&amp;$A$1,jkm_call_put!$G:$G&amp;jkm_call_put!$O:$O&amp;jkm_call_put!$F:$F,0),1),"")</f>
        <v/>
      </c>
      <c r="R17" s="9" t="str" cm="1">
        <f t="array" aca="1" ref="R17" ca="1">_xlfn.IFNA(INDEX(jkm_call_put!$H:$H,MATCH($B17&amp;R$2&amp;$A$1,jkm_call_put!$G:$G&amp;jkm_call_put!$O:$O&amp;jkm_call_put!$F:$F,0),1),"")</f>
        <v/>
      </c>
      <c r="S17" s="9" t="str" cm="1">
        <f t="array" aca="1" ref="S17" ca="1">_xlfn.IFNA(INDEX(jkm_call_put!$H:$H,MATCH($B17&amp;S$2&amp;$A$1,jkm_call_put!$G:$G&amp;jkm_call_put!$O:$O&amp;jkm_call_put!$F:$F,0),1),"")</f>
        <v/>
      </c>
      <c r="T17" s="9" t="str" cm="1">
        <f t="array" aca="1" ref="T17" ca="1">_xlfn.IFNA(INDEX(jkm_call_put!$H:$H,MATCH($B17&amp;T$2&amp;$A$1,jkm_call_put!$G:$G&amp;jkm_call_put!$O:$O&amp;jkm_call_put!$F:$F,0),1),"")</f>
        <v/>
      </c>
      <c r="U17" s="9" t="str" cm="1">
        <f t="array" aca="1" ref="U17" ca="1">_xlfn.IFNA(INDEX(jkm_call_put!$H:$H,MATCH($B17&amp;U$2&amp;$A$1,jkm_call_put!$G:$G&amp;jkm_call_put!$O:$O&amp;jkm_call_put!$F:$F,0),1),"")</f>
        <v/>
      </c>
      <c r="V17" s="9" t="str" cm="1">
        <f t="array" aca="1" ref="V17" ca="1">_xlfn.IFNA(INDEX(jkm_call_put!$H:$H,MATCH($B17&amp;V$2&amp;$A$1,jkm_call_put!$G:$G&amp;jkm_call_put!$O:$O&amp;jkm_call_put!$F:$F,0),1),"")</f>
        <v/>
      </c>
      <c r="W17" s="9" t="str" cm="1">
        <f t="array" aca="1" ref="W17" ca="1">_xlfn.IFNA(INDEX(jkm_call_put!$H:$H,MATCH($B17&amp;W$2&amp;$A$1,jkm_call_put!$G:$G&amp;jkm_call_put!$O:$O&amp;jkm_call_put!$F:$F,0),1),"")</f>
        <v/>
      </c>
      <c r="X17" s="9" t="str" cm="1">
        <f t="array" aca="1" ref="X17" ca="1">_xlfn.IFNA(INDEX(jkm_call_put!$H:$H,MATCH($B17&amp;X$2&amp;$A$1,jkm_call_put!$G:$G&amp;jkm_call_put!$O:$O&amp;jkm_call_put!$F:$F,0),1),"")</f>
        <v/>
      </c>
      <c r="Y17" s="9" t="str" cm="1">
        <f t="array" aca="1" ref="Y17" ca="1">_xlfn.IFNA(INDEX(jkm_call_put!$H:$H,MATCH($B17&amp;Y$2&amp;$A$1,jkm_call_put!$G:$G&amp;jkm_call_put!$O:$O&amp;jkm_call_put!$F:$F,0),1),"")</f>
        <v/>
      </c>
      <c r="Z17" s="9" t="str" cm="1">
        <f t="array" aca="1" ref="Z17" ca="1">_xlfn.IFNA(INDEX(jkm_call_put!$H:$H,MATCH($B17&amp;Z$2&amp;$A$1,jkm_call_put!$G:$G&amp;jkm_call_put!$O:$O&amp;jkm_call_put!$F:$F,0),1),"")</f>
        <v/>
      </c>
      <c r="AA17" s="9" t="str" cm="1">
        <f t="array" aca="1" ref="AA17" ca="1">_xlfn.IFNA(INDEX(jkm_call_put!$H:$H,MATCH($B17&amp;AA$2&amp;$A$1,jkm_call_put!$G:$G&amp;jkm_call_put!$O:$O&amp;jkm_call_put!$F:$F,0),1),"")</f>
        <v/>
      </c>
      <c r="AB17" s="9" t="str" cm="1">
        <f t="array" aca="1" ref="AB17" ca="1">_xlfn.IFNA(INDEX(jkm_call_put!$H:$H,MATCH($B17&amp;AB$2&amp;$A$1,jkm_call_put!$G:$G&amp;jkm_call_put!$O:$O&amp;jkm_call_put!$F:$F,0),1),"")</f>
        <v/>
      </c>
      <c r="AC17" s="9" t="str" cm="1">
        <f t="array" aca="1" ref="AC17" ca="1">_xlfn.IFNA(INDEX(jkm_call_put!$H:$H,MATCH($B17&amp;AC$2&amp;$A$1,jkm_call_put!$G:$G&amp;jkm_call_put!$O:$O&amp;jkm_call_put!$F:$F,0),1),"")</f>
        <v/>
      </c>
      <c r="AD17" s="9" t="str" cm="1">
        <f t="array" aca="1" ref="AD17" ca="1">_xlfn.IFNA(INDEX(jkm_call_put!$H:$H,MATCH($B17&amp;AD$2&amp;$A$1,jkm_call_put!$G:$G&amp;jkm_call_put!$O:$O&amp;jkm_call_put!$F:$F,0),1),"")</f>
        <v/>
      </c>
      <c r="AE17" s="9" t="str" cm="1">
        <f t="array" aca="1" ref="AE17" ca="1">_xlfn.IFNA(INDEX(jkm_call_put!$H:$H,MATCH($B17&amp;AE$2&amp;$A$1,jkm_call_put!$G:$G&amp;jkm_call_put!$O:$O&amp;jkm_call_put!$F:$F,0),1),"")</f>
        <v/>
      </c>
      <c r="AF17" s="9" t="str" cm="1">
        <f t="array" aca="1" ref="AF17" ca="1">_xlfn.IFNA(INDEX(jkm_call_put!$H:$H,MATCH($B17&amp;AF$2&amp;$A$1,jkm_call_put!$G:$G&amp;jkm_call_put!$O:$O&amp;jkm_call_put!$F:$F,0),1),"")</f>
        <v/>
      </c>
      <c r="AG17" s="9" t="str" cm="1">
        <f t="array" aca="1" ref="AG17" ca="1">_xlfn.IFNA(INDEX(jkm_call_put!$H:$H,MATCH($B17&amp;AG$2&amp;$A$1,jkm_call_put!$G:$G&amp;jkm_call_put!$O:$O&amp;jkm_call_put!$F:$F,0),1),"")</f>
        <v/>
      </c>
      <c r="AH17" s="9" t="str" cm="1">
        <f t="array" aca="1" ref="AH17" ca="1">_xlfn.IFNA(INDEX(jkm_call_put!$H:$H,MATCH($B17&amp;AH$2&amp;$A$1,jkm_call_put!$G:$G&amp;jkm_call_put!$O:$O&amp;jkm_call_put!$F:$F,0),1),"")</f>
        <v/>
      </c>
      <c r="AI17" s="9" t="str" cm="1">
        <f t="array" aca="1" ref="AI17" ca="1">_xlfn.IFNA(INDEX(jkm_call_put!$H:$H,MATCH($B17&amp;AI$2&amp;$A$1,jkm_call_put!$G:$G&amp;jkm_call_put!$O:$O&amp;jkm_call_put!$F:$F,0),1),"")</f>
        <v/>
      </c>
      <c r="AJ17" s="9" t="str" cm="1">
        <f t="array" aca="1" ref="AJ17" ca="1">_xlfn.IFNA(INDEX(jkm_call_put!$H:$H,MATCH($B17&amp;AJ$2&amp;$A$1,jkm_call_put!$G:$G&amp;jkm_call_put!$O:$O&amp;jkm_call_put!$F:$F,0),1),"")</f>
        <v/>
      </c>
      <c r="AK17" s="9" t="str" cm="1">
        <f t="array" aca="1" ref="AK17" ca="1">_xlfn.IFNA(INDEX(jkm_call_put!$H:$H,MATCH($B17&amp;AK$2&amp;$A$1,jkm_call_put!$G:$G&amp;jkm_call_put!$O:$O&amp;jkm_call_put!$F:$F,0),1),"")</f>
        <v/>
      </c>
      <c r="AL17" s="9" t="str" cm="1">
        <f t="array" aca="1" ref="AL17" ca="1">_xlfn.IFNA(INDEX(jkm_call_put!$H:$H,MATCH($B17&amp;AL$2&amp;$A$1,jkm_call_put!$G:$G&amp;jkm_call_put!$O:$O&amp;jkm_call_put!$F:$F,0),1),"")</f>
        <v/>
      </c>
    </row>
    <row r="18" spans="1:38" ht="15" customHeight="1" x14ac:dyDescent="0.25">
      <c r="A18" s="11"/>
      <c r="B18" s="6">
        <v>13</v>
      </c>
      <c r="C18" s="9" cm="1">
        <f t="array" aca="1" ref="C18" ca="1">_xlfn.IFNA(INDEX(jkm_call_put!$H:$H,MATCH($B18&amp;C$2&amp;$A$1,jkm_call_put!$G:$G&amp;jkm_call_put!$O:$O&amp;jkm_call_put!$F:$F,0),1),"")</f>
        <v>1E-3</v>
      </c>
      <c r="D18" s="9" cm="1">
        <f t="array" aca="1" ref="D18" ca="1">_xlfn.IFNA(INDEX(jkm_call_put!$H:$H,MATCH($B18&amp;D$2&amp;$A$1,jkm_call_put!$G:$G&amp;jkm_call_put!$O:$O&amp;jkm_call_put!$F:$F,0),1),"")</f>
        <v>1.4999999999999999E-2</v>
      </c>
      <c r="E18" s="9" cm="1">
        <f t="array" aca="1" ref="E18" ca="1">_xlfn.IFNA(INDEX(jkm_call_put!$H:$H,MATCH($B18&amp;E$2&amp;$A$1,jkm_call_put!$G:$G&amp;jkm_call_put!$O:$O&amp;jkm_call_put!$F:$F,0),1),"")</f>
        <v>0.52900000000000003</v>
      </c>
      <c r="F18" s="9" cm="1">
        <f t="array" aca="1" ref="F18" ca="1">_xlfn.IFNA(INDEX(jkm_call_put!$H:$H,MATCH($B18&amp;F$2&amp;$A$1,jkm_call_put!$G:$G&amp;jkm_call_put!$O:$O&amp;jkm_call_put!$F:$F,0),1),"")</f>
        <v>0.89400000000000002</v>
      </c>
      <c r="G18" s="9" cm="1">
        <f t="array" aca="1" ref="G18" ca="1">_xlfn.IFNA(INDEX(jkm_call_put!$H:$H,MATCH($B18&amp;G$2&amp;$A$1,jkm_call_put!$G:$G&amp;jkm_call_put!$O:$O&amp;jkm_call_put!$F:$F,0),1),"")</f>
        <v>1.242</v>
      </c>
      <c r="H18" s="9" cm="1">
        <f t="array" aca="1" ref="H18" ca="1">_xlfn.IFNA(INDEX(jkm_call_put!$H:$H,MATCH($B18&amp;H$2&amp;$A$1,jkm_call_put!$G:$G&amp;jkm_call_put!$O:$O&amp;jkm_call_put!$F:$F,0),1),"")</f>
        <v>1.0049999999999999</v>
      </c>
      <c r="I18" s="9" cm="1">
        <f t="array" aca="1" ref="I18" ca="1">_xlfn.IFNA(INDEX(jkm_call_put!$H:$H,MATCH($B18&amp;I$2&amp;$A$1,jkm_call_put!$G:$G&amp;jkm_call_put!$O:$O&amp;jkm_call_put!$F:$F,0),1),"")</f>
        <v>1.2070000000000001</v>
      </c>
      <c r="J18" s="9" cm="1">
        <f t="array" aca="1" ref="J18" ca="1">_xlfn.IFNA(INDEX(jkm_call_put!$H:$H,MATCH($B18&amp;J$2&amp;$A$1,jkm_call_put!$G:$G&amp;jkm_call_put!$O:$O&amp;jkm_call_put!$F:$F,0),1),"")</f>
        <v>1.35</v>
      </c>
      <c r="K18" s="9" cm="1">
        <f t="array" aca="1" ref="K18" ca="1">_xlfn.IFNA(INDEX(jkm_call_put!$H:$H,MATCH($B18&amp;K$2&amp;$A$1,jkm_call_put!$G:$G&amp;jkm_call_put!$O:$O&amp;jkm_call_put!$F:$F,0),1),"")</f>
        <v>1.54</v>
      </c>
      <c r="L18" s="9" cm="1">
        <f t="array" aca="1" ref="L18" ca="1">_xlfn.IFNA(INDEX(jkm_call_put!$H:$H,MATCH($B18&amp;L$2&amp;$A$1,jkm_call_put!$G:$G&amp;jkm_call_put!$O:$O&amp;jkm_call_put!$F:$F,0),1),"")</f>
        <v>1.776</v>
      </c>
      <c r="M18" s="9" cm="1">
        <f t="array" aca="1" ref="M18" ca="1">_xlfn.IFNA(INDEX(jkm_call_put!$H:$H,MATCH($B18&amp;M$2&amp;$A$1,jkm_call_put!$G:$G&amp;jkm_call_put!$O:$O&amp;jkm_call_put!$F:$F,0),1),"")</f>
        <v>2.2650000000000001</v>
      </c>
      <c r="N18" s="9" t="str" cm="1">
        <f t="array" aca="1" ref="N18" ca="1">_xlfn.IFNA(INDEX(jkm_call_put!$H:$H,MATCH($B18&amp;N$2&amp;$A$1,jkm_call_put!$G:$G&amp;jkm_call_put!$O:$O&amp;jkm_call_put!$F:$F,0),1),"")</f>
        <v/>
      </c>
      <c r="O18" s="9" t="str" cm="1">
        <f t="array" aca="1" ref="O18" ca="1">_xlfn.IFNA(INDEX(jkm_call_put!$H:$H,MATCH($B18&amp;O$2&amp;$A$1,jkm_call_put!$G:$G&amp;jkm_call_put!$O:$O&amp;jkm_call_put!$F:$F,0),1),"")</f>
        <v/>
      </c>
      <c r="P18" s="9" t="str" cm="1">
        <f t="array" aca="1" ref="P18" ca="1">_xlfn.IFNA(INDEX(jkm_call_put!$H:$H,MATCH($B18&amp;P$2&amp;$A$1,jkm_call_put!$G:$G&amp;jkm_call_put!$O:$O&amp;jkm_call_put!$F:$F,0),1),"")</f>
        <v/>
      </c>
      <c r="Q18" s="9" t="str" cm="1">
        <f t="array" aca="1" ref="Q18" ca="1">_xlfn.IFNA(INDEX(jkm_call_put!$H:$H,MATCH($B18&amp;Q$2&amp;$A$1,jkm_call_put!$G:$G&amp;jkm_call_put!$O:$O&amp;jkm_call_put!$F:$F,0),1),"")</f>
        <v/>
      </c>
      <c r="R18" s="9" t="str" cm="1">
        <f t="array" aca="1" ref="R18" ca="1">_xlfn.IFNA(INDEX(jkm_call_put!$H:$H,MATCH($B18&amp;R$2&amp;$A$1,jkm_call_put!$G:$G&amp;jkm_call_put!$O:$O&amp;jkm_call_put!$F:$F,0),1),"")</f>
        <v/>
      </c>
      <c r="S18" s="9" t="str" cm="1">
        <f t="array" aca="1" ref="S18" ca="1">_xlfn.IFNA(INDEX(jkm_call_put!$H:$H,MATCH($B18&amp;S$2&amp;$A$1,jkm_call_put!$G:$G&amp;jkm_call_put!$O:$O&amp;jkm_call_put!$F:$F,0),1),"")</f>
        <v/>
      </c>
      <c r="T18" s="9" t="str" cm="1">
        <f t="array" aca="1" ref="T18" ca="1">_xlfn.IFNA(INDEX(jkm_call_put!$H:$H,MATCH($B18&amp;T$2&amp;$A$1,jkm_call_put!$G:$G&amp;jkm_call_put!$O:$O&amp;jkm_call_put!$F:$F,0),1),"")</f>
        <v/>
      </c>
      <c r="U18" s="9" t="str" cm="1">
        <f t="array" aca="1" ref="U18" ca="1">_xlfn.IFNA(INDEX(jkm_call_put!$H:$H,MATCH($B18&amp;U$2&amp;$A$1,jkm_call_put!$G:$G&amp;jkm_call_put!$O:$O&amp;jkm_call_put!$F:$F,0),1),"")</f>
        <v/>
      </c>
      <c r="V18" s="9" t="str" cm="1">
        <f t="array" aca="1" ref="V18" ca="1">_xlfn.IFNA(INDEX(jkm_call_put!$H:$H,MATCH($B18&amp;V$2&amp;$A$1,jkm_call_put!$G:$G&amp;jkm_call_put!$O:$O&amp;jkm_call_put!$F:$F,0),1),"")</f>
        <v/>
      </c>
      <c r="W18" s="9" cm="1">
        <f t="array" aca="1" ref="W18" ca="1">_xlfn.IFNA(INDEX(jkm_call_put!$H:$H,MATCH($B18&amp;W$2&amp;$A$1,jkm_call_put!$G:$G&amp;jkm_call_put!$O:$O&amp;jkm_call_put!$F:$F,0),1),"")</f>
        <v>2.61</v>
      </c>
      <c r="X18" s="9" cm="1">
        <f t="array" aca="1" ref="X18" ca="1">_xlfn.IFNA(INDEX(jkm_call_put!$H:$H,MATCH($B18&amp;X$2&amp;$A$1,jkm_call_put!$G:$G&amp;jkm_call_put!$O:$O&amp;jkm_call_put!$F:$F,0),1),"")</f>
        <v>2.661</v>
      </c>
      <c r="Y18" s="9" cm="1">
        <f t="array" aca="1" ref="Y18" ca="1">_xlfn.IFNA(INDEX(jkm_call_put!$H:$H,MATCH($B18&amp;Y$2&amp;$A$1,jkm_call_put!$G:$G&amp;jkm_call_put!$O:$O&amp;jkm_call_put!$F:$F,0),1),"")</f>
        <v>2.9460000000000002</v>
      </c>
      <c r="Z18" s="9" cm="1">
        <f t="array" aca="1" ref="Z18" ca="1">_xlfn.IFNA(INDEX(jkm_call_put!$H:$H,MATCH($B18&amp;Z$2&amp;$A$1,jkm_call_put!$G:$G&amp;jkm_call_put!$O:$O&amp;jkm_call_put!$F:$F,0),1),"")</f>
        <v>4.2549999999999999</v>
      </c>
      <c r="AA18" s="9" cm="1">
        <f t="array" aca="1" ref="AA18" ca="1">_xlfn.IFNA(INDEX(jkm_call_put!$H:$H,MATCH($B18&amp;AA$2&amp;$A$1,jkm_call_put!$G:$G&amp;jkm_call_put!$O:$O&amp;jkm_call_put!$F:$F,0),1),"")</f>
        <v>4.4809999999999999</v>
      </c>
      <c r="AB18" s="9" cm="1">
        <f t="array" aca="1" ref="AB18" ca="1">_xlfn.IFNA(INDEX(jkm_call_put!$H:$H,MATCH($B18&amp;AB$2&amp;$A$1,jkm_call_put!$G:$G&amp;jkm_call_put!$O:$O&amp;jkm_call_put!$F:$F,0),1),"")</f>
        <v>4.5759999999999996</v>
      </c>
      <c r="AC18" s="9" cm="1">
        <f t="array" aca="1" ref="AC18" ca="1">_xlfn.IFNA(INDEX(jkm_call_put!$H:$H,MATCH($B18&amp;AC$2&amp;$A$1,jkm_call_put!$G:$G&amp;jkm_call_put!$O:$O&amp;jkm_call_put!$F:$F,0),1),"")</f>
        <v>4.577</v>
      </c>
      <c r="AD18" s="9" cm="1">
        <f t="array" aca="1" ref="AD18" ca="1">_xlfn.IFNA(INDEX(jkm_call_put!$H:$H,MATCH($B18&amp;AD$2&amp;$A$1,jkm_call_put!$G:$G&amp;jkm_call_put!$O:$O&amp;jkm_call_put!$F:$F,0),1),"")</f>
        <v>4.5990000000000002</v>
      </c>
      <c r="AE18" s="9" cm="1">
        <f t="array" aca="1" ref="AE18" ca="1">_xlfn.IFNA(INDEX(jkm_call_put!$H:$H,MATCH($B18&amp;AE$2&amp;$A$1,jkm_call_put!$G:$G&amp;jkm_call_put!$O:$O&amp;jkm_call_put!$F:$F,0),1),"")</f>
        <v>4.585</v>
      </c>
      <c r="AF18" s="9" cm="1">
        <f t="array" aca="1" ref="AF18" ca="1">_xlfn.IFNA(INDEX(jkm_call_put!$H:$H,MATCH($B18&amp;AF$2&amp;$A$1,jkm_call_put!$G:$G&amp;jkm_call_put!$O:$O&amp;jkm_call_put!$F:$F,0),1),"")</f>
        <v>4.8239999999999998</v>
      </c>
      <c r="AG18" s="9" cm="1">
        <f t="array" aca="1" ref="AG18" ca="1">_xlfn.IFNA(INDEX(jkm_call_put!$H:$H,MATCH($B18&amp;AG$2&amp;$A$1,jkm_call_put!$G:$G&amp;jkm_call_put!$O:$O&amp;jkm_call_put!$F:$F,0),1),"")</f>
        <v>4.7560000000000002</v>
      </c>
      <c r="AH18" s="9" cm="1">
        <f t="array" aca="1" ref="AH18" ca="1">_xlfn.IFNA(INDEX(jkm_call_put!$H:$H,MATCH($B18&amp;AH$2&amp;$A$1,jkm_call_put!$G:$G&amp;jkm_call_put!$O:$O&amp;jkm_call_put!$F:$F,0),1),"")</f>
        <v>4.7149999999999999</v>
      </c>
      <c r="AI18" s="9" t="str" cm="1">
        <f t="array" aca="1" ref="AI18" ca="1">_xlfn.IFNA(INDEX(jkm_call_put!$H:$H,MATCH($B18&amp;AI$2&amp;$A$1,jkm_call_put!$G:$G&amp;jkm_call_put!$O:$O&amp;jkm_call_put!$F:$F,0),1),"")</f>
        <v/>
      </c>
      <c r="AJ18" s="9" t="str" cm="1">
        <f t="array" aca="1" ref="AJ18" ca="1">_xlfn.IFNA(INDEX(jkm_call_put!$H:$H,MATCH($B18&amp;AJ$2&amp;$A$1,jkm_call_put!$G:$G&amp;jkm_call_put!$O:$O&amp;jkm_call_put!$F:$F,0),1),"")</f>
        <v/>
      </c>
      <c r="AK18" s="9" t="str" cm="1">
        <f t="array" aca="1" ref="AK18" ca="1">_xlfn.IFNA(INDEX(jkm_call_put!$H:$H,MATCH($B18&amp;AK$2&amp;$A$1,jkm_call_put!$G:$G&amp;jkm_call_put!$O:$O&amp;jkm_call_put!$F:$F,0),1),"")</f>
        <v/>
      </c>
      <c r="AL18" s="9" t="str" cm="1">
        <f t="array" aca="1" ref="AL18" ca="1">_xlfn.IFNA(INDEX(jkm_call_put!$H:$H,MATCH($B18&amp;AL$2&amp;$A$1,jkm_call_put!$G:$G&amp;jkm_call_put!$O:$O&amp;jkm_call_put!$F:$F,0),1),"")</f>
        <v/>
      </c>
    </row>
    <row r="19" spans="1:38" ht="15" customHeight="1" x14ac:dyDescent="0.25">
      <c r="A19" s="11"/>
      <c r="B19" s="6">
        <v>15</v>
      </c>
      <c r="C19" s="9" cm="1">
        <f t="array" aca="1" ref="C19" ca="1">_xlfn.IFNA(INDEX(jkm_call_put!$H:$H,MATCH($B19&amp;C$2&amp;$A$1,jkm_call_put!$G:$G&amp;jkm_call_put!$O:$O&amp;jkm_call_put!$F:$F,0),1),"")</f>
        <v>1E-3</v>
      </c>
      <c r="D19" s="9" cm="1">
        <f t="array" aca="1" ref="D19" ca="1">_xlfn.IFNA(INDEX(jkm_call_put!$H:$H,MATCH($B19&amp;D$2&amp;$A$1,jkm_call_put!$G:$G&amp;jkm_call_put!$O:$O&amp;jkm_call_put!$F:$F,0),1),"")</f>
        <v>0.125</v>
      </c>
      <c r="E19" s="9" cm="1">
        <f t="array" aca="1" ref="E19" ca="1">_xlfn.IFNA(INDEX(jkm_call_put!$H:$H,MATCH($B19&amp;E$2&amp;$A$1,jkm_call_put!$G:$G&amp;jkm_call_put!$O:$O&amp;jkm_call_put!$F:$F,0),1),"")</f>
        <v>1.105</v>
      </c>
      <c r="F19" s="9" cm="1">
        <f t="array" aca="1" ref="F19" ca="1">_xlfn.IFNA(INDEX(jkm_call_put!$H:$H,MATCH($B19&amp;F$2&amp;$A$1,jkm_call_put!$G:$G&amp;jkm_call_put!$O:$O&amp;jkm_call_put!$F:$F,0),1),"")</f>
        <v>1.6180000000000001</v>
      </c>
      <c r="G19" s="9" cm="1">
        <f t="array" aca="1" ref="G19" ca="1">_xlfn.IFNA(INDEX(jkm_call_put!$H:$H,MATCH($B19&amp;G$2&amp;$A$1,jkm_call_put!$G:$G&amp;jkm_call_put!$O:$O&amp;jkm_call_put!$F:$F,0),1),"")</f>
        <v>2.0680000000000001</v>
      </c>
      <c r="H19" s="9" cm="1">
        <f t="array" aca="1" ref="H19" ca="1">_xlfn.IFNA(INDEX(jkm_call_put!$H:$H,MATCH($B19&amp;H$2&amp;$A$1,jkm_call_put!$G:$G&amp;jkm_call_put!$O:$O&amp;jkm_call_put!$F:$F,0),1),"")</f>
        <v>1.8129999999999999</v>
      </c>
      <c r="I19" s="9" cm="1">
        <f t="array" aca="1" ref="I19" ca="1">_xlfn.IFNA(INDEX(jkm_call_put!$H:$H,MATCH($B19&amp;I$2&amp;$A$1,jkm_call_put!$G:$G&amp;jkm_call_put!$O:$O&amp;jkm_call_put!$F:$F,0),1),"")</f>
        <v>2.0670000000000002</v>
      </c>
      <c r="J19" s="9" cm="1">
        <f t="array" aca="1" ref="J19" ca="1">_xlfn.IFNA(INDEX(jkm_call_put!$H:$H,MATCH($B19&amp;J$2&amp;$A$1,jkm_call_put!$G:$G&amp;jkm_call_put!$O:$O&amp;jkm_call_put!$F:$F,0),1),"")</f>
        <v>2.234</v>
      </c>
      <c r="K19" s="9" cm="1">
        <f t="array" aca="1" ref="K19" ca="1">_xlfn.IFNA(INDEX(jkm_call_put!$H:$H,MATCH($B19&amp;K$2&amp;$A$1,jkm_call_put!$G:$G&amp;jkm_call_put!$O:$O&amp;jkm_call_put!$F:$F,0),1),"")</f>
        <v>2.4670000000000001</v>
      </c>
      <c r="L19" s="9" cm="1">
        <f t="array" aca="1" ref="L19" ca="1">_xlfn.IFNA(INDEX(jkm_call_put!$H:$H,MATCH($B19&amp;L$2&amp;$A$1,jkm_call_put!$G:$G&amp;jkm_call_put!$O:$O&amp;jkm_call_put!$F:$F,0),1),"")</f>
        <v>2.76</v>
      </c>
      <c r="M19" s="9" cm="1">
        <f t="array" aca="1" ref="M19" ca="1">_xlfn.IFNA(INDEX(jkm_call_put!$H:$H,MATCH($B19&amp;M$2&amp;$A$1,jkm_call_put!$G:$G&amp;jkm_call_put!$O:$O&amp;jkm_call_put!$F:$F,0),1),"")</f>
        <v>3.3809999999999998</v>
      </c>
      <c r="N19" s="9" cm="1">
        <f t="array" aca="1" ref="N19" ca="1">_xlfn.IFNA(INDEX(jkm_call_put!$H:$H,MATCH($B19&amp;N$2&amp;$A$1,jkm_call_put!$G:$G&amp;jkm_call_put!$O:$O&amp;jkm_call_put!$F:$F,0),1),"")</f>
        <v>3.3050000000000002</v>
      </c>
      <c r="O19" s="9" cm="1">
        <f t="array" aca="1" ref="O19" ca="1">_xlfn.IFNA(INDEX(jkm_call_put!$H:$H,MATCH($B19&amp;O$2&amp;$A$1,jkm_call_put!$G:$G&amp;jkm_call_put!$O:$O&amp;jkm_call_put!$F:$F,0),1),"")</f>
        <v>3.9129999999999998</v>
      </c>
      <c r="P19" s="9" cm="1">
        <f t="array" aca="1" ref="P19" ca="1">_xlfn.IFNA(INDEX(jkm_call_put!$H:$H,MATCH($B19&amp;P$2&amp;$A$1,jkm_call_put!$G:$G&amp;jkm_call_put!$O:$O&amp;jkm_call_put!$F:$F,0),1),"")</f>
        <v>4.1970000000000001</v>
      </c>
      <c r="Q19" s="9" cm="1">
        <f t="array" aca="1" ref="Q19" ca="1">_xlfn.IFNA(INDEX(jkm_call_put!$H:$H,MATCH($B19&amp;Q$2&amp;$A$1,jkm_call_put!$G:$G&amp;jkm_call_put!$O:$O&amp;jkm_call_put!$F:$F,0),1),"")</f>
        <v>4.3010000000000002</v>
      </c>
      <c r="R19" s="9" cm="1">
        <f t="array" aca="1" ref="R19" ca="1">_xlfn.IFNA(INDEX(jkm_call_put!$H:$H,MATCH($B19&amp;R$2&amp;$A$1,jkm_call_put!$G:$G&amp;jkm_call_put!$O:$O&amp;jkm_call_put!$F:$F,0),1),"")</f>
        <v>4.2990000000000004</v>
      </c>
      <c r="S19" s="9" cm="1">
        <f t="array" aca="1" ref="S19" ca="1">_xlfn.IFNA(INDEX(jkm_call_put!$H:$H,MATCH($B19&amp;S$2&amp;$A$1,jkm_call_put!$G:$G&amp;jkm_call_put!$O:$O&amp;jkm_call_put!$F:$F,0),1),"")</f>
        <v>4.51</v>
      </c>
      <c r="T19" s="9" cm="1">
        <f t="array" aca="1" ref="T19" ca="1">_xlfn.IFNA(INDEX(jkm_call_put!$H:$H,MATCH($B19&amp;T$2&amp;$A$1,jkm_call_put!$G:$G&amp;jkm_call_put!$O:$O&amp;jkm_call_put!$F:$F,0),1),"")</f>
        <v>3.9039999999999999</v>
      </c>
      <c r="U19" s="9" cm="1">
        <f t="array" aca="1" ref="U19" ca="1">_xlfn.IFNA(INDEX(jkm_call_put!$H:$H,MATCH($B19&amp;U$2&amp;$A$1,jkm_call_put!$G:$G&amp;jkm_call_put!$O:$O&amp;jkm_call_put!$F:$F,0),1),"")</f>
        <v>3.8889999999999998</v>
      </c>
      <c r="V19" s="9" cm="1">
        <f t="array" aca="1" ref="V19" ca="1">_xlfn.IFNA(INDEX(jkm_call_put!$H:$H,MATCH($B19&amp;V$2&amp;$A$1,jkm_call_put!$G:$G&amp;jkm_call_put!$O:$O&amp;jkm_call_put!$F:$F,0),1),"")</f>
        <v>3.746</v>
      </c>
      <c r="W19" s="9" cm="1">
        <f t="array" aca="1" ref="W19" ca="1">_xlfn.IFNA(INDEX(jkm_call_put!$H:$H,MATCH($B19&amp;W$2&amp;$A$1,jkm_call_put!$G:$G&amp;jkm_call_put!$O:$O&amp;jkm_call_put!$F:$F,0),1),"")</f>
        <v>3.9780000000000002</v>
      </c>
      <c r="X19" s="9" cm="1">
        <f t="array" aca="1" ref="X19" ca="1">_xlfn.IFNA(INDEX(jkm_call_put!$H:$H,MATCH($B19&amp;X$2&amp;$A$1,jkm_call_put!$G:$G&amp;jkm_call_put!$O:$O&amp;jkm_call_put!$F:$F,0),1),"")</f>
        <v>4.0279999999999996</v>
      </c>
      <c r="Y19" s="9" cm="1">
        <f t="array" aca="1" ref="Y19" ca="1">_xlfn.IFNA(INDEX(jkm_call_put!$H:$H,MATCH($B19&amp;Y$2&amp;$A$1,jkm_call_put!$G:$G&amp;jkm_call_put!$O:$O&amp;jkm_call_put!$F:$F,0),1),"")</f>
        <v>4.3730000000000002</v>
      </c>
      <c r="Z19" s="9" cm="1">
        <f t="array" aca="1" ref="Z19" ca="1">_xlfn.IFNA(INDEX(jkm_call_put!$H:$H,MATCH($B19&amp;Z$2&amp;$A$1,jkm_call_put!$G:$G&amp;jkm_call_put!$O:$O&amp;jkm_call_put!$F:$F,0),1),"")</f>
        <v>6.01</v>
      </c>
      <c r="AA19" s="9" cm="1">
        <f t="array" aca="1" ref="AA19" ca="1">_xlfn.IFNA(INDEX(jkm_call_put!$H:$H,MATCH($B19&amp;AA$2&amp;$A$1,jkm_call_put!$G:$G&amp;jkm_call_put!$O:$O&amp;jkm_call_put!$F:$F,0),1),"")</f>
        <v>6.258</v>
      </c>
      <c r="AB19" s="9" cm="1">
        <f t="array" aca="1" ref="AB19" ca="1">_xlfn.IFNA(INDEX(jkm_call_put!$H:$H,MATCH($B19&amp;AB$2&amp;$A$1,jkm_call_put!$G:$G&amp;jkm_call_put!$O:$O&amp;jkm_call_put!$F:$F,0),1),"")</f>
        <v>6.3559999999999999</v>
      </c>
      <c r="AC19" s="9" cm="1">
        <f t="array" aca="1" ref="AC19" ca="1">_xlfn.IFNA(INDEX(jkm_call_put!$H:$H,MATCH($B19&amp;AC$2&amp;$A$1,jkm_call_put!$G:$G&amp;jkm_call_put!$O:$O&amp;jkm_call_put!$F:$F,0),1),"")</f>
        <v>6.3479999999999999</v>
      </c>
      <c r="AD19" s="9" cm="1">
        <f t="array" aca="1" ref="AD19" ca="1">_xlfn.IFNA(INDEX(jkm_call_put!$H:$H,MATCH($B19&amp;AD$2&amp;$A$1,jkm_call_put!$G:$G&amp;jkm_call_put!$O:$O&amp;jkm_call_put!$F:$F,0),1),"")</f>
        <v>6.3639999999999999</v>
      </c>
      <c r="AE19" s="9" cm="1">
        <f t="array" aca="1" ref="AE19" ca="1">_xlfn.IFNA(INDEX(jkm_call_put!$H:$H,MATCH($B19&amp;AE$2&amp;$A$1,jkm_call_put!$G:$G&amp;jkm_call_put!$O:$O&amp;jkm_call_put!$F:$F,0),1),"")</f>
        <v>6.34</v>
      </c>
      <c r="AF19" s="9" cm="1">
        <f t="array" aca="1" ref="AF19" ca="1">_xlfn.IFNA(INDEX(jkm_call_put!$H:$H,MATCH($B19&amp;AF$2&amp;$A$1,jkm_call_put!$G:$G&amp;jkm_call_put!$O:$O&amp;jkm_call_put!$F:$F,0),1),"")</f>
        <v>6.53</v>
      </c>
      <c r="AG19" s="9" cm="1">
        <f t="array" aca="1" ref="AG19" ca="1">_xlfn.IFNA(INDEX(jkm_call_put!$H:$H,MATCH($B19&amp;AG$2&amp;$A$1,jkm_call_put!$G:$G&amp;jkm_call_put!$O:$O&amp;jkm_call_put!$F:$F,0),1),"")</f>
        <v>6.4429999999999996</v>
      </c>
      <c r="AH19" s="9" cm="1">
        <f t="array" aca="1" ref="AH19" ca="1">_xlfn.IFNA(INDEX(jkm_call_put!$H:$H,MATCH($B19&amp;AH$2&amp;$A$1,jkm_call_put!$G:$G&amp;jkm_call_put!$O:$O&amp;jkm_call_put!$F:$F,0),1),"")</f>
        <v>6.3879999999999999</v>
      </c>
      <c r="AI19" s="9" cm="1">
        <f t="array" aca="1" ref="AI19" ca="1">_xlfn.IFNA(INDEX(jkm_call_put!$H:$H,MATCH($B19&amp;AI$2&amp;$A$1,jkm_call_put!$G:$G&amp;jkm_call_put!$O:$O&amp;jkm_call_put!$F:$F,0),1),"")</f>
        <v>6.3410000000000002</v>
      </c>
      <c r="AJ19" s="9" cm="1">
        <f t="array" aca="1" ref="AJ19" ca="1">_xlfn.IFNA(INDEX(jkm_call_put!$H:$H,MATCH($B19&amp;AJ$2&amp;$A$1,jkm_call_put!$G:$G&amp;jkm_call_put!$O:$O&amp;jkm_call_put!$F:$F,0),1),"")</f>
        <v>6.3479999999999999</v>
      </c>
      <c r="AK19" s="9" cm="1">
        <f t="array" aca="1" ref="AK19" ca="1">_xlfn.IFNA(INDEX(jkm_call_put!$H:$H,MATCH($B19&amp;AK$2&amp;$A$1,jkm_call_put!$G:$G&amp;jkm_call_put!$O:$O&amp;jkm_call_put!$F:$F,0),1),"")</f>
        <v>6.4249999999999998</v>
      </c>
      <c r="AL19" s="9" cm="1">
        <f t="array" aca="1" ref="AL19" ca="1">_xlfn.IFNA(INDEX(jkm_call_put!$H:$H,MATCH($B19&amp;AL$2&amp;$A$1,jkm_call_put!$G:$G&amp;jkm_call_put!$O:$O&amp;jkm_call_put!$F:$F,0),1),"")</f>
        <v>7.1459999999999999</v>
      </c>
    </row>
    <row r="20" spans="1:38" ht="15" customHeight="1" x14ac:dyDescent="0.25">
      <c r="A20" s="11"/>
      <c r="B20" s="6">
        <v>15.5</v>
      </c>
      <c r="C20" s="9" t="str" cm="1">
        <f t="array" aca="1" ref="C20" ca="1">_xlfn.IFNA(INDEX(jkm_call_put!$H:$H,MATCH($B20&amp;C$2&amp;$A$1,jkm_call_put!$G:$G&amp;jkm_call_put!$O:$O&amp;jkm_call_put!$F:$F,0),1),"")</f>
        <v/>
      </c>
      <c r="D20" s="9" t="str" cm="1">
        <f t="array" aca="1" ref="D20" ca="1">_xlfn.IFNA(INDEX(jkm_call_put!$H:$H,MATCH($B20&amp;D$2&amp;$A$1,jkm_call_put!$G:$G&amp;jkm_call_put!$O:$O&amp;jkm_call_put!$F:$F,0),1),"")</f>
        <v/>
      </c>
      <c r="E20" s="9" t="str" cm="1">
        <f t="array" aca="1" ref="E20" ca="1">_xlfn.IFNA(INDEX(jkm_call_put!$H:$H,MATCH($B20&amp;E$2&amp;$A$1,jkm_call_put!$G:$G&amp;jkm_call_put!$O:$O&amp;jkm_call_put!$F:$F,0),1),"")</f>
        <v/>
      </c>
      <c r="F20" s="9" t="str" cm="1">
        <f t="array" aca="1" ref="F20" ca="1">_xlfn.IFNA(INDEX(jkm_call_put!$H:$H,MATCH($B20&amp;F$2&amp;$A$1,jkm_call_put!$G:$G&amp;jkm_call_put!$O:$O&amp;jkm_call_put!$F:$F,0),1),"")</f>
        <v/>
      </c>
      <c r="G20" s="9" t="str" cm="1">
        <f t="array" aca="1" ref="G20" ca="1">_xlfn.IFNA(INDEX(jkm_call_put!$H:$H,MATCH($B20&amp;G$2&amp;$A$1,jkm_call_put!$G:$G&amp;jkm_call_put!$O:$O&amp;jkm_call_put!$F:$F,0),1),"")</f>
        <v/>
      </c>
      <c r="H20" s="9" t="str" cm="1">
        <f t="array" aca="1" ref="H20" ca="1">_xlfn.IFNA(INDEX(jkm_call_put!$H:$H,MATCH($B20&amp;H$2&amp;$A$1,jkm_call_put!$G:$G&amp;jkm_call_put!$O:$O&amp;jkm_call_put!$F:$F,0),1),"")</f>
        <v/>
      </c>
      <c r="I20" s="9" t="str" cm="1">
        <f t="array" aca="1" ref="I20" ca="1">_xlfn.IFNA(INDEX(jkm_call_put!$H:$H,MATCH($B20&amp;I$2&amp;$A$1,jkm_call_put!$G:$G&amp;jkm_call_put!$O:$O&amp;jkm_call_put!$F:$F,0),1),"")</f>
        <v/>
      </c>
      <c r="J20" s="9" t="str" cm="1">
        <f t="array" aca="1" ref="J20" ca="1">_xlfn.IFNA(INDEX(jkm_call_put!$H:$H,MATCH($B20&amp;J$2&amp;$A$1,jkm_call_put!$G:$G&amp;jkm_call_put!$O:$O&amp;jkm_call_put!$F:$F,0),1),"")</f>
        <v/>
      </c>
      <c r="K20" s="9" cm="1">
        <f t="array" aca="1" ref="K20" ca="1">_xlfn.IFNA(INDEX(jkm_call_put!$H:$H,MATCH($B20&amp;K$2&amp;$A$1,jkm_call_put!$G:$G&amp;jkm_call_put!$O:$O&amp;jkm_call_put!$F:$F,0),1),"")</f>
        <v>2.734</v>
      </c>
      <c r="L20" s="9" cm="1">
        <f t="array" aca="1" ref="L20" ca="1">_xlfn.IFNA(INDEX(jkm_call_put!$H:$H,MATCH($B20&amp;L$2&amp;$A$1,jkm_call_put!$G:$G&amp;jkm_call_put!$O:$O&amp;jkm_call_put!$F:$F,0),1),"")</f>
        <v>3.0390000000000001</v>
      </c>
      <c r="M20" s="9" cm="1">
        <f t="array" aca="1" ref="M20" ca="1">_xlfn.IFNA(INDEX(jkm_call_put!$H:$H,MATCH($B20&amp;M$2&amp;$A$1,jkm_call_put!$G:$G&amp;jkm_call_put!$O:$O&amp;jkm_call_put!$F:$F,0),1),"")</f>
        <v>3.6920000000000002</v>
      </c>
      <c r="N20" s="9" t="str" cm="1">
        <f t="array" aca="1" ref="N20" ca="1">_xlfn.IFNA(INDEX(jkm_call_put!$H:$H,MATCH($B20&amp;N$2&amp;$A$1,jkm_call_put!$G:$G&amp;jkm_call_put!$O:$O&amp;jkm_call_put!$F:$F,0),1),"")</f>
        <v/>
      </c>
      <c r="O20" s="9" t="str" cm="1">
        <f t="array" aca="1" ref="O20" ca="1">_xlfn.IFNA(INDEX(jkm_call_put!$H:$H,MATCH($B20&amp;O$2&amp;$A$1,jkm_call_put!$G:$G&amp;jkm_call_put!$O:$O&amp;jkm_call_put!$F:$F,0),1),"")</f>
        <v/>
      </c>
      <c r="P20" s="9" t="str" cm="1">
        <f t="array" aca="1" ref="P20" ca="1">_xlfn.IFNA(INDEX(jkm_call_put!$H:$H,MATCH($B20&amp;P$2&amp;$A$1,jkm_call_put!$G:$G&amp;jkm_call_put!$O:$O&amp;jkm_call_put!$F:$F,0),1),"")</f>
        <v/>
      </c>
      <c r="Q20" s="9" t="str" cm="1">
        <f t="array" aca="1" ref="Q20" ca="1">_xlfn.IFNA(INDEX(jkm_call_put!$H:$H,MATCH($B20&amp;Q$2&amp;$A$1,jkm_call_put!$G:$G&amp;jkm_call_put!$O:$O&amp;jkm_call_put!$F:$F,0),1),"")</f>
        <v/>
      </c>
      <c r="R20" s="9" t="str" cm="1">
        <f t="array" aca="1" ref="R20" ca="1">_xlfn.IFNA(INDEX(jkm_call_put!$H:$H,MATCH($B20&amp;R$2&amp;$A$1,jkm_call_put!$G:$G&amp;jkm_call_put!$O:$O&amp;jkm_call_put!$F:$F,0),1),"")</f>
        <v/>
      </c>
      <c r="S20" s="9" t="str" cm="1">
        <f t="array" aca="1" ref="S20" ca="1">_xlfn.IFNA(INDEX(jkm_call_put!$H:$H,MATCH($B20&amp;S$2&amp;$A$1,jkm_call_put!$G:$G&amp;jkm_call_put!$O:$O&amp;jkm_call_put!$F:$F,0),1),"")</f>
        <v/>
      </c>
      <c r="T20" s="9" t="str" cm="1">
        <f t="array" aca="1" ref="T20" ca="1">_xlfn.IFNA(INDEX(jkm_call_put!$H:$H,MATCH($B20&amp;T$2&amp;$A$1,jkm_call_put!$G:$G&amp;jkm_call_put!$O:$O&amp;jkm_call_put!$F:$F,0),1),"")</f>
        <v/>
      </c>
      <c r="U20" s="9" t="str" cm="1">
        <f t="array" aca="1" ref="U20" ca="1">_xlfn.IFNA(INDEX(jkm_call_put!$H:$H,MATCH($B20&amp;U$2&amp;$A$1,jkm_call_put!$G:$G&amp;jkm_call_put!$O:$O&amp;jkm_call_put!$F:$F,0),1),"")</f>
        <v/>
      </c>
      <c r="V20" s="9" t="str" cm="1">
        <f t="array" aca="1" ref="V20" ca="1">_xlfn.IFNA(INDEX(jkm_call_put!$H:$H,MATCH($B20&amp;V$2&amp;$A$1,jkm_call_put!$G:$G&amp;jkm_call_put!$O:$O&amp;jkm_call_put!$F:$F,0),1),"")</f>
        <v/>
      </c>
      <c r="W20" s="9" t="str" cm="1">
        <f t="array" aca="1" ref="W20" ca="1">_xlfn.IFNA(INDEX(jkm_call_put!$H:$H,MATCH($B20&amp;W$2&amp;$A$1,jkm_call_put!$G:$G&amp;jkm_call_put!$O:$O&amp;jkm_call_put!$F:$F,0),1),"")</f>
        <v/>
      </c>
      <c r="X20" s="9" t="str" cm="1">
        <f t="array" aca="1" ref="X20" ca="1">_xlfn.IFNA(INDEX(jkm_call_put!$H:$H,MATCH($B20&amp;X$2&amp;$A$1,jkm_call_put!$G:$G&amp;jkm_call_put!$O:$O&amp;jkm_call_put!$F:$F,0),1),"")</f>
        <v/>
      </c>
      <c r="Y20" s="9" t="str" cm="1">
        <f t="array" aca="1" ref="Y20" ca="1">_xlfn.IFNA(INDEX(jkm_call_put!$H:$H,MATCH($B20&amp;Y$2&amp;$A$1,jkm_call_put!$G:$G&amp;jkm_call_put!$O:$O&amp;jkm_call_put!$F:$F,0),1),"")</f>
        <v/>
      </c>
      <c r="Z20" s="9" t="str" cm="1">
        <f t="array" aca="1" ref="Z20" ca="1">_xlfn.IFNA(INDEX(jkm_call_put!$H:$H,MATCH($B20&amp;Z$2&amp;$A$1,jkm_call_put!$G:$G&amp;jkm_call_put!$O:$O&amp;jkm_call_put!$F:$F,0),1),"")</f>
        <v/>
      </c>
      <c r="AA20" s="9" t="str" cm="1">
        <f t="array" aca="1" ref="AA20" ca="1">_xlfn.IFNA(INDEX(jkm_call_put!$H:$H,MATCH($B20&amp;AA$2&amp;$A$1,jkm_call_put!$G:$G&amp;jkm_call_put!$O:$O&amp;jkm_call_put!$F:$F,0),1),"")</f>
        <v/>
      </c>
      <c r="AB20" s="9" t="str" cm="1">
        <f t="array" aca="1" ref="AB20" ca="1">_xlfn.IFNA(INDEX(jkm_call_put!$H:$H,MATCH($B20&amp;AB$2&amp;$A$1,jkm_call_put!$G:$G&amp;jkm_call_put!$O:$O&amp;jkm_call_put!$F:$F,0),1),"")</f>
        <v/>
      </c>
      <c r="AC20" s="9" t="str" cm="1">
        <f t="array" aca="1" ref="AC20" ca="1">_xlfn.IFNA(INDEX(jkm_call_put!$H:$H,MATCH($B20&amp;AC$2&amp;$A$1,jkm_call_put!$G:$G&amp;jkm_call_put!$O:$O&amp;jkm_call_put!$F:$F,0),1),"")</f>
        <v/>
      </c>
      <c r="AD20" s="9" t="str" cm="1">
        <f t="array" aca="1" ref="AD20" ca="1">_xlfn.IFNA(INDEX(jkm_call_put!$H:$H,MATCH($B20&amp;AD$2&amp;$A$1,jkm_call_put!$G:$G&amp;jkm_call_put!$O:$O&amp;jkm_call_put!$F:$F,0),1),"")</f>
        <v/>
      </c>
      <c r="AE20" s="9" t="str" cm="1">
        <f t="array" aca="1" ref="AE20" ca="1">_xlfn.IFNA(INDEX(jkm_call_put!$H:$H,MATCH($B20&amp;AE$2&amp;$A$1,jkm_call_put!$G:$G&amp;jkm_call_put!$O:$O&amp;jkm_call_put!$F:$F,0),1),"")</f>
        <v/>
      </c>
      <c r="AF20" s="9" t="str" cm="1">
        <f t="array" aca="1" ref="AF20" ca="1">_xlfn.IFNA(INDEX(jkm_call_put!$H:$H,MATCH($B20&amp;AF$2&amp;$A$1,jkm_call_put!$G:$G&amp;jkm_call_put!$O:$O&amp;jkm_call_put!$F:$F,0),1),"")</f>
        <v/>
      </c>
      <c r="AG20" s="9" t="str" cm="1">
        <f t="array" aca="1" ref="AG20" ca="1">_xlfn.IFNA(INDEX(jkm_call_put!$H:$H,MATCH($B20&amp;AG$2&amp;$A$1,jkm_call_put!$G:$G&amp;jkm_call_put!$O:$O&amp;jkm_call_put!$F:$F,0),1),"")</f>
        <v/>
      </c>
      <c r="AH20" s="9" t="str" cm="1">
        <f t="array" aca="1" ref="AH20" ca="1">_xlfn.IFNA(INDEX(jkm_call_put!$H:$H,MATCH($B20&amp;AH$2&amp;$A$1,jkm_call_put!$G:$G&amp;jkm_call_put!$O:$O&amp;jkm_call_put!$F:$F,0),1),"")</f>
        <v/>
      </c>
      <c r="AI20" s="9" t="str" cm="1">
        <f t="array" aca="1" ref="AI20" ca="1">_xlfn.IFNA(INDEX(jkm_call_put!$H:$H,MATCH($B20&amp;AI$2&amp;$A$1,jkm_call_put!$G:$G&amp;jkm_call_put!$O:$O&amp;jkm_call_put!$F:$F,0),1),"")</f>
        <v/>
      </c>
      <c r="AJ20" s="9" t="str" cm="1">
        <f t="array" aca="1" ref="AJ20" ca="1">_xlfn.IFNA(INDEX(jkm_call_put!$H:$H,MATCH($B20&amp;AJ$2&amp;$A$1,jkm_call_put!$G:$G&amp;jkm_call_put!$O:$O&amp;jkm_call_put!$F:$F,0),1),"")</f>
        <v/>
      </c>
      <c r="AK20" s="9" t="str" cm="1">
        <f t="array" aca="1" ref="AK20" ca="1">_xlfn.IFNA(INDEX(jkm_call_put!$H:$H,MATCH($B20&amp;AK$2&amp;$A$1,jkm_call_put!$G:$G&amp;jkm_call_put!$O:$O&amp;jkm_call_put!$F:$F,0),1),"")</f>
        <v/>
      </c>
      <c r="AL20" s="9" t="str" cm="1">
        <f t="array" aca="1" ref="AL20" ca="1">_xlfn.IFNA(INDEX(jkm_call_put!$H:$H,MATCH($B20&amp;AL$2&amp;$A$1,jkm_call_put!$G:$G&amp;jkm_call_put!$O:$O&amp;jkm_call_put!$F:$F,0),1),"")</f>
        <v/>
      </c>
    </row>
    <row r="21" spans="1:38" ht="15" customHeight="1" x14ac:dyDescent="0.25">
      <c r="A21" s="11"/>
      <c r="B21" s="6">
        <v>16.5</v>
      </c>
      <c r="C21" s="9" t="str" cm="1">
        <f t="array" aca="1" ref="C21" ca="1">_xlfn.IFNA(INDEX(jkm_call_put!$H:$H,MATCH($B21&amp;C$2&amp;$A$1,jkm_call_put!$G:$G&amp;jkm_call_put!$O:$O&amp;jkm_call_put!$F:$F,0),1),"")</f>
        <v/>
      </c>
      <c r="D21" s="9" t="str" cm="1">
        <f t="array" aca="1" ref="D21" ca="1">_xlfn.IFNA(INDEX(jkm_call_put!$H:$H,MATCH($B21&amp;D$2&amp;$A$1,jkm_call_put!$G:$G&amp;jkm_call_put!$O:$O&amp;jkm_call_put!$F:$F,0),1),"")</f>
        <v/>
      </c>
      <c r="E21" s="9" t="str" cm="1">
        <f t="array" aca="1" ref="E21" ca="1">_xlfn.IFNA(INDEX(jkm_call_put!$H:$H,MATCH($B21&amp;E$2&amp;$A$1,jkm_call_put!$G:$G&amp;jkm_call_put!$O:$O&amp;jkm_call_put!$F:$F,0),1),"")</f>
        <v/>
      </c>
      <c r="F21" s="9" t="str" cm="1">
        <f t="array" aca="1" ref="F21" ca="1">_xlfn.IFNA(INDEX(jkm_call_put!$H:$H,MATCH($B21&amp;F$2&amp;$A$1,jkm_call_put!$G:$G&amp;jkm_call_put!$O:$O&amp;jkm_call_put!$F:$F,0),1),"")</f>
        <v/>
      </c>
      <c r="G21" s="9" t="str" cm="1">
        <f t="array" aca="1" ref="G21" ca="1">_xlfn.IFNA(INDEX(jkm_call_put!$H:$H,MATCH($B21&amp;G$2&amp;$A$1,jkm_call_put!$G:$G&amp;jkm_call_put!$O:$O&amp;jkm_call_put!$F:$F,0),1),"")</f>
        <v/>
      </c>
      <c r="H21" s="9" cm="1">
        <f t="array" aca="1" ref="H21" ca="1">_xlfn.IFNA(INDEX(jkm_call_put!$H:$H,MATCH($B21&amp;H$2&amp;$A$1,jkm_call_put!$G:$G&amp;jkm_call_put!$O:$O&amp;jkm_call_put!$F:$F,0),1),"")</f>
        <v>2.589</v>
      </c>
      <c r="I21" s="9" cm="1">
        <f t="array" aca="1" ref="I21" ca="1">_xlfn.IFNA(INDEX(jkm_call_put!$H:$H,MATCH($B21&amp;I$2&amp;$A$1,jkm_call_put!$G:$G&amp;jkm_call_put!$O:$O&amp;jkm_call_put!$F:$F,0),1),"")</f>
        <v>2.871</v>
      </c>
      <c r="J21" s="9" cm="1">
        <f t="array" aca="1" ref="J21" ca="1">_xlfn.IFNA(INDEX(jkm_call_put!$H:$H,MATCH($B21&amp;J$2&amp;$A$1,jkm_call_put!$G:$G&amp;jkm_call_put!$O:$O&amp;jkm_call_put!$F:$F,0),1),"")</f>
        <v>3.048</v>
      </c>
      <c r="K21" s="9" t="str" cm="1">
        <f t="array" aca="1" ref="K21" ca="1">_xlfn.IFNA(INDEX(jkm_call_put!$H:$H,MATCH($B21&amp;K$2&amp;$A$1,jkm_call_put!$G:$G&amp;jkm_call_put!$O:$O&amp;jkm_call_put!$F:$F,0),1),"")</f>
        <v/>
      </c>
      <c r="L21" s="9" t="str" cm="1">
        <f t="array" aca="1" ref="L21" ca="1">_xlfn.IFNA(INDEX(jkm_call_put!$H:$H,MATCH($B21&amp;L$2&amp;$A$1,jkm_call_put!$G:$G&amp;jkm_call_put!$O:$O&amp;jkm_call_put!$F:$F,0),1),"")</f>
        <v/>
      </c>
      <c r="M21" s="9" t="str" cm="1">
        <f t="array" aca="1" ref="M21" ca="1">_xlfn.IFNA(INDEX(jkm_call_put!$H:$H,MATCH($B21&amp;M$2&amp;$A$1,jkm_call_put!$G:$G&amp;jkm_call_put!$O:$O&amp;jkm_call_put!$F:$F,0),1),"")</f>
        <v/>
      </c>
      <c r="N21" s="9" t="str" cm="1">
        <f t="array" aca="1" ref="N21" ca="1">_xlfn.IFNA(INDEX(jkm_call_put!$H:$H,MATCH($B21&amp;N$2&amp;$A$1,jkm_call_put!$G:$G&amp;jkm_call_put!$O:$O&amp;jkm_call_put!$F:$F,0),1),"")</f>
        <v/>
      </c>
      <c r="O21" s="9" t="str" cm="1">
        <f t="array" aca="1" ref="O21" ca="1">_xlfn.IFNA(INDEX(jkm_call_put!$H:$H,MATCH($B21&amp;O$2&amp;$A$1,jkm_call_put!$G:$G&amp;jkm_call_put!$O:$O&amp;jkm_call_put!$F:$F,0),1),"")</f>
        <v/>
      </c>
      <c r="P21" s="9" t="str" cm="1">
        <f t="array" aca="1" ref="P21" ca="1">_xlfn.IFNA(INDEX(jkm_call_put!$H:$H,MATCH($B21&amp;P$2&amp;$A$1,jkm_call_put!$G:$G&amp;jkm_call_put!$O:$O&amp;jkm_call_put!$F:$F,0),1),"")</f>
        <v/>
      </c>
      <c r="Q21" s="9" t="str" cm="1">
        <f t="array" aca="1" ref="Q21" ca="1">_xlfn.IFNA(INDEX(jkm_call_put!$H:$H,MATCH($B21&amp;Q$2&amp;$A$1,jkm_call_put!$G:$G&amp;jkm_call_put!$O:$O&amp;jkm_call_put!$F:$F,0),1),"")</f>
        <v/>
      </c>
      <c r="R21" s="9" t="str" cm="1">
        <f t="array" aca="1" ref="R21" ca="1">_xlfn.IFNA(INDEX(jkm_call_put!$H:$H,MATCH($B21&amp;R$2&amp;$A$1,jkm_call_put!$G:$G&amp;jkm_call_put!$O:$O&amp;jkm_call_put!$F:$F,0),1),"")</f>
        <v/>
      </c>
      <c r="S21" s="9" t="str" cm="1">
        <f t="array" aca="1" ref="S21" ca="1">_xlfn.IFNA(INDEX(jkm_call_put!$H:$H,MATCH($B21&amp;S$2&amp;$A$1,jkm_call_put!$G:$G&amp;jkm_call_put!$O:$O&amp;jkm_call_put!$F:$F,0),1),"")</f>
        <v/>
      </c>
      <c r="T21" s="9" t="str" cm="1">
        <f t="array" aca="1" ref="T21" ca="1">_xlfn.IFNA(INDEX(jkm_call_put!$H:$H,MATCH($B21&amp;T$2&amp;$A$1,jkm_call_put!$G:$G&amp;jkm_call_put!$O:$O&amp;jkm_call_put!$F:$F,0),1),"")</f>
        <v/>
      </c>
      <c r="U21" s="9" t="str" cm="1">
        <f t="array" aca="1" ref="U21" ca="1">_xlfn.IFNA(INDEX(jkm_call_put!$H:$H,MATCH($B21&amp;U$2&amp;$A$1,jkm_call_put!$G:$G&amp;jkm_call_put!$O:$O&amp;jkm_call_put!$F:$F,0),1),"")</f>
        <v/>
      </c>
      <c r="V21" s="9" t="str" cm="1">
        <f t="array" aca="1" ref="V21" ca="1">_xlfn.IFNA(INDEX(jkm_call_put!$H:$H,MATCH($B21&amp;V$2&amp;$A$1,jkm_call_put!$G:$G&amp;jkm_call_put!$O:$O&amp;jkm_call_put!$F:$F,0),1),"")</f>
        <v/>
      </c>
      <c r="W21" s="9" t="str" cm="1">
        <f t="array" aca="1" ref="W21" ca="1">_xlfn.IFNA(INDEX(jkm_call_put!$H:$H,MATCH($B21&amp;W$2&amp;$A$1,jkm_call_put!$G:$G&amp;jkm_call_put!$O:$O&amp;jkm_call_put!$F:$F,0),1),"")</f>
        <v/>
      </c>
      <c r="X21" s="9" t="str" cm="1">
        <f t="array" aca="1" ref="X21" ca="1">_xlfn.IFNA(INDEX(jkm_call_put!$H:$H,MATCH($B21&amp;X$2&amp;$A$1,jkm_call_put!$G:$G&amp;jkm_call_put!$O:$O&amp;jkm_call_put!$F:$F,0),1),"")</f>
        <v/>
      </c>
      <c r="Y21" s="9" t="str" cm="1">
        <f t="array" aca="1" ref="Y21" ca="1">_xlfn.IFNA(INDEX(jkm_call_put!$H:$H,MATCH($B21&amp;Y$2&amp;$A$1,jkm_call_put!$G:$G&amp;jkm_call_put!$O:$O&amp;jkm_call_put!$F:$F,0),1),"")</f>
        <v/>
      </c>
      <c r="Z21" s="9" t="str" cm="1">
        <f t="array" aca="1" ref="Z21" ca="1">_xlfn.IFNA(INDEX(jkm_call_put!$H:$H,MATCH($B21&amp;Z$2&amp;$A$1,jkm_call_put!$G:$G&amp;jkm_call_put!$O:$O&amp;jkm_call_put!$F:$F,0),1),"")</f>
        <v/>
      </c>
      <c r="AA21" s="9" t="str" cm="1">
        <f t="array" aca="1" ref="AA21" ca="1">_xlfn.IFNA(INDEX(jkm_call_put!$H:$H,MATCH($B21&amp;AA$2&amp;$A$1,jkm_call_put!$G:$G&amp;jkm_call_put!$O:$O&amp;jkm_call_put!$F:$F,0),1),"")</f>
        <v/>
      </c>
      <c r="AB21" s="9" t="str" cm="1">
        <f t="array" aca="1" ref="AB21" ca="1">_xlfn.IFNA(INDEX(jkm_call_put!$H:$H,MATCH($B21&amp;AB$2&amp;$A$1,jkm_call_put!$G:$G&amp;jkm_call_put!$O:$O&amp;jkm_call_put!$F:$F,0),1),"")</f>
        <v/>
      </c>
      <c r="AC21" s="9" t="str" cm="1">
        <f t="array" aca="1" ref="AC21" ca="1">_xlfn.IFNA(INDEX(jkm_call_put!$H:$H,MATCH($B21&amp;AC$2&amp;$A$1,jkm_call_put!$G:$G&amp;jkm_call_put!$O:$O&amp;jkm_call_put!$F:$F,0),1),"")</f>
        <v/>
      </c>
      <c r="AD21" s="9" t="str" cm="1">
        <f t="array" aca="1" ref="AD21" ca="1">_xlfn.IFNA(INDEX(jkm_call_put!$H:$H,MATCH($B21&amp;AD$2&amp;$A$1,jkm_call_put!$G:$G&amp;jkm_call_put!$O:$O&amp;jkm_call_put!$F:$F,0),1),"")</f>
        <v/>
      </c>
      <c r="AE21" s="9" t="str" cm="1">
        <f t="array" aca="1" ref="AE21" ca="1">_xlfn.IFNA(INDEX(jkm_call_put!$H:$H,MATCH($B21&amp;AE$2&amp;$A$1,jkm_call_put!$G:$G&amp;jkm_call_put!$O:$O&amp;jkm_call_put!$F:$F,0),1),"")</f>
        <v/>
      </c>
      <c r="AF21" s="9" t="str" cm="1">
        <f t="array" aca="1" ref="AF21" ca="1">_xlfn.IFNA(INDEX(jkm_call_put!$H:$H,MATCH($B21&amp;AF$2&amp;$A$1,jkm_call_put!$G:$G&amp;jkm_call_put!$O:$O&amp;jkm_call_put!$F:$F,0),1),"")</f>
        <v/>
      </c>
      <c r="AG21" s="9" t="str" cm="1">
        <f t="array" aca="1" ref="AG21" ca="1">_xlfn.IFNA(INDEX(jkm_call_put!$H:$H,MATCH($B21&amp;AG$2&amp;$A$1,jkm_call_put!$G:$G&amp;jkm_call_put!$O:$O&amp;jkm_call_put!$F:$F,0),1),"")</f>
        <v/>
      </c>
      <c r="AH21" s="9" t="str" cm="1">
        <f t="array" aca="1" ref="AH21" ca="1">_xlfn.IFNA(INDEX(jkm_call_put!$H:$H,MATCH($B21&amp;AH$2&amp;$A$1,jkm_call_put!$G:$G&amp;jkm_call_put!$O:$O&amp;jkm_call_put!$F:$F,0),1),"")</f>
        <v/>
      </c>
      <c r="AI21" s="9" t="str" cm="1">
        <f t="array" aca="1" ref="AI21" ca="1">_xlfn.IFNA(INDEX(jkm_call_put!$H:$H,MATCH($B21&amp;AI$2&amp;$A$1,jkm_call_put!$G:$G&amp;jkm_call_put!$O:$O&amp;jkm_call_put!$F:$F,0),1),"")</f>
        <v/>
      </c>
      <c r="AJ21" s="9" t="str" cm="1">
        <f t="array" aca="1" ref="AJ21" ca="1">_xlfn.IFNA(INDEX(jkm_call_put!$H:$H,MATCH($B21&amp;AJ$2&amp;$A$1,jkm_call_put!$G:$G&amp;jkm_call_put!$O:$O&amp;jkm_call_put!$F:$F,0),1),"")</f>
        <v/>
      </c>
      <c r="AK21" s="9" t="str" cm="1">
        <f t="array" aca="1" ref="AK21" ca="1">_xlfn.IFNA(INDEX(jkm_call_put!$H:$H,MATCH($B21&amp;AK$2&amp;$A$1,jkm_call_put!$G:$G&amp;jkm_call_put!$O:$O&amp;jkm_call_put!$F:$F,0),1),"")</f>
        <v/>
      </c>
      <c r="AL21" s="9" t="str" cm="1">
        <f t="array" aca="1" ref="AL21" ca="1">_xlfn.IFNA(INDEX(jkm_call_put!$H:$H,MATCH($B21&amp;AL$2&amp;$A$1,jkm_call_put!$G:$G&amp;jkm_call_put!$O:$O&amp;jkm_call_put!$F:$F,0),1),"")</f>
        <v/>
      </c>
    </row>
    <row r="22" spans="1:38" ht="15" customHeight="1" x14ac:dyDescent="0.25">
      <c r="A22" s="11"/>
      <c r="B22" s="6">
        <v>17</v>
      </c>
      <c r="C22" s="9" t="str" cm="1">
        <f t="array" aca="1" ref="C22" ca="1">_xlfn.IFNA(INDEX(jkm_call_put!$H:$H,MATCH($B22&amp;C$2&amp;$A$1,jkm_call_put!$G:$G&amp;jkm_call_put!$O:$O&amp;jkm_call_put!$F:$F,0),1),"")</f>
        <v/>
      </c>
      <c r="D22" s="9" t="str" cm="1">
        <f t="array" aca="1" ref="D22" ca="1">_xlfn.IFNA(INDEX(jkm_call_put!$H:$H,MATCH($B22&amp;D$2&amp;$A$1,jkm_call_put!$G:$G&amp;jkm_call_put!$O:$O&amp;jkm_call_put!$F:$F,0),1),"")</f>
        <v/>
      </c>
      <c r="E22" s="9" cm="1">
        <f t="array" aca="1" ref="E22" ca="1">_xlfn.IFNA(INDEX(jkm_call_put!$H:$H,MATCH($B22&amp;E$2&amp;$A$1,jkm_call_put!$G:$G&amp;jkm_call_put!$O:$O&amp;jkm_call_put!$F:$F,0),1),"")</f>
        <v>1.9430000000000001</v>
      </c>
      <c r="F22" s="9" cm="1">
        <f t="array" aca="1" ref="F22" ca="1">_xlfn.IFNA(INDEX(jkm_call_put!$H:$H,MATCH($B22&amp;F$2&amp;$A$1,jkm_call_put!$G:$G&amp;jkm_call_put!$O:$O&amp;jkm_call_put!$F:$F,0),1),"")</f>
        <v>2.5739999999999998</v>
      </c>
      <c r="G22" s="9" cm="1">
        <f t="array" aca="1" ref="G22" ca="1">_xlfn.IFNA(INDEX(jkm_call_put!$H:$H,MATCH($B22&amp;G$2&amp;$A$1,jkm_call_put!$G:$G&amp;jkm_call_put!$O:$O&amp;jkm_call_put!$F:$F,0),1),"")</f>
        <v>3.1030000000000002</v>
      </c>
      <c r="H22" s="9" t="str" cm="1">
        <f t="array" aca="1" ref="H22" ca="1">_xlfn.IFNA(INDEX(jkm_call_put!$H:$H,MATCH($B22&amp;H$2&amp;$A$1,jkm_call_put!$G:$G&amp;jkm_call_put!$O:$O&amp;jkm_call_put!$F:$F,0),1),"")</f>
        <v/>
      </c>
      <c r="I22" s="9" t="str" cm="1">
        <f t="array" aca="1" ref="I22" ca="1">_xlfn.IFNA(INDEX(jkm_call_put!$H:$H,MATCH($B22&amp;I$2&amp;$A$1,jkm_call_put!$G:$G&amp;jkm_call_put!$O:$O&amp;jkm_call_put!$F:$F,0),1),"")</f>
        <v/>
      </c>
      <c r="J22" s="9" t="str" cm="1">
        <f t="array" aca="1" ref="J22" ca="1">_xlfn.IFNA(INDEX(jkm_call_put!$H:$H,MATCH($B22&amp;J$2&amp;$A$1,jkm_call_put!$G:$G&amp;jkm_call_put!$O:$O&amp;jkm_call_put!$F:$F,0),1),"")</f>
        <v/>
      </c>
      <c r="K22" s="9" t="str" cm="1">
        <f t="array" aca="1" ref="K22" ca="1">_xlfn.IFNA(INDEX(jkm_call_put!$H:$H,MATCH($B22&amp;K$2&amp;$A$1,jkm_call_put!$G:$G&amp;jkm_call_put!$O:$O&amp;jkm_call_put!$F:$F,0),1),"")</f>
        <v/>
      </c>
      <c r="L22" s="9" t="str" cm="1">
        <f t="array" aca="1" ref="L22" ca="1">_xlfn.IFNA(INDEX(jkm_call_put!$H:$H,MATCH($B22&amp;L$2&amp;$A$1,jkm_call_put!$G:$G&amp;jkm_call_put!$O:$O&amp;jkm_call_put!$F:$F,0),1),"")</f>
        <v/>
      </c>
      <c r="M22" s="9" t="str" cm="1">
        <f t="array" aca="1" ref="M22" ca="1">_xlfn.IFNA(INDEX(jkm_call_put!$H:$H,MATCH($B22&amp;M$2&amp;$A$1,jkm_call_put!$G:$G&amp;jkm_call_put!$O:$O&amp;jkm_call_put!$F:$F,0),1),"")</f>
        <v/>
      </c>
      <c r="N22" s="9" t="str" cm="1">
        <f t="array" aca="1" ref="N22" ca="1">_xlfn.IFNA(INDEX(jkm_call_put!$H:$H,MATCH($B22&amp;N$2&amp;$A$1,jkm_call_put!$G:$G&amp;jkm_call_put!$O:$O&amp;jkm_call_put!$F:$F,0),1),"")</f>
        <v/>
      </c>
      <c r="O22" s="9" t="str" cm="1">
        <f t="array" aca="1" ref="O22" ca="1">_xlfn.IFNA(INDEX(jkm_call_put!$H:$H,MATCH($B22&amp;O$2&amp;$A$1,jkm_call_put!$G:$G&amp;jkm_call_put!$O:$O&amp;jkm_call_put!$F:$F,0),1),"")</f>
        <v/>
      </c>
      <c r="P22" s="9" t="str" cm="1">
        <f t="array" aca="1" ref="P22" ca="1">_xlfn.IFNA(INDEX(jkm_call_put!$H:$H,MATCH($B22&amp;P$2&amp;$A$1,jkm_call_put!$G:$G&amp;jkm_call_put!$O:$O&amp;jkm_call_put!$F:$F,0),1),"")</f>
        <v/>
      </c>
      <c r="Q22" s="9" t="str" cm="1">
        <f t="array" aca="1" ref="Q22" ca="1">_xlfn.IFNA(INDEX(jkm_call_put!$H:$H,MATCH($B22&amp;Q$2&amp;$A$1,jkm_call_put!$G:$G&amp;jkm_call_put!$O:$O&amp;jkm_call_put!$F:$F,0),1),"")</f>
        <v/>
      </c>
      <c r="R22" s="9" t="str" cm="1">
        <f t="array" aca="1" ref="R22" ca="1">_xlfn.IFNA(INDEX(jkm_call_put!$H:$H,MATCH($B22&amp;R$2&amp;$A$1,jkm_call_put!$G:$G&amp;jkm_call_put!$O:$O&amp;jkm_call_put!$F:$F,0),1),"")</f>
        <v/>
      </c>
      <c r="S22" s="9" t="str" cm="1">
        <f t="array" aca="1" ref="S22" ca="1">_xlfn.IFNA(INDEX(jkm_call_put!$H:$H,MATCH($B22&amp;S$2&amp;$A$1,jkm_call_put!$G:$G&amp;jkm_call_put!$O:$O&amp;jkm_call_put!$F:$F,0),1),"")</f>
        <v/>
      </c>
      <c r="T22" s="9" t="str" cm="1">
        <f t="array" aca="1" ref="T22" ca="1">_xlfn.IFNA(INDEX(jkm_call_put!$H:$H,MATCH($B22&amp;T$2&amp;$A$1,jkm_call_put!$G:$G&amp;jkm_call_put!$O:$O&amp;jkm_call_put!$F:$F,0),1),"")</f>
        <v/>
      </c>
      <c r="U22" s="9" t="str" cm="1">
        <f t="array" aca="1" ref="U22" ca="1">_xlfn.IFNA(INDEX(jkm_call_put!$H:$H,MATCH($B22&amp;U$2&amp;$A$1,jkm_call_put!$G:$G&amp;jkm_call_put!$O:$O&amp;jkm_call_put!$F:$F,0),1),"")</f>
        <v/>
      </c>
      <c r="V22" s="9" t="str" cm="1">
        <f t="array" aca="1" ref="V22" ca="1">_xlfn.IFNA(INDEX(jkm_call_put!$H:$H,MATCH($B22&amp;V$2&amp;$A$1,jkm_call_put!$G:$G&amp;jkm_call_put!$O:$O&amp;jkm_call_put!$F:$F,0),1),"")</f>
        <v/>
      </c>
      <c r="W22" s="9" t="str" cm="1">
        <f t="array" aca="1" ref="W22" ca="1">_xlfn.IFNA(INDEX(jkm_call_put!$H:$H,MATCH($B22&amp;W$2&amp;$A$1,jkm_call_put!$G:$G&amp;jkm_call_put!$O:$O&amp;jkm_call_put!$F:$F,0),1),"")</f>
        <v/>
      </c>
      <c r="X22" s="9" t="str" cm="1">
        <f t="array" aca="1" ref="X22" ca="1">_xlfn.IFNA(INDEX(jkm_call_put!$H:$H,MATCH($B22&amp;X$2&amp;$A$1,jkm_call_put!$G:$G&amp;jkm_call_put!$O:$O&amp;jkm_call_put!$F:$F,0),1),"")</f>
        <v/>
      </c>
      <c r="Y22" s="9" t="str" cm="1">
        <f t="array" aca="1" ref="Y22" ca="1">_xlfn.IFNA(INDEX(jkm_call_put!$H:$H,MATCH($B22&amp;Y$2&amp;$A$1,jkm_call_put!$G:$G&amp;jkm_call_put!$O:$O&amp;jkm_call_put!$F:$F,0),1),"")</f>
        <v/>
      </c>
      <c r="Z22" s="9" t="str" cm="1">
        <f t="array" aca="1" ref="Z22" ca="1">_xlfn.IFNA(INDEX(jkm_call_put!$H:$H,MATCH($B22&amp;Z$2&amp;$A$1,jkm_call_put!$G:$G&amp;jkm_call_put!$O:$O&amp;jkm_call_put!$F:$F,0),1),"")</f>
        <v/>
      </c>
      <c r="AA22" s="9" t="str" cm="1">
        <f t="array" aca="1" ref="AA22" ca="1">_xlfn.IFNA(INDEX(jkm_call_put!$H:$H,MATCH($B22&amp;AA$2&amp;$A$1,jkm_call_put!$G:$G&amp;jkm_call_put!$O:$O&amp;jkm_call_put!$F:$F,0),1),"")</f>
        <v/>
      </c>
      <c r="AB22" s="9" t="str" cm="1">
        <f t="array" aca="1" ref="AB22" ca="1">_xlfn.IFNA(INDEX(jkm_call_put!$H:$H,MATCH($B22&amp;AB$2&amp;$A$1,jkm_call_put!$G:$G&amp;jkm_call_put!$O:$O&amp;jkm_call_put!$F:$F,0),1),"")</f>
        <v/>
      </c>
      <c r="AC22" s="9" t="str" cm="1">
        <f t="array" aca="1" ref="AC22" ca="1">_xlfn.IFNA(INDEX(jkm_call_put!$H:$H,MATCH($B22&amp;AC$2&amp;$A$1,jkm_call_put!$G:$G&amp;jkm_call_put!$O:$O&amp;jkm_call_put!$F:$F,0),1),"")</f>
        <v/>
      </c>
      <c r="AD22" s="9" t="str" cm="1">
        <f t="array" aca="1" ref="AD22" ca="1">_xlfn.IFNA(INDEX(jkm_call_put!$H:$H,MATCH($B22&amp;AD$2&amp;$A$1,jkm_call_put!$G:$G&amp;jkm_call_put!$O:$O&amp;jkm_call_put!$F:$F,0),1),"")</f>
        <v/>
      </c>
      <c r="AE22" s="9" t="str" cm="1">
        <f t="array" aca="1" ref="AE22" ca="1">_xlfn.IFNA(INDEX(jkm_call_put!$H:$H,MATCH($B22&amp;AE$2&amp;$A$1,jkm_call_put!$G:$G&amp;jkm_call_put!$O:$O&amp;jkm_call_put!$F:$F,0),1),"")</f>
        <v/>
      </c>
      <c r="AF22" s="9" t="str" cm="1">
        <f t="array" aca="1" ref="AF22" ca="1">_xlfn.IFNA(INDEX(jkm_call_put!$H:$H,MATCH($B22&amp;AF$2&amp;$A$1,jkm_call_put!$G:$G&amp;jkm_call_put!$O:$O&amp;jkm_call_put!$F:$F,0),1),"")</f>
        <v/>
      </c>
      <c r="AG22" s="9" t="str" cm="1">
        <f t="array" aca="1" ref="AG22" ca="1">_xlfn.IFNA(INDEX(jkm_call_put!$H:$H,MATCH($B22&amp;AG$2&amp;$A$1,jkm_call_put!$G:$G&amp;jkm_call_put!$O:$O&amp;jkm_call_put!$F:$F,0),1),"")</f>
        <v/>
      </c>
      <c r="AH22" s="9" t="str" cm="1">
        <f t="array" aca="1" ref="AH22" ca="1">_xlfn.IFNA(INDEX(jkm_call_put!$H:$H,MATCH($B22&amp;AH$2&amp;$A$1,jkm_call_put!$G:$G&amp;jkm_call_put!$O:$O&amp;jkm_call_put!$F:$F,0),1),"")</f>
        <v/>
      </c>
      <c r="AI22" s="9" t="str" cm="1">
        <f t="array" aca="1" ref="AI22" ca="1">_xlfn.IFNA(INDEX(jkm_call_put!$H:$H,MATCH($B22&amp;AI$2&amp;$A$1,jkm_call_put!$G:$G&amp;jkm_call_put!$O:$O&amp;jkm_call_put!$F:$F,0),1),"")</f>
        <v/>
      </c>
      <c r="AJ22" s="9" t="str" cm="1">
        <f t="array" aca="1" ref="AJ22" ca="1">_xlfn.IFNA(INDEX(jkm_call_put!$H:$H,MATCH($B22&amp;AJ$2&amp;$A$1,jkm_call_put!$G:$G&amp;jkm_call_put!$O:$O&amp;jkm_call_put!$F:$F,0),1),"")</f>
        <v/>
      </c>
      <c r="AK22" s="9" t="str" cm="1">
        <f t="array" aca="1" ref="AK22" ca="1">_xlfn.IFNA(INDEX(jkm_call_put!$H:$H,MATCH($B22&amp;AK$2&amp;$A$1,jkm_call_put!$G:$G&amp;jkm_call_put!$O:$O&amp;jkm_call_put!$F:$F,0),1),"")</f>
        <v/>
      </c>
      <c r="AL22" s="9" t="str" cm="1">
        <f t="array" aca="1" ref="AL22" ca="1">_xlfn.IFNA(INDEX(jkm_call_put!$H:$H,MATCH($B22&amp;AL$2&amp;$A$1,jkm_call_put!$G:$G&amp;jkm_call_put!$O:$O&amp;jkm_call_put!$F:$F,0),1),"")</f>
        <v/>
      </c>
    </row>
    <row r="23" spans="1:38" ht="15" customHeight="1" x14ac:dyDescent="0.25">
      <c r="A23" s="11"/>
      <c r="B23" s="6">
        <v>20</v>
      </c>
      <c r="C23" s="9" cm="1">
        <f t="array" aca="1" ref="C23" ca="1">_xlfn.IFNA(INDEX(jkm_call_put!$H:$H,MATCH($B23&amp;C$2&amp;$A$1,jkm_call_put!$G:$G&amp;jkm_call_put!$O:$O&amp;jkm_call_put!$F:$F,0),1),"")</f>
        <v>1.0169999999999999</v>
      </c>
      <c r="D23" s="9" cm="1">
        <f t="array" aca="1" ref="D23" ca="1">_xlfn.IFNA(INDEX(jkm_call_put!$H:$H,MATCH($B23&amp;D$2&amp;$A$1,jkm_call_put!$G:$G&amp;jkm_call_put!$O:$O&amp;jkm_call_put!$F:$F,0),1),"")</f>
        <v>1.9490000000000001</v>
      </c>
      <c r="E23" s="9" cm="1">
        <f t="array" aca="1" ref="E23" ca="1">_xlfn.IFNA(INDEX(jkm_call_put!$H:$H,MATCH($B23&amp;E$2&amp;$A$1,jkm_call_put!$G:$G&amp;jkm_call_put!$O:$O&amp;jkm_call_put!$F:$F,0),1),"")</f>
        <v>3.6640000000000001</v>
      </c>
      <c r="F23" s="9" cm="1">
        <f t="array" aca="1" ref="F23" ca="1">_xlfn.IFNA(INDEX(jkm_call_put!$H:$H,MATCH($B23&amp;F$2&amp;$A$1,jkm_call_put!$G:$G&amp;jkm_call_put!$O:$O&amp;jkm_call_put!$F:$F,0),1),"")</f>
        <v>4.4009999999999998</v>
      </c>
      <c r="G23" s="9" cm="1">
        <f t="array" aca="1" ref="G23" ca="1">_xlfn.IFNA(INDEX(jkm_call_put!$H:$H,MATCH($B23&amp;G$2&amp;$A$1,jkm_call_put!$G:$G&amp;jkm_call_put!$O:$O&amp;jkm_call_put!$F:$F,0),1),"")</f>
        <v>5.0170000000000003</v>
      </c>
      <c r="H23" s="9" cm="1">
        <f t="array" aca="1" ref="H23" ca="1">_xlfn.IFNA(INDEX(jkm_call_put!$H:$H,MATCH($B23&amp;H$2&amp;$A$1,jkm_call_put!$G:$G&amp;jkm_call_put!$O:$O&amp;jkm_call_put!$F:$F,0),1),"")</f>
        <v>4.8499999999999996</v>
      </c>
      <c r="I23" s="9" cm="1">
        <f t="array" aca="1" ref="I23" ca="1">_xlfn.IFNA(INDEX(jkm_call_put!$H:$H,MATCH($B23&amp;I$2&amp;$A$1,jkm_call_put!$G:$G&amp;jkm_call_put!$O:$O&amp;jkm_call_put!$F:$F,0),1),"")</f>
        <v>5.1580000000000004</v>
      </c>
      <c r="J23" s="9" cm="1">
        <f t="array" aca="1" ref="J23" ca="1">_xlfn.IFNA(INDEX(jkm_call_put!$H:$H,MATCH($B23&amp;J$2&amp;$A$1,jkm_call_put!$G:$G&amp;jkm_call_put!$O:$O&amp;jkm_call_put!$F:$F,0),1),"")</f>
        <v>5.33</v>
      </c>
      <c r="K23" s="9" cm="1">
        <f t="array" aca="1" ref="K23" ca="1">_xlfn.IFNA(INDEX(jkm_call_put!$H:$H,MATCH($B23&amp;K$2&amp;$A$1,jkm_call_put!$G:$G&amp;jkm_call_put!$O:$O&amp;jkm_call_put!$F:$F,0),1),"")</f>
        <v>5.62</v>
      </c>
      <c r="L23" s="9" cm="1">
        <f t="array" aca="1" ref="L23" ca="1">_xlfn.IFNA(INDEX(jkm_call_put!$H:$H,MATCH($B23&amp;L$2&amp;$A$1,jkm_call_put!$G:$G&amp;jkm_call_put!$O:$O&amp;jkm_call_put!$F:$F,0),1),"")</f>
        <v>6.0060000000000002</v>
      </c>
      <c r="M23" s="9" cm="1">
        <f t="array" aca="1" ref="M23" ca="1">_xlfn.IFNA(INDEX(jkm_call_put!$H:$H,MATCH($B23&amp;M$2&amp;$A$1,jkm_call_put!$G:$G&amp;jkm_call_put!$O:$O&amp;jkm_call_put!$F:$F,0),1),"")</f>
        <v>6.8890000000000002</v>
      </c>
      <c r="N23" s="9" cm="1">
        <f t="array" aca="1" ref="N23" ca="1">_xlfn.IFNA(INDEX(jkm_call_put!$H:$H,MATCH($B23&amp;N$2&amp;$A$1,jkm_call_put!$G:$G&amp;jkm_call_put!$O:$O&amp;jkm_call_put!$F:$F,0),1),"")</f>
        <v>7.109</v>
      </c>
      <c r="O23" s="9" cm="1">
        <f t="array" aca="1" ref="O23" ca="1">_xlfn.IFNA(INDEX(jkm_call_put!$H:$H,MATCH($B23&amp;O$2&amp;$A$1,jkm_call_put!$G:$G&amp;jkm_call_put!$O:$O&amp;jkm_call_put!$F:$F,0),1),"")</f>
        <v>7.9260000000000002</v>
      </c>
      <c r="P23" s="9" cm="1">
        <f t="array" aca="1" ref="P23" ca="1">_xlfn.IFNA(INDEX(jkm_call_put!$H:$H,MATCH($B23&amp;P$2&amp;$A$1,jkm_call_put!$G:$G&amp;jkm_call_put!$O:$O&amp;jkm_call_put!$F:$F,0),1),"")</f>
        <v>8.2620000000000005</v>
      </c>
      <c r="Q23" s="9" cm="1">
        <f t="array" aca="1" ref="Q23" ca="1">_xlfn.IFNA(INDEX(jkm_call_put!$H:$H,MATCH($B23&amp;Q$2&amp;$A$1,jkm_call_put!$G:$G&amp;jkm_call_put!$O:$O&amp;jkm_call_put!$F:$F,0),1),"")</f>
        <v>8.3550000000000004</v>
      </c>
      <c r="R23" s="9" cm="1">
        <f t="array" aca="1" ref="R23" ca="1">_xlfn.IFNA(INDEX(jkm_call_put!$H:$H,MATCH($B23&amp;R$2&amp;$A$1,jkm_call_put!$G:$G&amp;jkm_call_put!$O:$O&amp;jkm_call_put!$F:$F,0),1),"")</f>
        <v>8.3059999999999992</v>
      </c>
      <c r="S23" s="9" cm="1">
        <f t="array" aca="1" ref="S23" ca="1">_xlfn.IFNA(INDEX(jkm_call_put!$H:$H,MATCH($B23&amp;S$2&amp;$A$1,jkm_call_put!$G:$G&amp;jkm_call_put!$O:$O&amp;jkm_call_put!$F:$F,0),1),"")</f>
        <v>8.5510000000000002</v>
      </c>
      <c r="T23" s="9" cm="1">
        <f t="array" aca="1" ref="T23" ca="1">_xlfn.IFNA(INDEX(jkm_call_put!$H:$H,MATCH($B23&amp;T$2&amp;$A$1,jkm_call_put!$G:$G&amp;jkm_call_put!$O:$O&amp;jkm_call_put!$F:$F,0),1),"")</f>
        <v>8.1199999999999992</v>
      </c>
      <c r="U23" s="9" cm="1">
        <f t="array" aca="1" ref="U23" ca="1">_xlfn.IFNA(INDEX(jkm_call_put!$H:$H,MATCH($B23&amp;U$2&amp;$A$1,jkm_call_put!$G:$G&amp;jkm_call_put!$O:$O&amp;jkm_call_put!$F:$F,0),1),"")</f>
        <v>8.0649999999999995</v>
      </c>
      <c r="V23" s="9" cm="1">
        <f t="array" aca="1" ref="V23" ca="1">_xlfn.IFNA(INDEX(jkm_call_put!$H:$H,MATCH($B23&amp;V$2&amp;$A$1,jkm_call_put!$G:$G&amp;jkm_call_put!$O:$O&amp;jkm_call_put!$F:$F,0),1),"")</f>
        <v>7.8319999999999999</v>
      </c>
      <c r="W23" s="9" t="str" cm="1">
        <f t="array" aca="1" ref="W23" ca="1">_xlfn.IFNA(INDEX(jkm_call_put!$H:$H,MATCH($B23&amp;W$2&amp;$A$1,jkm_call_put!$G:$G&amp;jkm_call_put!$O:$O&amp;jkm_call_put!$F:$F,0),1),"")</f>
        <v/>
      </c>
      <c r="X23" s="9" t="str" cm="1">
        <f t="array" aca="1" ref="X23" ca="1">_xlfn.IFNA(INDEX(jkm_call_put!$H:$H,MATCH($B23&amp;X$2&amp;$A$1,jkm_call_put!$G:$G&amp;jkm_call_put!$O:$O&amp;jkm_call_put!$F:$F,0),1),"")</f>
        <v/>
      </c>
      <c r="Y23" s="9" t="str" cm="1">
        <f t="array" aca="1" ref="Y23" ca="1">_xlfn.IFNA(INDEX(jkm_call_put!$H:$H,MATCH($B23&amp;Y$2&amp;$A$1,jkm_call_put!$G:$G&amp;jkm_call_put!$O:$O&amp;jkm_call_put!$F:$F,0),1),"")</f>
        <v/>
      </c>
      <c r="Z23" s="9" t="str" cm="1">
        <f t="array" aca="1" ref="Z23" ca="1">_xlfn.IFNA(INDEX(jkm_call_put!$H:$H,MATCH($B23&amp;Z$2&amp;$A$1,jkm_call_put!$G:$G&amp;jkm_call_put!$O:$O&amp;jkm_call_put!$F:$F,0),1),"")</f>
        <v/>
      </c>
      <c r="AA23" s="9" t="str" cm="1">
        <f t="array" aca="1" ref="AA23" ca="1">_xlfn.IFNA(INDEX(jkm_call_put!$H:$H,MATCH($B23&amp;AA$2&amp;$A$1,jkm_call_put!$G:$G&amp;jkm_call_put!$O:$O&amp;jkm_call_put!$F:$F,0),1),"")</f>
        <v/>
      </c>
      <c r="AB23" s="9" t="str" cm="1">
        <f t="array" aca="1" ref="AB23" ca="1">_xlfn.IFNA(INDEX(jkm_call_put!$H:$H,MATCH($B23&amp;AB$2&amp;$A$1,jkm_call_put!$G:$G&amp;jkm_call_put!$O:$O&amp;jkm_call_put!$F:$F,0),1),"")</f>
        <v/>
      </c>
      <c r="AC23" s="9" t="str" cm="1">
        <f t="array" aca="1" ref="AC23" ca="1">_xlfn.IFNA(INDEX(jkm_call_put!$H:$H,MATCH($B23&amp;AC$2&amp;$A$1,jkm_call_put!$G:$G&amp;jkm_call_put!$O:$O&amp;jkm_call_put!$F:$F,0),1),"")</f>
        <v/>
      </c>
      <c r="AD23" s="9" t="str" cm="1">
        <f t="array" aca="1" ref="AD23" ca="1">_xlfn.IFNA(INDEX(jkm_call_put!$H:$H,MATCH($B23&amp;AD$2&amp;$A$1,jkm_call_put!$G:$G&amp;jkm_call_put!$O:$O&amp;jkm_call_put!$F:$F,0),1),"")</f>
        <v/>
      </c>
      <c r="AE23" s="9" t="str" cm="1">
        <f t="array" aca="1" ref="AE23" ca="1">_xlfn.IFNA(INDEX(jkm_call_put!$H:$H,MATCH($B23&amp;AE$2&amp;$A$1,jkm_call_put!$G:$G&amp;jkm_call_put!$O:$O&amp;jkm_call_put!$F:$F,0),1),"")</f>
        <v/>
      </c>
      <c r="AF23" s="9" t="str" cm="1">
        <f t="array" aca="1" ref="AF23" ca="1">_xlfn.IFNA(INDEX(jkm_call_put!$H:$H,MATCH($B23&amp;AF$2&amp;$A$1,jkm_call_put!$G:$G&amp;jkm_call_put!$O:$O&amp;jkm_call_put!$F:$F,0),1),"")</f>
        <v/>
      </c>
      <c r="AG23" s="9" t="str" cm="1">
        <f t="array" aca="1" ref="AG23" ca="1">_xlfn.IFNA(INDEX(jkm_call_put!$H:$H,MATCH($B23&amp;AG$2&amp;$A$1,jkm_call_put!$G:$G&amp;jkm_call_put!$O:$O&amp;jkm_call_put!$F:$F,0),1),"")</f>
        <v/>
      </c>
      <c r="AH23" s="9" t="str" cm="1">
        <f t="array" aca="1" ref="AH23" ca="1">_xlfn.IFNA(INDEX(jkm_call_put!$H:$H,MATCH($B23&amp;AH$2&amp;$A$1,jkm_call_put!$G:$G&amp;jkm_call_put!$O:$O&amp;jkm_call_put!$F:$F,0),1),"")</f>
        <v/>
      </c>
      <c r="AI23" s="9" t="str" cm="1">
        <f t="array" aca="1" ref="AI23" ca="1">_xlfn.IFNA(INDEX(jkm_call_put!$H:$H,MATCH($B23&amp;AI$2&amp;$A$1,jkm_call_put!$G:$G&amp;jkm_call_put!$O:$O&amp;jkm_call_put!$F:$F,0),1),"")</f>
        <v/>
      </c>
      <c r="AJ23" s="9" t="str" cm="1">
        <f t="array" aca="1" ref="AJ23" ca="1">_xlfn.IFNA(INDEX(jkm_call_put!$H:$H,MATCH($B23&amp;AJ$2&amp;$A$1,jkm_call_put!$G:$G&amp;jkm_call_put!$O:$O&amp;jkm_call_put!$F:$F,0),1),"")</f>
        <v/>
      </c>
      <c r="AK23" s="9" t="str" cm="1">
        <f t="array" aca="1" ref="AK23" ca="1">_xlfn.IFNA(INDEX(jkm_call_put!$H:$H,MATCH($B23&amp;AK$2&amp;$A$1,jkm_call_put!$G:$G&amp;jkm_call_put!$O:$O&amp;jkm_call_put!$F:$F,0),1),"")</f>
        <v/>
      </c>
      <c r="AL23" s="9" t="str" cm="1">
        <f t="array" aca="1" ref="AL23" ca="1">_xlfn.IFNA(INDEX(jkm_call_put!$H:$H,MATCH($B23&amp;AL$2&amp;$A$1,jkm_call_put!$G:$G&amp;jkm_call_put!$O:$O&amp;jkm_call_put!$F:$F,0),1),"")</f>
        <v/>
      </c>
    </row>
    <row r="24" spans="1:38" ht="15" customHeight="1" x14ac:dyDescent="0.25">
      <c r="A24" s="11"/>
      <c r="B24" s="6">
        <v>25</v>
      </c>
      <c r="C24" s="9" cm="1">
        <f t="array" aca="1" ref="C24" ca="1">_xlfn.IFNA(INDEX(jkm_call_put!$H:$H,MATCH($B24&amp;C$2&amp;$A$1,jkm_call_put!$G:$G&amp;jkm_call_put!$O:$O&amp;jkm_call_put!$F:$F,0),1),"")</f>
        <v>5.5869999999999997</v>
      </c>
      <c r="D24" s="9" cm="1">
        <f t="array" aca="1" ref="D24" ca="1">_xlfn.IFNA(INDEX(jkm_call_put!$H:$H,MATCH($B24&amp;D$2&amp;$A$1,jkm_call_put!$G:$G&amp;jkm_call_put!$O:$O&amp;jkm_call_put!$F:$F,0),1),"")</f>
        <v>6.2039999999999997</v>
      </c>
      <c r="E24" s="9" cm="1">
        <f t="array" aca="1" ref="E24" ca="1">_xlfn.IFNA(INDEX(jkm_call_put!$H:$H,MATCH($B24&amp;E$2&amp;$A$1,jkm_call_put!$G:$G&amp;jkm_call_put!$O:$O&amp;jkm_call_put!$F:$F,0),1),"")</f>
        <v>7.4569999999999999</v>
      </c>
      <c r="F24" s="9" cm="1">
        <f t="array" aca="1" ref="F24" ca="1">_xlfn.IFNA(INDEX(jkm_call_put!$H:$H,MATCH($B24&amp;F$2&amp;$A$1,jkm_call_put!$G:$G&amp;jkm_call_put!$O:$O&amp;jkm_call_put!$F:$F,0),1),"")</f>
        <v>8.2100000000000009</v>
      </c>
      <c r="G24" s="9" cm="1">
        <f t="array" aca="1" ref="G24" ca="1">_xlfn.IFNA(INDEX(jkm_call_put!$H:$H,MATCH($B24&amp;G$2&amp;$A$1,jkm_call_put!$G:$G&amp;jkm_call_put!$O:$O&amp;jkm_call_put!$F:$F,0),1),"")</f>
        <v>8.8699999999999992</v>
      </c>
      <c r="H24" s="9" cm="1">
        <f t="array" aca="1" ref="H24" ca="1">_xlfn.IFNA(INDEX(jkm_call_put!$H:$H,MATCH($B24&amp;H$2&amp;$A$1,jkm_call_put!$G:$G&amp;jkm_call_put!$O:$O&amp;jkm_call_put!$F:$F,0),1),"")</f>
        <v>8.7919999999999998</v>
      </c>
      <c r="I24" s="9" cm="1">
        <f t="array" aca="1" ref="I24" ca="1">_xlfn.IFNA(INDEX(jkm_call_put!$H:$H,MATCH($B24&amp;I$2&amp;$A$1,jkm_call_put!$G:$G&amp;jkm_call_put!$O:$O&amp;jkm_call_put!$F:$F,0),1),"")</f>
        <v>9.0730000000000004</v>
      </c>
      <c r="J24" s="9" cm="1">
        <f t="array" aca="1" ref="J24" ca="1">_xlfn.IFNA(INDEX(jkm_call_put!$H:$H,MATCH($B24&amp;J$2&amp;$A$1,jkm_call_put!$G:$G&amp;jkm_call_put!$O:$O&amp;jkm_call_put!$F:$F,0),1),"")</f>
        <v>9.1940000000000008</v>
      </c>
      <c r="K24" s="9" cm="1">
        <f t="array" aca="1" ref="K24" ca="1">_xlfn.IFNA(INDEX(jkm_call_put!$H:$H,MATCH($B24&amp;K$2&amp;$A$1,jkm_call_put!$G:$G&amp;jkm_call_put!$O:$O&amp;jkm_call_put!$F:$F,0),1),"")</f>
        <v>9.4819999999999993</v>
      </c>
      <c r="L24" s="9" t="str" cm="1">
        <f t="array" aca="1" ref="L24" ca="1">_xlfn.IFNA(INDEX(jkm_call_put!$H:$H,MATCH($B24&amp;L$2&amp;$A$1,jkm_call_put!$G:$G&amp;jkm_call_put!$O:$O&amp;jkm_call_put!$F:$F,0),1),"")</f>
        <v/>
      </c>
      <c r="M24" s="9" t="str" cm="1">
        <f t="array" aca="1" ref="M24" ca="1">_xlfn.IFNA(INDEX(jkm_call_put!$H:$H,MATCH($B24&amp;M$2&amp;$A$1,jkm_call_put!$G:$G&amp;jkm_call_put!$O:$O&amp;jkm_call_put!$F:$F,0),1),"")</f>
        <v/>
      </c>
      <c r="N24" s="9" t="str" cm="1">
        <f t="array" aca="1" ref="N24" ca="1">_xlfn.IFNA(INDEX(jkm_call_put!$H:$H,MATCH($B24&amp;N$2&amp;$A$1,jkm_call_put!$G:$G&amp;jkm_call_put!$O:$O&amp;jkm_call_put!$F:$F,0),1),"")</f>
        <v/>
      </c>
      <c r="O24" s="9" t="str" cm="1">
        <f t="array" aca="1" ref="O24" ca="1">_xlfn.IFNA(INDEX(jkm_call_put!$H:$H,MATCH($B24&amp;O$2&amp;$A$1,jkm_call_put!$G:$G&amp;jkm_call_put!$O:$O&amp;jkm_call_put!$F:$F,0),1),"")</f>
        <v/>
      </c>
      <c r="P24" s="9" t="str" cm="1">
        <f t="array" aca="1" ref="P24" ca="1">_xlfn.IFNA(INDEX(jkm_call_put!$H:$H,MATCH($B24&amp;P$2&amp;$A$1,jkm_call_put!$G:$G&amp;jkm_call_put!$O:$O&amp;jkm_call_put!$F:$F,0),1),"")</f>
        <v/>
      </c>
      <c r="Q24" s="9" t="str" cm="1">
        <f t="array" aca="1" ref="Q24" ca="1">_xlfn.IFNA(INDEX(jkm_call_put!$H:$H,MATCH($B24&amp;Q$2&amp;$A$1,jkm_call_put!$G:$G&amp;jkm_call_put!$O:$O&amp;jkm_call_put!$F:$F,0),1),"")</f>
        <v/>
      </c>
      <c r="R24" s="9" t="str" cm="1">
        <f t="array" aca="1" ref="R24" ca="1">_xlfn.IFNA(INDEX(jkm_call_put!$H:$H,MATCH($B24&amp;R$2&amp;$A$1,jkm_call_put!$G:$G&amp;jkm_call_put!$O:$O&amp;jkm_call_put!$F:$F,0),1),"")</f>
        <v/>
      </c>
      <c r="S24" s="9" t="str" cm="1">
        <f t="array" aca="1" ref="S24" ca="1">_xlfn.IFNA(INDEX(jkm_call_put!$H:$H,MATCH($B24&amp;S$2&amp;$A$1,jkm_call_put!$G:$G&amp;jkm_call_put!$O:$O&amp;jkm_call_put!$F:$F,0),1),"")</f>
        <v/>
      </c>
      <c r="T24" s="9" t="str" cm="1">
        <f t="array" aca="1" ref="T24" ca="1">_xlfn.IFNA(INDEX(jkm_call_put!$H:$H,MATCH($B24&amp;T$2&amp;$A$1,jkm_call_put!$G:$G&amp;jkm_call_put!$O:$O&amp;jkm_call_put!$F:$F,0),1),"")</f>
        <v/>
      </c>
      <c r="U24" s="9" t="str" cm="1">
        <f t="array" aca="1" ref="U24" ca="1">_xlfn.IFNA(INDEX(jkm_call_put!$H:$H,MATCH($B24&amp;U$2&amp;$A$1,jkm_call_put!$G:$G&amp;jkm_call_put!$O:$O&amp;jkm_call_put!$F:$F,0),1),"")</f>
        <v/>
      </c>
      <c r="V24" s="9" t="str" cm="1">
        <f t="array" aca="1" ref="V24" ca="1">_xlfn.IFNA(INDEX(jkm_call_put!$H:$H,MATCH($B24&amp;V$2&amp;$A$1,jkm_call_put!$G:$G&amp;jkm_call_put!$O:$O&amp;jkm_call_put!$F:$F,0),1),"")</f>
        <v/>
      </c>
      <c r="W24" s="9" t="str" cm="1">
        <f t="array" aca="1" ref="W24" ca="1">_xlfn.IFNA(INDEX(jkm_call_put!$H:$H,MATCH($B24&amp;W$2&amp;$A$1,jkm_call_put!$G:$G&amp;jkm_call_put!$O:$O&amp;jkm_call_put!$F:$F,0),1),"")</f>
        <v/>
      </c>
      <c r="X24" s="9" t="str" cm="1">
        <f t="array" aca="1" ref="X24" ca="1">_xlfn.IFNA(INDEX(jkm_call_put!$H:$H,MATCH($B24&amp;X$2&amp;$A$1,jkm_call_put!$G:$G&amp;jkm_call_put!$O:$O&amp;jkm_call_put!$F:$F,0),1),"")</f>
        <v/>
      </c>
      <c r="Y24" s="9" t="str" cm="1">
        <f t="array" aca="1" ref="Y24" ca="1">_xlfn.IFNA(INDEX(jkm_call_put!$H:$H,MATCH($B24&amp;Y$2&amp;$A$1,jkm_call_put!$G:$G&amp;jkm_call_put!$O:$O&amp;jkm_call_put!$F:$F,0),1),"")</f>
        <v/>
      </c>
      <c r="Z24" s="9" t="str" cm="1">
        <f t="array" aca="1" ref="Z24" ca="1">_xlfn.IFNA(INDEX(jkm_call_put!$H:$H,MATCH($B24&amp;Z$2&amp;$A$1,jkm_call_put!$G:$G&amp;jkm_call_put!$O:$O&amp;jkm_call_put!$F:$F,0),1),"")</f>
        <v/>
      </c>
      <c r="AA24" s="9" t="str" cm="1">
        <f t="array" aca="1" ref="AA24" ca="1">_xlfn.IFNA(INDEX(jkm_call_put!$H:$H,MATCH($B24&amp;AA$2&amp;$A$1,jkm_call_put!$G:$G&amp;jkm_call_put!$O:$O&amp;jkm_call_put!$F:$F,0),1),"")</f>
        <v/>
      </c>
      <c r="AB24" s="9" t="str" cm="1">
        <f t="array" aca="1" ref="AB24" ca="1">_xlfn.IFNA(INDEX(jkm_call_put!$H:$H,MATCH($B24&amp;AB$2&amp;$A$1,jkm_call_put!$G:$G&amp;jkm_call_put!$O:$O&amp;jkm_call_put!$F:$F,0),1),"")</f>
        <v/>
      </c>
      <c r="AC24" s="9" t="str" cm="1">
        <f t="array" aca="1" ref="AC24" ca="1">_xlfn.IFNA(INDEX(jkm_call_put!$H:$H,MATCH($B24&amp;AC$2&amp;$A$1,jkm_call_put!$G:$G&amp;jkm_call_put!$O:$O&amp;jkm_call_put!$F:$F,0),1),"")</f>
        <v/>
      </c>
      <c r="AD24" s="9" t="str" cm="1">
        <f t="array" aca="1" ref="AD24" ca="1">_xlfn.IFNA(INDEX(jkm_call_put!$H:$H,MATCH($B24&amp;AD$2&amp;$A$1,jkm_call_put!$G:$G&amp;jkm_call_put!$O:$O&amp;jkm_call_put!$F:$F,0),1),"")</f>
        <v/>
      </c>
      <c r="AE24" s="9" t="str" cm="1">
        <f t="array" aca="1" ref="AE24" ca="1">_xlfn.IFNA(INDEX(jkm_call_put!$H:$H,MATCH($B24&amp;AE$2&amp;$A$1,jkm_call_put!$G:$G&amp;jkm_call_put!$O:$O&amp;jkm_call_put!$F:$F,0),1),"")</f>
        <v/>
      </c>
      <c r="AF24" s="9" t="str" cm="1">
        <f t="array" aca="1" ref="AF24" ca="1">_xlfn.IFNA(INDEX(jkm_call_put!$H:$H,MATCH($B24&amp;AF$2&amp;$A$1,jkm_call_put!$G:$G&amp;jkm_call_put!$O:$O&amp;jkm_call_put!$F:$F,0),1),"")</f>
        <v/>
      </c>
      <c r="AG24" s="9" t="str" cm="1">
        <f t="array" aca="1" ref="AG24" ca="1">_xlfn.IFNA(INDEX(jkm_call_put!$H:$H,MATCH($B24&amp;AG$2&amp;$A$1,jkm_call_put!$G:$G&amp;jkm_call_put!$O:$O&amp;jkm_call_put!$F:$F,0),1),"")</f>
        <v/>
      </c>
      <c r="AH24" s="9" t="str" cm="1">
        <f t="array" aca="1" ref="AH24" ca="1">_xlfn.IFNA(INDEX(jkm_call_put!$H:$H,MATCH($B24&amp;AH$2&amp;$A$1,jkm_call_put!$G:$G&amp;jkm_call_put!$O:$O&amp;jkm_call_put!$F:$F,0),1),"")</f>
        <v/>
      </c>
      <c r="AI24" s="9" t="str" cm="1">
        <f t="array" aca="1" ref="AI24" ca="1">_xlfn.IFNA(INDEX(jkm_call_put!$H:$H,MATCH($B24&amp;AI$2&amp;$A$1,jkm_call_put!$G:$G&amp;jkm_call_put!$O:$O&amp;jkm_call_put!$F:$F,0),1),"")</f>
        <v/>
      </c>
      <c r="AJ24" s="9" t="str" cm="1">
        <f t="array" aca="1" ref="AJ24" ca="1">_xlfn.IFNA(INDEX(jkm_call_put!$H:$H,MATCH($B24&amp;AJ$2&amp;$A$1,jkm_call_put!$G:$G&amp;jkm_call_put!$O:$O&amp;jkm_call_put!$F:$F,0),1),"")</f>
        <v/>
      </c>
      <c r="AK24" s="9" t="str" cm="1">
        <f t="array" aca="1" ref="AK24" ca="1">_xlfn.IFNA(INDEX(jkm_call_put!$H:$H,MATCH($B24&amp;AK$2&amp;$A$1,jkm_call_put!$G:$G&amp;jkm_call_put!$O:$O&amp;jkm_call_put!$F:$F,0),1),"")</f>
        <v/>
      </c>
      <c r="AL24" s="9" t="str" cm="1">
        <f t="array" aca="1" ref="AL24" ca="1">_xlfn.IFNA(INDEX(jkm_call_put!$H:$H,MATCH($B24&amp;AL$2&amp;$A$1,jkm_call_put!$G:$G&amp;jkm_call_put!$O:$O&amp;jkm_call_put!$F:$F,0),1),"")</f>
        <v/>
      </c>
    </row>
    <row r="25" spans="1:38" ht="15" customHeight="1" x14ac:dyDescent="0.25">
      <c r="A25" s="11"/>
      <c r="B25" s="6">
        <v>0</v>
      </c>
      <c r="C25" s="9" t="str" cm="1">
        <f t="array" aca="1" ref="C25" ca="1">_xlfn.IFNA(INDEX(jkm_call_put!$H:$H,MATCH($B25&amp;C$2&amp;$A$1,jkm_call_put!$G:$G&amp;jkm_call_put!$O:$O&amp;jkm_call_put!$F:$F,0),1),"")</f>
        <v/>
      </c>
      <c r="D25" s="9" t="str" cm="1">
        <f t="array" aca="1" ref="D25" ca="1">_xlfn.IFNA(INDEX(jkm_call_put!$H:$H,MATCH($B25&amp;D$2&amp;$A$1,jkm_call_put!$G:$G&amp;jkm_call_put!$O:$O&amp;jkm_call_put!$F:$F,0),1),"")</f>
        <v/>
      </c>
      <c r="E25" s="9" t="str" cm="1">
        <f t="array" aca="1" ref="E25" ca="1">_xlfn.IFNA(INDEX(jkm_call_put!$H:$H,MATCH($B25&amp;E$2&amp;$A$1,jkm_call_put!$G:$G&amp;jkm_call_put!$O:$O&amp;jkm_call_put!$F:$F,0),1),"")</f>
        <v/>
      </c>
      <c r="F25" s="9" t="str" cm="1">
        <f t="array" aca="1" ref="F25" ca="1">_xlfn.IFNA(INDEX(jkm_call_put!$H:$H,MATCH($B25&amp;F$2&amp;$A$1,jkm_call_put!$G:$G&amp;jkm_call_put!$O:$O&amp;jkm_call_put!$F:$F,0),1),"")</f>
        <v/>
      </c>
      <c r="G25" s="9" t="str" cm="1">
        <f t="array" aca="1" ref="G25" ca="1">_xlfn.IFNA(INDEX(jkm_call_put!$H:$H,MATCH($B25&amp;G$2&amp;$A$1,jkm_call_put!$G:$G&amp;jkm_call_put!$O:$O&amp;jkm_call_put!$F:$F,0),1),"")</f>
        <v/>
      </c>
      <c r="H25" s="9" t="str" cm="1">
        <f t="array" aca="1" ref="H25" ca="1">_xlfn.IFNA(INDEX(jkm_call_put!$H:$H,MATCH($B25&amp;H$2&amp;$A$1,jkm_call_put!$G:$G&amp;jkm_call_put!$O:$O&amp;jkm_call_put!$F:$F,0),1),"")</f>
        <v/>
      </c>
      <c r="I25" s="9" t="str" cm="1">
        <f t="array" aca="1" ref="I25" ca="1">_xlfn.IFNA(INDEX(jkm_call_put!$H:$H,MATCH($B25&amp;I$2&amp;$A$1,jkm_call_put!$G:$G&amp;jkm_call_put!$O:$O&amp;jkm_call_put!$F:$F,0),1),"")</f>
        <v/>
      </c>
      <c r="J25" s="9" t="str" cm="1">
        <f t="array" aca="1" ref="J25" ca="1">_xlfn.IFNA(INDEX(jkm_call_put!$H:$H,MATCH($B25&amp;J$2&amp;$A$1,jkm_call_put!$G:$G&amp;jkm_call_put!$O:$O&amp;jkm_call_put!$F:$F,0),1),"")</f>
        <v/>
      </c>
      <c r="K25" s="9" t="str" cm="1">
        <f t="array" aca="1" ref="K25" ca="1">_xlfn.IFNA(INDEX(jkm_call_put!$H:$H,MATCH($B25&amp;K$2&amp;$A$1,jkm_call_put!$G:$G&amp;jkm_call_put!$O:$O&amp;jkm_call_put!$F:$F,0),1),"")</f>
        <v/>
      </c>
      <c r="L25" s="9" t="str" cm="1">
        <f t="array" aca="1" ref="L25" ca="1">_xlfn.IFNA(INDEX(jkm_call_put!$H:$H,MATCH($B25&amp;L$2&amp;$A$1,jkm_call_put!$G:$G&amp;jkm_call_put!$O:$O&amp;jkm_call_put!$F:$F,0),1),"")</f>
        <v/>
      </c>
      <c r="M25" s="9" t="str" cm="1">
        <f t="array" aca="1" ref="M25" ca="1">_xlfn.IFNA(INDEX(jkm_call_put!$H:$H,MATCH($B25&amp;M$2&amp;$A$1,jkm_call_put!$G:$G&amp;jkm_call_put!$O:$O&amp;jkm_call_put!$F:$F,0),1),"")</f>
        <v/>
      </c>
      <c r="N25" s="9" t="str" cm="1">
        <f t="array" aca="1" ref="N25" ca="1">_xlfn.IFNA(INDEX(jkm_call_put!$H:$H,MATCH($B25&amp;N$2&amp;$A$1,jkm_call_put!$G:$G&amp;jkm_call_put!$O:$O&amp;jkm_call_put!$F:$F,0),1),"")</f>
        <v/>
      </c>
      <c r="O25" s="9" t="str" cm="1">
        <f t="array" aca="1" ref="O25" ca="1">_xlfn.IFNA(INDEX(jkm_call_put!$H:$H,MATCH($B25&amp;O$2&amp;$A$1,jkm_call_put!$G:$G&amp;jkm_call_put!$O:$O&amp;jkm_call_put!$F:$F,0),1),"")</f>
        <v/>
      </c>
      <c r="P25" s="9" t="str" cm="1">
        <f t="array" aca="1" ref="P25" ca="1">_xlfn.IFNA(INDEX(jkm_call_put!$H:$H,MATCH($B25&amp;P$2&amp;$A$1,jkm_call_put!$G:$G&amp;jkm_call_put!$O:$O&amp;jkm_call_put!$F:$F,0),1),"")</f>
        <v/>
      </c>
      <c r="Q25" s="9" t="str" cm="1">
        <f t="array" aca="1" ref="Q25" ca="1">_xlfn.IFNA(INDEX(jkm_call_put!$H:$H,MATCH($B25&amp;Q$2&amp;$A$1,jkm_call_put!$G:$G&amp;jkm_call_put!$O:$O&amp;jkm_call_put!$F:$F,0),1),"")</f>
        <v/>
      </c>
      <c r="R25" s="9" t="str" cm="1">
        <f t="array" aca="1" ref="R25" ca="1">_xlfn.IFNA(INDEX(jkm_call_put!$H:$H,MATCH($B25&amp;R$2&amp;$A$1,jkm_call_put!$G:$G&amp;jkm_call_put!$O:$O&amp;jkm_call_put!$F:$F,0),1),"")</f>
        <v/>
      </c>
      <c r="S25" s="9" t="str" cm="1">
        <f t="array" aca="1" ref="S25" ca="1">_xlfn.IFNA(INDEX(jkm_call_put!$H:$H,MATCH($B25&amp;S$2&amp;$A$1,jkm_call_put!$G:$G&amp;jkm_call_put!$O:$O&amp;jkm_call_put!$F:$F,0),1),"")</f>
        <v/>
      </c>
      <c r="T25" s="9" t="str" cm="1">
        <f t="array" aca="1" ref="T25" ca="1">_xlfn.IFNA(INDEX(jkm_call_put!$H:$H,MATCH($B25&amp;T$2&amp;$A$1,jkm_call_put!$G:$G&amp;jkm_call_put!$O:$O&amp;jkm_call_put!$F:$F,0),1),"")</f>
        <v/>
      </c>
      <c r="U25" s="9" t="str" cm="1">
        <f t="array" aca="1" ref="U25" ca="1">_xlfn.IFNA(INDEX(jkm_call_put!$H:$H,MATCH($B25&amp;U$2&amp;$A$1,jkm_call_put!$G:$G&amp;jkm_call_put!$O:$O&amp;jkm_call_put!$F:$F,0),1),"")</f>
        <v/>
      </c>
      <c r="V25" s="9" t="str" cm="1">
        <f t="array" aca="1" ref="V25" ca="1">_xlfn.IFNA(INDEX(jkm_call_put!$H:$H,MATCH($B25&amp;V$2&amp;$A$1,jkm_call_put!$G:$G&amp;jkm_call_put!$O:$O&amp;jkm_call_put!$F:$F,0),1),"")</f>
        <v/>
      </c>
      <c r="W25" s="9" t="str" cm="1">
        <f t="array" aca="1" ref="W25" ca="1">_xlfn.IFNA(INDEX(jkm_call_put!$H:$H,MATCH($B25&amp;W$2&amp;$A$1,jkm_call_put!$G:$G&amp;jkm_call_put!$O:$O&amp;jkm_call_put!$F:$F,0),1),"")</f>
        <v/>
      </c>
      <c r="X25" s="9" t="str" cm="1">
        <f t="array" aca="1" ref="X25" ca="1">_xlfn.IFNA(INDEX(jkm_call_put!$H:$H,MATCH($B25&amp;X$2&amp;$A$1,jkm_call_put!$G:$G&amp;jkm_call_put!$O:$O&amp;jkm_call_put!$F:$F,0),1),"")</f>
        <v/>
      </c>
      <c r="Y25" s="9" t="str" cm="1">
        <f t="array" aca="1" ref="Y25" ca="1">_xlfn.IFNA(INDEX(jkm_call_put!$H:$H,MATCH($B25&amp;Y$2&amp;$A$1,jkm_call_put!$G:$G&amp;jkm_call_put!$O:$O&amp;jkm_call_put!$F:$F,0),1),"")</f>
        <v/>
      </c>
      <c r="Z25" s="9" t="str" cm="1">
        <f t="array" aca="1" ref="Z25" ca="1">_xlfn.IFNA(INDEX(jkm_call_put!$H:$H,MATCH($B25&amp;Z$2&amp;$A$1,jkm_call_put!$G:$G&amp;jkm_call_put!$O:$O&amp;jkm_call_put!$F:$F,0),1),"")</f>
        <v/>
      </c>
      <c r="AA25" s="9" t="str" cm="1">
        <f t="array" aca="1" ref="AA25" ca="1">_xlfn.IFNA(INDEX(jkm_call_put!$H:$H,MATCH($B25&amp;AA$2&amp;$A$1,jkm_call_put!$G:$G&amp;jkm_call_put!$O:$O&amp;jkm_call_put!$F:$F,0),1),"")</f>
        <v/>
      </c>
      <c r="AB25" s="9" t="str" cm="1">
        <f t="array" aca="1" ref="AB25" ca="1">_xlfn.IFNA(INDEX(jkm_call_put!$H:$H,MATCH($B25&amp;AB$2&amp;$A$1,jkm_call_put!$G:$G&amp;jkm_call_put!$O:$O&amp;jkm_call_put!$F:$F,0),1),"")</f>
        <v/>
      </c>
      <c r="AC25" s="9" t="str" cm="1">
        <f t="array" aca="1" ref="AC25" ca="1">_xlfn.IFNA(INDEX(jkm_call_put!$H:$H,MATCH($B25&amp;AC$2&amp;$A$1,jkm_call_put!$G:$G&amp;jkm_call_put!$O:$O&amp;jkm_call_put!$F:$F,0),1),"")</f>
        <v/>
      </c>
      <c r="AD25" s="9" t="str" cm="1">
        <f t="array" aca="1" ref="AD25" ca="1">_xlfn.IFNA(INDEX(jkm_call_put!$H:$H,MATCH($B25&amp;AD$2&amp;$A$1,jkm_call_put!$G:$G&amp;jkm_call_put!$O:$O&amp;jkm_call_put!$F:$F,0),1),"")</f>
        <v/>
      </c>
      <c r="AE25" s="9" t="str" cm="1">
        <f t="array" aca="1" ref="AE25" ca="1">_xlfn.IFNA(INDEX(jkm_call_put!$H:$H,MATCH($B25&amp;AE$2&amp;$A$1,jkm_call_put!$G:$G&amp;jkm_call_put!$O:$O&amp;jkm_call_put!$F:$F,0),1),"")</f>
        <v/>
      </c>
      <c r="AF25" s="9" t="str" cm="1">
        <f t="array" aca="1" ref="AF25" ca="1">_xlfn.IFNA(INDEX(jkm_call_put!$H:$H,MATCH($B25&amp;AF$2&amp;$A$1,jkm_call_put!$G:$G&amp;jkm_call_put!$O:$O&amp;jkm_call_put!$F:$F,0),1),"")</f>
        <v/>
      </c>
      <c r="AG25" s="9" t="str" cm="1">
        <f t="array" aca="1" ref="AG25" ca="1">_xlfn.IFNA(INDEX(jkm_call_put!$H:$H,MATCH($B25&amp;AG$2&amp;$A$1,jkm_call_put!$G:$G&amp;jkm_call_put!$O:$O&amp;jkm_call_put!$F:$F,0),1),"")</f>
        <v/>
      </c>
      <c r="AH25" s="9" t="str" cm="1">
        <f t="array" aca="1" ref="AH25" ca="1">_xlfn.IFNA(INDEX(jkm_call_put!$H:$H,MATCH($B25&amp;AH$2&amp;$A$1,jkm_call_put!$G:$G&amp;jkm_call_put!$O:$O&amp;jkm_call_put!$F:$F,0),1),"")</f>
        <v/>
      </c>
      <c r="AI25" s="9" t="str" cm="1">
        <f t="array" aca="1" ref="AI25" ca="1">_xlfn.IFNA(INDEX(jkm_call_put!$H:$H,MATCH($B25&amp;AI$2&amp;$A$1,jkm_call_put!$G:$G&amp;jkm_call_put!$O:$O&amp;jkm_call_put!$F:$F,0),1),"")</f>
        <v/>
      </c>
      <c r="AJ25" s="9" t="str" cm="1">
        <f t="array" aca="1" ref="AJ25" ca="1">_xlfn.IFNA(INDEX(jkm_call_put!$H:$H,MATCH($B25&amp;AJ$2&amp;$A$1,jkm_call_put!$G:$G&amp;jkm_call_put!$O:$O&amp;jkm_call_put!$F:$F,0),1),"")</f>
        <v/>
      </c>
      <c r="AK25" s="9" t="str" cm="1">
        <f t="array" aca="1" ref="AK25" ca="1">_xlfn.IFNA(INDEX(jkm_call_put!$H:$H,MATCH($B25&amp;AK$2&amp;$A$1,jkm_call_put!$G:$G&amp;jkm_call_put!$O:$O&amp;jkm_call_put!$F:$F,0),1),"")</f>
        <v/>
      </c>
      <c r="AL25" s="9" t="str" cm="1">
        <f t="array" aca="1" ref="AL25" ca="1">_xlfn.IFNA(INDEX(jkm_call_put!$H:$H,MATCH($B25&amp;AL$2&amp;$A$1,jkm_call_put!$G:$G&amp;jkm_call_put!$O:$O&amp;jkm_call_put!$F:$F,0),1),"")</f>
        <v/>
      </c>
    </row>
    <row r="26" spans="1:38" ht="15" customHeight="1" x14ac:dyDescent="0.25">
      <c r="A26" s="5"/>
    </row>
  </sheetData>
  <mergeCells count="2">
    <mergeCell ref="C1:AM1"/>
    <mergeCell ref="A3:A2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5E9D7-C87F-4827-915B-4944D8193F5B}">
  <sheetPr codeName="Sheet11"/>
  <dimension ref="A1:AL25"/>
  <sheetViews>
    <sheetView workbookViewId="0">
      <selection activeCell="C27" sqref="C27"/>
    </sheetView>
  </sheetViews>
  <sheetFormatPr defaultRowHeight="15" x14ac:dyDescent="0.25"/>
  <sheetData>
    <row r="1" spans="1:38" x14ac:dyDescent="0.25">
      <c r="A1" t="s">
        <v>110</v>
      </c>
      <c r="C1" t="s">
        <v>56</v>
      </c>
    </row>
    <row r="2" spans="1:38" x14ac:dyDescent="0.25">
      <c r="C2">
        <f t="array" aca="1" ref="C2:AL2" ca="1">TRANSPOSE(_xlfn._xlws.SORT(Unique!B2:B37))</f>
        <v>27</v>
      </c>
      <c r="D2">
        <f ca="1"/>
        <v>57</v>
      </c>
      <c r="E2">
        <f ca="1"/>
        <v>88</v>
      </c>
      <c r="F2">
        <f ca="1"/>
        <v>118</v>
      </c>
      <c r="G2">
        <f ca="1"/>
        <v>148</v>
      </c>
      <c r="H2">
        <f ca="1"/>
        <v>180</v>
      </c>
      <c r="I2">
        <f ca="1"/>
        <v>210</v>
      </c>
      <c r="J2">
        <f ca="1"/>
        <v>239</v>
      </c>
      <c r="K2">
        <f ca="1"/>
        <v>271</v>
      </c>
      <c r="L2">
        <f ca="1"/>
        <v>302</v>
      </c>
      <c r="M2">
        <f ca="1"/>
        <v>333</v>
      </c>
      <c r="N2">
        <f ca="1"/>
        <v>361</v>
      </c>
      <c r="O2">
        <f ca="1"/>
        <v>392</v>
      </c>
      <c r="P2">
        <f ca="1"/>
        <v>421</v>
      </c>
      <c r="Q2">
        <f ca="1"/>
        <v>453</v>
      </c>
      <c r="R2">
        <f ca="1"/>
        <v>483</v>
      </c>
      <c r="S2">
        <f ca="1"/>
        <v>512</v>
      </c>
      <c r="T2">
        <f ca="1"/>
        <v>545</v>
      </c>
      <c r="U2">
        <f ca="1"/>
        <v>575</v>
      </c>
      <c r="V2">
        <f ca="1"/>
        <v>606</v>
      </c>
      <c r="W2">
        <f ca="1"/>
        <v>636</v>
      </c>
      <c r="X2">
        <f ca="1"/>
        <v>666</v>
      </c>
      <c r="Y2">
        <f ca="1"/>
        <v>698</v>
      </c>
      <c r="Z2">
        <f ca="1"/>
        <v>727</v>
      </c>
      <c r="AA2">
        <f ca="1"/>
        <v>756</v>
      </c>
      <c r="AB2">
        <f ca="1"/>
        <v>788</v>
      </c>
      <c r="AC2">
        <f ca="1"/>
        <v>819</v>
      </c>
      <c r="AD2">
        <f ca="1"/>
        <v>848</v>
      </c>
      <c r="AE2">
        <f ca="1"/>
        <v>880</v>
      </c>
      <c r="AF2">
        <f ca="1"/>
        <v>911</v>
      </c>
      <c r="AG2">
        <f ca="1"/>
        <v>939</v>
      </c>
      <c r="AH2">
        <f ca="1"/>
        <v>972</v>
      </c>
      <c r="AI2">
        <f ca="1"/>
        <v>1002</v>
      </c>
      <c r="AJ2">
        <f ca="1"/>
        <v>1033</v>
      </c>
      <c r="AK2">
        <f ca="1"/>
        <v>1064</v>
      </c>
      <c r="AL2">
        <f ca="1"/>
        <v>1092</v>
      </c>
    </row>
    <row r="3" spans="1:38" x14ac:dyDescent="0.25">
      <c r="A3" t="s">
        <v>45</v>
      </c>
      <c r="B3" cm="1">
        <f t="array" ref="B3:B25">_xlfn._xlws.SORT(Unique!A2:A24)</f>
        <v>5</v>
      </c>
      <c r="C3" s="7" cm="1">
        <f t="array" aca="1" ref="C3" ca="1">_xlfn.IFNA(INDEX(jkm_call_put!$L:$L,MATCH($B3&amp;C$2&amp;$A$1,jkm_call_put!$G:$G&amp;jkm_call_put!$O:$O&amp;jkm_call_put!$F:$F,0),1),"")</f>
        <v>103.7693</v>
      </c>
      <c r="D3" s="7" cm="1">
        <f t="array" aca="1" ref="D3" ca="1">_xlfn.IFNA(INDEX(jkm_call_put!$L:$L,MATCH($B3&amp;D$2&amp;$A$1,jkm_call_put!$G:$G&amp;jkm_call_put!$O:$O&amp;jkm_call_put!$F:$F,0),1),"")</f>
        <v>71.306200000000004</v>
      </c>
      <c r="E3" s="7" cm="1">
        <f t="array" aca="1" ref="E3" ca="1">_xlfn.IFNA(INDEX(jkm_call_put!$L:$L,MATCH($B3&amp;E$2&amp;$A$1,jkm_call_put!$G:$G&amp;jkm_call_put!$O:$O&amp;jkm_call_put!$F:$F,0),1),"")</f>
        <v>75.207599999999999</v>
      </c>
      <c r="F3" s="7" cm="1">
        <f t="array" aca="1" ref="F3" ca="1">_xlfn.IFNA(INDEX(jkm_call_put!$L:$L,MATCH($B3&amp;F$2&amp;$A$1,jkm_call_put!$G:$G&amp;jkm_call_put!$O:$O&amp;jkm_call_put!$F:$F,0),1),"")</f>
        <v>77.616399999999999</v>
      </c>
      <c r="G3" s="7" cm="1">
        <f t="array" aca="1" ref="G3" ca="1">_xlfn.IFNA(INDEX(jkm_call_put!$L:$L,MATCH($B3&amp;G$2&amp;$A$1,jkm_call_put!$G:$G&amp;jkm_call_put!$O:$O&amp;jkm_call_put!$F:$F,0),1),"")</f>
        <v>79.231999999999999</v>
      </c>
      <c r="H3" s="7" cm="1">
        <f t="array" aca="1" ref="H3" ca="1">_xlfn.IFNA(INDEX(jkm_call_put!$L:$L,MATCH($B3&amp;H$2&amp;$A$1,jkm_call_put!$G:$G&amp;jkm_call_put!$O:$O&amp;jkm_call_put!$F:$F,0),1),"")</f>
        <v>61.613900000000001</v>
      </c>
      <c r="I3" s="7" cm="1">
        <f t="array" aca="1" ref="I3" ca="1">_xlfn.IFNA(INDEX(jkm_call_put!$L:$L,MATCH($B3&amp;I$2&amp;$A$1,jkm_call_put!$G:$G&amp;jkm_call_put!$O:$O&amp;jkm_call_put!$F:$F,0),1),"")</f>
        <v>62.264899999999997</v>
      </c>
      <c r="J3" s="7" cm="1">
        <f t="array" aca="1" ref="J3" ca="1">_xlfn.IFNA(INDEX(jkm_call_put!$L:$L,MATCH($B3&amp;J$2&amp;$A$1,jkm_call_put!$G:$G&amp;jkm_call_put!$O:$O&amp;jkm_call_put!$F:$F,0),1),"")</f>
        <v>62.772500000000001</v>
      </c>
      <c r="K3" s="7" cm="1">
        <f t="array" aca="1" ref="K3" ca="1">_xlfn.IFNA(INDEX(jkm_call_put!$L:$L,MATCH($B3&amp;K$2&amp;$A$1,jkm_call_put!$G:$G&amp;jkm_call_put!$O:$O&amp;jkm_call_put!$F:$F,0),1),"")</f>
        <v>62.875100000000003</v>
      </c>
      <c r="L3" s="7" cm="1">
        <f t="array" aca="1" ref="L3" ca="1">_xlfn.IFNA(INDEX(jkm_call_put!$L:$L,MATCH($B3&amp;L$2&amp;$A$1,jkm_call_put!$G:$G&amp;jkm_call_put!$O:$O&amp;jkm_call_put!$F:$F,0),1),"")</f>
        <v>63.1586</v>
      </c>
      <c r="M3" s="7" cm="1">
        <f t="array" aca="1" ref="M3" ca="1">_xlfn.IFNA(INDEX(jkm_call_put!$L:$L,MATCH($B3&amp;M$2&amp;$A$1,jkm_call_put!$G:$G&amp;jkm_call_put!$O:$O&amp;jkm_call_put!$F:$F,0),1),"")</f>
        <v>63.3504</v>
      </c>
      <c r="N3" s="7" cm="1">
        <f t="array" aca="1" ref="N3" ca="1">_xlfn.IFNA(INDEX(jkm_call_put!$L:$L,MATCH($B3&amp;N$2&amp;$A$1,jkm_call_put!$G:$G&amp;jkm_call_put!$O:$O&amp;jkm_call_put!$F:$F,0),1),"")</f>
        <v>48.008499999999998</v>
      </c>
      <c r="O3" s="7" cm="1">
        <f t="array" aca="1" ref="O3" ca="1">_xlfn.IFNA(INDEX(jkm_call_put!$L:$L,MATCH($B3&amp;O$2&amp;$A$1,jkm_call_put!$G:$G&amp;jkm_call_put!$O:$O&amp;jkm_call_put!$F:$F,0),1),"")</f>
        <v>48.047499999999999</v>
      </c>
      <c r="P3" s="7" cm="1">
        <f t="array" aca="1" ref="P3" ca="1">_xlfn.IFNA(INDEX(jkm_call_put!$L:$L,MATCH($B3&amp;P$2&amp;$A$1,jkm_call_put!$G:$G&amp;jkm_call_put!$O:$O&amp;jkm_call_put!$F:$F,0),1),"")</f>
        <v>48.261899999999997</v>
      </c>
      <c r="Q3" s="7" cm="1">
        <f t="array" aca="1" ref="Q3" ca="1">_xlfn.IFNA(INDEX(jkm_call_put!$L:$L,MATCH($B3&amp;Q$2&amp;$A$1,jkm_call_put!$G:$G&amp;jkm_call_put!$O:$O&amp;jkm_call_put!$F:$F,0),1),"")</f>
        <v>48.212699999999998</v>
      </c>
      <c r="R3" s="7" cm="1">
        <f t="array" aca="1" ref="R3" ca="1">_xlfn.IFNA(INDEX(jkm_call_put!$L:$L,MATCH($B3&amp;R$2&amp;$A$1,jkm_call_put!$G:$G&amp;jkm_call_put!$O:$O&amp;jkm_call_put!$F:$F,0),1),"")</f>
        <v>48.182000000000002</v>
      </c>
      <c r="S3" s="7" cm="1">
        <f t="array" aca="1" ref="S3" ca="1">_xlfn.IFNA(INDEX(jkm_call_put!$L:$L,MATCH($B3&amp;S$2&amp;$A$1,jkm_call_put!$G:$G&amp;jkm_call_put!$O:$O&amp;jkm_call_put!$F:$F,0),1),"")</f>
        <v>48.284399999999998</v>
      </c>
      <c r="T3" s="7" cm="1">
        <f t="array" aca="1" ref="T3" ca="1">_xlfn.IFNA(INDEX(jkm_call_put!$L:$L,MATCH($B3&amp;T$2&amp;$A$1,jkm_call_put!$G:$G&amp;jkm_call_put!$O:$O&amp;jkm_call_put!$F:$F,0),1),"")</f>
        <v>35.540500000000002</v>
      </c>
      <c r="U3" s="7" cm="1">
        <f t="array" aca="1" ref="U3" ca="1">_xlfn.IFNA(INDEX(jkm_call_put!$L:$L,MATCH($B3&amp;U$2&amp;$A$1,jkm_call_put!$G:$G&amp;jkm_call_put!$O:$O&amp;jkm_call_put!$F:$F,0),1),"")</f>
        <v>35.432200000000002</v>
      </c>
      <c r="V3" s="7" cm="1">
        <f t="array" aca="1" ref="V3" ca="1">_xlfn.IFNA(INDEX(jkm_call_put!$L:$L,MATCH($B3&amp;V$2&amp;$A$1,jkm_call_put!$G:$G&amp;jkm_call_put!$O:$O&amp;jkm_call_put!$F:$F,0),1),"")</f>
        <v>35.299199999999999</v>
      </c>
      <c r="W3" s="7" cm="1">
        <f t="array" aca="1" ref="W3" ca="1">_xlfn.IFNA(INDEX(jkm_call_put!$L:$L,MATCH($B3&amp;W$2&amp;$A$1,jkm_call_put!$G:$G&amp;jkm_call_put!$O:$O&amp;jkm_call_put!$F:$F,0),1),"")</f>
        <v>35.271599999999999</v>
      </c>
      <c r="X3" s="7" cm="1">
        <f t="array" aca="1" ref="X3" ca="1">_xlfn.IFNA(INDEX(jkm_call_put!$L:$L,MATCH($B3&amp;X$2&amp;$A$1,jkm_call_put!$G:$G&amp;jkm_call_put!$O:$O&amp;jkm_call_put!$F:$F,0),1),"")</f>
        <v>35.320399999999999</v>
      </c>
      <c r="Y3" s="7" cm="1">
        <f t="array" aca="1" ref="Y3" ca="1">_xlfn.IFNA(INDEX(jkm_call_put!$L:$L,MATCH($B3&amp;Y$2&amp;$A$1,jkm_call_put!$G:$G&amp;jkm_call_put!$O:$O&amp;jkm_call_put!$F:$F,0),1),"")</f>
        <v>35.3202</v>
      </c>
      <c r="Z3" s="7" cm="1">
        <f t="array" aca="1" ref="Z3" ca="1">_xlfn.IFNA(INDEX(jkm_call_put!$L:$L,MATCH($B3&amp;Z$2&amp;$A$1,jkm_call_put!$G:$G&amp;jkm_call_put!$O:$O&amp;jkm_call_put!$F:$F,0),1),"")</f>
        <v>30.5259</v>
      </c>
      <c r="AA3" s="7" cm="1">
        <f t="array" aca="1" ref="AA3" ca="1">_xlfn.IFNA(INDEX(jkm_call_put!$L:$L,MATCH($B3&amp;AA$2&amp;$A$1,jkm_call_put!$G:$G&amp;jkm_call_put!$O:$O&amp;jkm_call_put!$F:$F,0),1),"")</f>
        <v>30.5471</v>
      </c>
      <c r="AB3" s="7" cm="1">
        <f t="array" aca="1" ref="AB3" ca="1">_xlfn.IFNA(INDEX(jkm_call_put!$L:$L,MATCH($B3&amp;AB$2&amp;$A$1,jkm_call_put!$G:$G&amp;jkm_call_put!$O:$O&amp;jkm_call_put!$F:$F,0),1),"")</f>
        <v>30.524999999999999</v>
      </c>
      <c r="AC3" s="7" cm="1">
        <f t="array" aca="1" ref="AC3" ca="1">_xlfn.IFNA(INDEX(jkm_call_put!$L:$L,MATCH($B3&amp;AC$2&amp;$A$1,jkm_call_put!$G:$G&amp;jkm_call_put!$O:$O&amp;jkm_call_put!$F:$F,0),1),"")</f>
        <v>30.542400000000001</v>
      </c>
      <c r="AD3" s="7" cm="1">
        <f t="array" aca="1" ref="AD3" ca="1">_xlfn.IFNA(INDEX(jkm_call_put!$L:$L,MATCH($B3&amp;AD$2&amp;$A$1,jkm_call_put!$G:$G&amp;jkm_call_put!$O:$O&amp;jkm_call_put!$F:$F,0),1),"")</f>
        <v>30.5961</v>
      </c>
      <c r="AE3" s="7" cm="1">
        <f t="array" aca="1" ref="AE3" ca="1">_xlfn.IFNA(INDEX(jkm_call_put!$L:$L,MATCH($B3&amp;AE$2&amp;$A$1,jkm_call_put!$G:$G&amp;jkm_call_put!$O:$O&amp;jkm_call_put!$F:$F,0),1),"")</f>
        <v>30.573</v>
      </c>
      <c r="AF3" s="7" cm="1">
        <f t="array" aca="1" ref="AF3" ca="1">_xlfn.IFNA(INDEX(jkm_call_put!$L:$L,MATCH($B3&amp;AF$2&amp;$A$1,jkm_call_put!$G:$G&amp;jkm_call_put!$O:$O&amp;jkm_call_put!$F:$F,0),1),"")</f>
        <v>35.529299999999999</v>
      </c>
      <c r="AG3" s="7" cm="1">
        <f t="array" aca="1" ref="AG3" ca="1">_xlfn.IFNA(INDEX(jkm_call_put!$L:$L,MATCH($B3&amp;AG$2&amp;$A$1,jkm_call_put!$G:$G&amp;jkm_call_put!$O:$O&amp;jkm_call_put!$F:$F,0),1),"")</f>
        <v>35.609400000000001</v>
      </c>
      <c r="AH3" s="7" cm="1">
        <f t="array" aca="1" ref="AH3" ca="1">_xlfn.IFNA(INDEX(jkm_call_put!$L:$L,MATCH($B3&amp;AH$2&amp;$A$1,jkm_call_put!$G:$G&amp;jkm_call_put!$O:$O&amp;jkm_call_put!$F:$F,0),1),"")</f>
        <v>35.576599999999999</v>
      </c>
      <c r="AI3" s="7" cm="1">
        <f t="array" aca="1" ref="AI3" ca="1">_xlfn.IFNA(INDEX(jkm_call_put!$L:$L,MATCH($B3&amp;AI$2&amp;$A$1,jkm_call_put!$G:$G&amp;jkm_call_put!$O:$O&amp;jkm_call_put!$F:$F,0),1),"")</f>
        <v>35.6111</v>
      </c>
      <c r="AJ3" s="7" cm="1">
        <f t="array" aca="1" ref="AJ3" ca="1">_xlfn.IFNA(INDEX(jkm_call_put!$L:$L,MATCH($B3&amp;AJ$2&amp;$A$1,jkm_call_put!$G:$G&amp;jkm_call_put!$O:$O&amp;jkm_call_put!$F:$F,0),1),"")</f>
        <v>35.616300000000003</v>
      </c>
      <c r="AK3" s="7" cm="1">
        <f t="array" aca="1" ref="AK3" ca="1">_xlfn.IFNA(INDEX(jkm_call_put!$L:$L,MATCH($B3&amp;AK$2&amp;$A$1,jkm_call_put!$G:$G&amp;jkm_call_put!$O:$O&amp;jkm_call_put!$F:$F,0),1),"")</f>
        <v>35.5824</v>
      </c>
      <c r="AL3" s="7" cm="1">
        <f t="array" aca="1" ref="AL3" ca="1">_xlfn.IFNA(INDEX(jkm_call_put!$L:$L,MATCH($B3&amp;AL$2&amp;$A$1,jkm_call_put!$G:$G&amp;jkm_call_put!$O:$O&amp;jkm_call_put!$F:$F,0),1),"")</f>
        <v>35.584200000000003</v>
      </c>
    </row>
    <row r="4" spans="1:38" x14ac:dyDescent="0.25">
      <c r="B4">
        <v>6</v>
      </c>
      <c r="C4" s="7" t="str" cm="1">
        <f t="array" aca="1" ref="C4" ca="1">_xlfn.IFNA(INDEX(jkm_call_put!$L:$L,MATCH($B4&amp;C$2&amp;$A$1,jkm_call_put!$G:$G&amp;jkm_call_put!$O:$O&amp;jkm_call_put!$F:$F,0),1),"")</f>
        <v/>
      </c>
      <c r="D4" s="7" t="str" cm="1">
        <f t="array" aca="1" ref="D4" ca="1">_xlfn.IFNA(INDEX(jkm_call_put!$L:$L,MATCH($B4&amp;D$2&amp;$A$1,jkm_call_put!$G:$G&amp;jkm_call_put!$O:$O&amp;jkm_call_put!$F:$F,0),1),"")</f>
        <v/>
      </c>
      <c r="E4" s="7" t="str" cm="1">
        <f t="array" aca="1" ref="E4" ca="1">_xlfn.IFNA(INDEX(jkm_call_put!$L:$L,MATCH($B4&amp;E$2&amp;$A$1,jkm_call_put!$G:$G&amp;jkm_call_put!$O:$O&amp;jkm_call_put!$F:$F,0),1),"")</f>
        <v/>
      </c>
      <c r="F4" s="7" t="str" cm="1">
        <f t="array" aca="1" ref="F4" ca="1">_xlfn.IFNA(INDEX(jkm_call_put!$L:$L,MATCH($B4&amp;F$2&amp;$A$1,jkm_call_put!$G:$G&amp;jkm_call_put!$O:$O&amp;jkm_call_put!$F:$F,0),1),"")</f>
        <v/>
      </c>
      <c r="G4" s="7" t="str" cm="1">
        <f t="array" aca="1" ref="G4" ca="1">_xlfn.IFNA(INDEX(jkm_call_put!$L:$L,MATCH($B4&amp;G$2&amp;$A$1,jkm_call_put!$G:$G&amp;jkm_call_put!$O:$O&amp;jkm_call_put!$F:$F,0),1),"")</f>
        <v/>
      </c>
      <c r="H4" s="7" t="str" cm="1">
        <f t="array" aca="1" ref="H4" ca="1">_xlfn.IFNA(INDEX(jkm_call_put!$L:$L,MATCH($B4&amp;H$2&amp;$A$1,jkm_call_put!$G:$G&amp;jkm_call_put!$O:$O&amp;jkm_call_put!$F:$F,0),1),"")</f>
        <v/>
      </c>
      <c r="I4" s="7" t="str" cm="1">
        <f t="array" aca="1" ref="I4" ca="1">_xlfn.IFNA(INDEX(jkm_call_put!$L:$L,MATCH($B4&amp;I$2&amp;$A$1,jkm_call_put!$G:$G&amp;jkm_call_put!$O:$O&amp;jkm_call_put!$F:$F,0),1),"")</f>
        <v/>
      </c>
      <c r="J4" s="7" t="str" cm="1">
        <f t="array" aca="1" ref="J4" ca="1">_xlfn.IFNA(INDEX(jkm_call_put!$L:$L,MATCH($B4&amp;J$2&amp;$A$1,jkm_call_put!$G:$G&amp;jkm_call_put!$O:$O&amp;jkm_call_put!$F:$F,0),1),"")</f>
        <v/>
      </c>
      <c r="K4" s="7" cm="1">
        <f t="array" aca="1" ref="K4" ca="1">_xlfn.IFNA(INDEX(jkm_call_put!$L:$L,MATCH($B4&amp;K$2&amp;$A$1,jkm_call_put!$G:$G&amp;jkm_call_put!$O:$O&amp;jkm_call_put!$F:$F,0),1),"")</f>
        <v>62.924799999999998</v>
      </c>
      <c r="L4" s="7" t="str" cm="1">
        <f t="array" aca="1" ref="L4" ca="1">_xlfn.IFNA(INDEX(jkm_call_put!$L:$L,MATCH($B4&amp;L$2&amp;$A$1,jkm_call_put!$G:$G&amp;jkm_call_put!$O:$O&amp;jkm_call_put!$F:$F,0),1),"")</f>
        <v/>
      </c>
      <c r="M4" s="7" t="str" cm="1">
        <f t="array" aca="1" ref="M4" ca="1">_xlfn.IFNA(INDEX(jkm_call_put!$L:$L,MATCH($B4&amp;M$2&amp;$A$1,jkm_call_put!$G:$G&amp;jkm_call_put!$O:$O&amp;jkm_call_put!$F:$F,0),1),"")</f>
        <v/>
      </c>
      <c r="N4" s="7" t="str" cm="1">
        <f t="array" aca="1" ref="N4" ca="1">_xlfn.IFNA(INDEX(jkm_call_put!$L:$L,MATCH($B4&amp;N$2&amp;$A$1,jkm_call_put!$G:$G&amp;jkm_call_put!$O:$O&amp;jkm_call_put!$F:$F,0),1),"")</f>
        <v/>
      </c>
      <c r="O4" s="7" t="str" cm="1">
        <f t="array" aca="1" ref="O4" ca="1">_xlfn.IFNA(INDEX(jkm_call_put!$L:$L,MATCH($B4&amp;O$2&amp;$A$1,jkm_call_put!$G:$G&amp;jkm_call_put!$O:$O&amp;jkm_call_put!$F:$F,0),1),"")</f>
        <v/>
      </c>
      <c r="P4" s="7" t="str" cm="1">
        <f t="array" aca="1" ref="P4" ca="1">_xlfn.IFNA(INDEX(jkm_call_put!$L:$L,MATCH($B4&amp;P$2&amp;$A$1,jkm_call_put!$G:$G&amp;jkm_call_put!$O:$O&amp;jkm_call_put!$F:$F,0),1),"")</f>
        <v/>
      </c>
      <c r="Q4" s="7" t="str" cm="1">
        <f t="array" aca="1" ref="Q4" ca="1">_xlfn.IFNA(INDEX(jkm_call_put!$L:$L,MATCH($B4&amp;Q$2&amp;$A$1,jkm_call_put!$G:$G&amp;jkm_call_put!$O:$O&amp;jkm_call_put!$F:$F,0),1),"")</f>
        <v/>
      </c>
      <c r="R4" s="7" t="str" cm="1">
        <f t="array" aca="1" ref="R4" ca="1">_xlfn.IFNA(INDEX(jkm_call_put!$L:$L,MATCH($B4&amp;R$2&amp;$A$1,jkm_call_put!$G:$G&amp;jkm_call_put!$O:$O&amp;jkm_call_put!$F:$F,0),1),"")</f>
        <v/>
      </c>
      <c r="S4" s="7" t="str" cm="1">
        <f t="array" aca="1" ref="S4" ca="1">_xlfn.IFNA(INDEX(jkm_call_put!$L:$L,MATCH($B4&amp;S$2&amp;$A$1,jkm_call_put!$G:$G&amp;jkm_call_put!$O:$O&amp;jkm_call_put!$F:$F,0),1),"")</f>
        <v/>
      </c>
      <c r="T4" s="7" t="str" cm="1">
        <f t="array" aca="1" ref="T4" ca="1">_xlfn.IFNA(INDEX(jkm_call_put!$L:$L,MATCH($B4&amp;T$2&amp;$A$1,jkm_call_put!$G:$G&amp;jkm_call_put!$O:$O&amp;jkm_call_put!$F:$F,0),1),"")</f>
        <v/>
      </c>
      <c r="U4" s="7" t="str" cm="1">
        <f t="array" aca="1" ref="U4" ca="1">_xlfn.IFNA(INDEX(jkm_call_put!$L:$L,MATCH($B4&amp;U$2&amp;$A$1,jkm_call_put!$G:$G&amp;jkm_call_put!$O:$O&amp;jkm_call_put!$F:$F,0),1),"")</f>
        <v/>
      </c>
      <c r="V4" s="7" t="str" cm="1">
        <f t="array" aca="1" ref="V4" ca="1">_xlfn.IFNA(INDEX(jkm_call_put!$L:$L,MATCH($B4&amp;V$2&amp;$A$1,jkm_call_put!$G:$G&amp;jkm_call_put!$O:$O&amp;jkm_call_put!$F:$F,0),1),"")</f>
        <v/>
      </c>
      <c r="W4" s="7" t="str" cm="1">
        <f t="array" aca="1" ref="W4" ca="1">_xlfn.IFNA(INDEX(jkm_call_put!$L:$L,MATCH($B4&amp;W$2&amp;$A$1,jkm_call_put!$G:$G&amp;jkm_call_put!$O:$O&amp;jkm_call_put!$F:$F,0),1),"")</f>
        <v/>
      </c>
      <c r="X4" s="7" t="str" cm="1">
        <f t="array" aca="1" ref="X4" ca="1">_xlfn.IFNA(INDEX(jkm_call_put!$L:$L,MATCH($B4&amp;X$2&amp;$A$1,jkm_call_put!$G:$G&amp;jkm_call_put!$O:$O&amp;jkm_call_put!$F:$F,0),1),"")</f>
        <v/>
      </c>
      <c r="Y4" s="7" t="str" cm="1">
        <f t="array" aca="1" ref="Y4" ca="1">_xlfn.IFNA(INDEX(jkm_call_put!$L:$L,MATCH($B4&amp;Y$2&amp;$A$1,jkm_call_put!$G:$G&amp;jkm_call_put!$O:$O&amp;jkm_call_put!$F:$F,0),1),"")</f>
        <v/>
      </c>
      <c r="Z4" s="7" t="str" cm="1">
        <f t="array" aca="1" ref="Z4" ca="1">_xlfn.IFNA(INDEX(jkm_call_put!$L:$L,MATCH($B4&amp;Z$2&amp;$A$1,jkm_call_put!$G:$G&amp;jkm_call_put!$O:$O&amp;jkm_call_put!$F:$F,0),1),"")</f>
        <v/>
      </c>
      <c r="AA4" s="7" t="str" cm="1">
        <f t="array" aca="1" ref="AA4" ca="1">_xlfn.IFNA(INDEX(jkm_call_put!$L:$L,MATCH($B4&amp;AA$2&amp;$A$1,jkm_call_put!$G:$G&amp;jkm_call_put!$O:$O&amp;jkm_call_put!$F:$F,0),1),"")</f>
        <v/>
      </c>
      <c r="AB4" s="7" t="str" cm="1">
        <f t="array" aca="1" ref="AB4" ca="1">_xlfn.IFNA(INDEX(jkm_call_put!$L:$L,MATCH($B4&amp;AB$2&amp;$A$1,jkm_call_put!$G:$G&amp;jkm_call_put!$O:$O&amp;jkm_call_put!$F:$F,0),1),"")</f>
        <v/>
      </c>
      <c r="AC4" s="7" t="str" cm="1">
        <f t="array" aca="1" ref="AC4" ca="1">_xlfn.IFNA(INDEX(jkm_call_put!$L:$L,MATCH($B4&amp;AC$2&amp;$A$1,jkm_call_put!$G:$G&amp;jkm_call_put!$O:$O&amp;jkm_call_put!$F:$F,0),1),"")</f>
        <v/>
      </c>
      <c r="AD4" s="7" t="str" cm="1">
        <f t="array" aca="1" ref="AD4" ca="1">_xlfn.IFNA(INDEX(jkm_call_put!$L:$L,MATCH($B4&amp;AD$2&amp;$A$1,jkm_call_put!$G:$G&amp;jkm_call_put!$O:$O&amp;jkm_call_put!$F:$F,0),1),"")</f>
        <v/>
      </c>
      <c r="AE4" s="7" t="str" cm="1">
        <f t="array" aca="1" ref="AE4" ca="1">_xlfn.IFNA(INDEX(jkm_call_put!$L:$L,MATCH($B4&amp;AE$2&amp;$A$1,jkm_call_put!$G:$G&amp;jkm_call_put!$O:$O&amp;jkm_call_put!$F:$F,0),1),"")</f>
        <v/>
      </c>
      <c r="AF4" s="7" t="str" cm="1">
        <f t="array" aca="1" ref="AF4" ca="1">_xlfn.IFNA(INDEX(jkm_call_put!$L:$L,MATCH($B4&amp;AF$2&amp;$A$1,jkm_call_put!$G:$G&amp;jkm_call_put!$O:$O&amp;jkm_call_put!$F:$F,0),1),"")</f>
        <v/>
      </c>
      <c r="AG4" s="7" t="str" cm="1">
        <f t="array" aca="1" ref="AG4" ca="1">_xlfn.IFNA(INDEX(jkm_call_put!$L:$L,MATCH($B4&amp;AG$2&amp;$A$1,jkm_call_put!$G:$G&amp;jkm_call_put!$O:$O&amp;jkm_call_put!$F:$F,0),1),"")</f>
        <v/>
      </c>
      <c r="AH4" s="7" t="str" cm="1">
        <f t="array" aca="1" ref="AH4" ca="1">_xlfn.IFNA(INDEX(jkm_call_put!$L:$L,MATCH($B4&amp;AH$2&amp;$A$1,jkm_call_put!$G:$G&amp;jkm_call_put!$O:$O&amp;jkm_call_put!$F:$F,0),1),"")</f>
        <v/>
      </c>
      <c r="AI4" s="7" t="str" cm="1">
        <f t="array" aca="1" ref="AI4" ca="1">_xlfn.IFNA(INDEX(jkm_call_put!$L:$L,MATCH($B4&amp;AI$2&amp;$A$1,jkm_call_put!$G:$G&amp;jkm_call_put!$O:$O&amp;jkm_call_put!$F:$F,0),1),"")</f>
        <v/>
      </c>
      <c r="AJ4" s="7" t="str" cm="1">
        <f t="array" aca="1" ref="AJ4" ca="1">_xlfn.IFNA(INDEX(jkm_call_put!$L:$L,MATCH($B4&amp;AJ$2&amp;$A$1,jkm_call_put!$G:$G&amp;jkm_call_put!$O:$O&amp;jkm_call_put!$F:$F,0),1),"")</f>
        <v/>
      </c>
      <c r="AK4" s="7" t="str" cm="1">
        <f t="array" aca="1" ref="AK4" ca="1">_xlfn.IFNA(INDEX(jkm_call_put!$L:$L,MATCH($B4&amp;AK$2&amp;$A$1,jkm_call_put!$G:$G&amp;jkm_call_put!$O:$O&amp;jkm_call_put!$F:$F,0),1),"")</f>
        <v/>
      </c>
      <c r="AL4" s="7" t="str" cm="1">
        <f t="array" aca="1" ref="AL4" ca="1">_xlfn.IFNA(INDEX(jkm_call_put!$L:$L,MATCH($B4&amp;AL$2&amp;$A$1,jkm_call_put!$G:$G&amp;jkm_call_put!$O:$O&amp;jkm_call_put!$F:$F,0),1),"")</f>
        <v/>
      </c>
    </row>
    <row r="5" spans="1:38" x14ac:dyDescent="0.25">
      <c r="B5">
        <v>7</v>
      </c>
      <c r="C5" s="7" t="str" cm="1">
        <f t="array" aca="1" ref="C5" ca="1">_xlfn.IFNA(INDEX(jkm_call_put!$L:$L,MATCH($B5&amp;C$2&amp;$A$1,jkm_call_put!$G:$G&amp;jkm_call_put!$O:$O&amp;jkm_call_put!$F:$F,0),1),"")</f>
        <v/>
      </c>
      <c r="D5" s="7" t="str" cm="1">
        <f t="array" aca="1" ref="D5" ca="1">_xlfn.IFNA(INDEX(jkm_call_put!$L:$L,MATCH($B5&amp;D$2&amp;$A$1,jkm_call_put!$G:$G&amp;jkm_call_put!$O:$O&amp;jkm_call_put!$F:$F,0),1),"")</f>
        <v/>
      </c>
      <c r="E5" s="7" t="str" cm="1">
        <f t="array" aca="1" ref="E5" ca="1">_xlfn.IFNA(INDEX(jkm_call_put!$L:$L,MATCH($B5&amp;E$2&amp;$A$1,jkm_call_put!$G:$G&amp;jkm_call_put!$O:$O&amp;jkm_call_put!$F:$F,0),1),"")</f>
        <v/>
      </c>
      <c r="F5" s="7" t="str" cm="1">
        <f t="array" aca="1" ref="F5" ca="1">_xlfn.IFNA(INDEX(jkm_call_put!$L:$L,MATCH($B5&amp;F$2&amp;$A$1,jkm_call_put!$G:$G&amp;jkm_call_put!$O:$O&amp;jkm_call_put!$F:$F,0),1),"")</f>
        <v/>
      </c>
      <c r="G5" s="7" t="str" cm="1">
        <f t="array" aca="1" ref="G5" ca="1">_xlfn.IFNA(INDEX(jkm_call_put!$L:$L,MATCH($B5&amp;G$2&amp;$A$1,jkm_call_put!$G:$G&amp;jkm_call_put!$O:$O&amp;jkm_call_put!$F:$F,0),1),"")</f>
        <v/>
      </c>
      <c r="H5" s="7" t="str" cm="1">
        <f t="array" aca="1" ref="H5" ca="1">_xlfn.IFNA(INDEX(jkm_call_put!$L:$L,MATCH($B5&amp;H$2&amp;$A$1,jkm_call_put!$G:$G&amp;jkm_call_put!$O:$O&amp;jkm_call_put!$F:$F,0),1),"")</f>
        <v/>
      </c>
      <c r="I5" s="7" t="str" cm="1">
        <f t="array" aca="1" ref="I5" ca="1">_xlfn.IFNA(INDEX(jkm_call_put!$L:$L,MATCH($B5&amp;I$2&amp;$A$1,jkm_call_put!$G:$G&amp;jkm_call_put!$O:$O&amp;jkm_call_put!$F:$F,0),1),"")</f>
        <v/>
      </c>
      <c r="J5" s="7" t="str" cm="1">
        <f t="array" aca="1" ref="J5" ca="1">_xlfn.IFNA(INDEX(jkm_call_put!$L:$L,MATCH($B5&amp;J$2&amp;$A$1,jkm_call_put!$G:$G&amp;jkm_call_put!$O:$O&amp;jkm_call_put!$F:$F,0),1),"")</f>
        <v/>
      </c>
      <c r="K5" s="7" cm="1">
        <f t="array" aca="1" ref="K5" ca="1">_xlfn.IFNA(INDEX(jkm_call_put!$L:$L,MATCH($B5&amp;K$2&amp;$A$1,jkm_call_put!$G:$G&amp;jkm_call_put!$O:$O&amp;jkm_call_put!$F:$F,0),1),"")</f>
        <v>62.974499999999999</v>
      </c>
      <c r="L5" s="7" t="str" cm="1">
        <f t="array" aca="1" ref="L5" ca="1">_xlfn.IFNA(INDEX(jkm_call_put!$L:$L,MATCH($B5&amp;L$2&amp;$A$1,jkm_call_put!$G:$G&amp;jkm_call_put!$O:$O&amp;jkm_call_put!$F:$F,0),1),"")</f>
        <v/>
      </c>
      <c r="M5" s="7" t="str" cm="1">
        <f t="array" aca="1" ref="M5" ca="1">_xlfn.IFNA(INDEX(jkm_call_put!$L:$L,MATCH($B5&amp;M$2&amp;$A$1,jkm_call_put!$G:$G&amp;jkm_call_put!$O:$O&amp;jkm_call_put!$F:$F,0),1),"")</f>
        <v/>
      </c>
      <c r="N5" s="7" t="str" cm="1">
        <f t="array" aca="1" ref="N5" ca="1">_xlfn.IFNA(INDEX(jkm_call_put!$L:$L,MATCH($B5&amp;N$2&amp;$A$1,jkm_call_put!$G:$G&amp;jkm_call_put!$O:$O&amp;jkm_call_put!$F:$F,0),1),"")</f>
        <v/>
      </c>
      <c r="O5" s="7" t="str" cm="1">
        <f t="array" aca="1" ref="O5" ca="1">_xlfn.IFNA(INDEX(jkm_call_put!$L:$L,MATCH($B5&amp;O$2&amp;$A$1,jkm_call_put!$G:$G&amp;jkm_call_put!$O:$O&amp;jkm_call_put!$F:$F,0),1),"")</f>
        <v/>
      </c>
      <c r="P5" s="7" t="str" cm="1">
        <f t="array" aca="1" ref="P5" ca="1">_xlfn.IFNA(INDEX(jkm_call_put!$L:$L,MATCH($B5&amp;P$2&amp;$A$1,jkm_call_put!$G:$G&amp;jkm_call_put!$O:$O&amp;jkm_call_put!$F:$F,0),1),"")</f>
        <v/>
      </c>
      <c r="Q5" s="7" t="str" cm="1">
        <f t="array" aca="1" ref="Q5" ca="1">_xlfn.IFNA(INDEX(jkm_call_put!$L:$L,MATCH($B5&amp;Q$2&amp;$A$1,jkm_call_put!$G:$G&amp;jkm_call_put!$O:$O&amp;jkm_call_put!$F:$F,0),1),"")</f>
        <v/>
      </c>
      <c r="R5" s="7" t="str" cm="1">
        <f t="array" aca="1" ref="R5" ca="1">_xlfn.IFNA(INDEX(jkm_call_put!$L:$L,MATCH($B5&amp;R$2&amp;$A$1,jkm_call_put!$G:$G&amp;jkm_call_put!$O:$O&amp;jkm_call_put!$F:$F,0),1),"")</f>
        <v/>
      </c>
      <c r="S5" s="7" t="str" cm="1">
        <f t="array" aca="1" ref="S5" ca="1">_xlfn.IFNA(INDEX(jkm_call_put!$L:$L,MATCH($B5&amp;S$2&amp;$A$1,jkm_call_put!$G:$G&amp;jkm_call_put!$O:$O&amp;jkm_call_put!$F:$F,0),1),"")</f>
        <v/>
      </c>
      <c r="T5" s="7" t="str" cm="1">
        <f t="array" aca="1" ref="T5" ca="1">_xlfn.IFNA(INDEX(jkm_call_put!$L:$L,MATCH($B5&amp;T$2&amp;$A$1,jkm_call_put!$G:$G&amp;jkm_call_put!$O:$O&amp;jkm_call_put!$F:$F,0),1),"")</f>
        <v/>
      </c>
      <c r="U5" s="7" t="str" cm="1">
        <f t="array" aca="1" ref="U5" ca="1">_xlfn.IFNA(INDEX(jkm_call_put!$L:$L,MATCH($B5&amp;U$2&amp;$A$1,jkm_call_put!$G:$G&amp;jkm_call_put!$O:$O&amp;jkm_call_put!$F:$F,0),1),"")</f>
        <v/>
      </c>
      <c r="V5" s="7" t="str" cm="1">
        <f t="array" aca="1" ref="V5" ca="1">_xlfn.IFNA(INDEX(jkm_call_put!$L:$L,MATCH($B5&amp;V$2&amp;$A$1,jkm_call_put!$G:$G&amp;jkm_call_put!$O:$O&amp;jkm_call_put!$F:$F,0),1),"")</f>
        <v/>
      </c>
      <c r="W5" s="7" t="str" cm="1">
        <f t="array" aca="1" ref="W5" ca="1">_xlfn.IFNA(INDEX(jkm_call_put!$L:$L,MATCH($B5&amp;W$2&amp;$A$1,jkm_call_put!$G:$G&amp;jkm_call_put!$O:$O&amp;jkm_call_put!$F:$F,0),1),"")</f>
        <v/>
      </c>
      <c r="X5" s="7" t="str" cm="1">
        <f t="array" aca="1" ref="X5" ca="1">_xlfn.IFNA(INDEX(jkm_call_put!$L:$L,MATCH($B5&amp;X$2&amp;$A$1,jkm_call_put!$G:$G&amp;jkm_call_put!$O:$O&amp;jkm_call_put!$F:$F,0),1),"")</f>
        <v/>
      </c>
      <c r="Y5" s="7" t="str" cm="1">
        <f t="array" aca="1" ref="Y5" ca="1">_xlfn.IFNA(INDEX(jkm_call_put!$L:$L,MATCH($B5&amp;Y$2&amp;$A$1,jkm_call_put!$G:$G&amp;jkm_call_put!$O:$O&amp;jkm_call_put!$F:$F,0),1),"")</f>
        <v/>
      </c>
      <c r="Z5" s="7" cm="1">
        <f t="array" aca="1" ref="Z5" ca="1">_xlfn.IFNA(INDEX(jkm_call_put!$L:$L,MATCH($B5&amp;Z$2&amp;$A$1,jkm_call_put!$G:$G&amp;jkm_call_put!$O:$O&amp;jkm_call_put!$F:$F,0),1),"")</f>
        <v>30.291399999999999</v>
      </c>
      <c r="AA5" s="7" cm="1">
        <f t="array" aca="1" ref="AA5" ca="1">_xlfn.IFNA(INDEX(jkm_call_put!$L:$L,MATCH($B5&amp;AA$2&amp;$A$1,jkm_call_put!$G:$G&amp;jkm_call_put!$O:$O&amp;jkm_call_put!$F:$F,0),1),"")</f>
        <v>30.307600000000001</v>
      </c>
      <c r="AB5" s="7" cm="1">
        <f t="array" aca="1" ref="AB5" ca="1">_xlfn.IFNA(INDEX(jkm_call_put!$L:$L,MATCH($B5&amp;AB$2&amp;$A$1,jkm_call_put!$G:$G&amp;jkm_call_put!$O:$O&amp;jkm_call_put!$F:$F,0),1),"")</f>
        <v>30.284300000000002</v>
      </c>
      <c r="AC5" s="7" cm="1">
        <f t="array" aca="1" ref="AC5" ca="1">_xlfn.IFNA(INDEX(jkm_call_put!$L:$L,MATCH($B5&amp;AC$2&amp;$A$1,jkm_call_put!$G:$G&amp;jkm_call_put!$O:$O&amp;jkm_call_put!$F:$F,0),1),"")</f>
        <v>30.3018</v>
      </c>
      <c r="AD5" s="7" cm="1">
        <f t="array" aca="1" ref="AD5" ca="1">_xlfn.IFNA(INDEX(jkm_call_put!$L:$L,MATCH($B5&amp;AD$2&amp;$A$1,jkm_call_put!$G:$G&amp;jkm_call_put!$O:$O&amp;jkm_call_put!$F:$F,0),1),"")</f>
        <v>30.355799999999999</v>
      </c>
      <c r="AE5" s="7" cm="1">
        <f t="array" aca="1" ref="AE5" ca="1">_xlfn.IFNA(INDEX(jkm_call_put!$L:$L,MATCH($B5&amp;AE$2&amp;$A$1,jkm_call_put!$G:$G&amp;jkm_call_put!$O:$O&amp;jkm_call_put!$F:$F,0),1),"")</f>
        <v>30.3706</v>
      </c>
      <c r="AF5" s="7" t="str" cm="1">
        <f t="array" aca="1" ref="AF5" ca="1">_xlfn.IFNA(INDEX(jkm_call_put!$L:$L,MATCH($B5&amp;AF$2&amp;$A$1,jkm_call_put!$G:$G&amp;jkm_call_put!$O:$O&amp;jkm_call_put!$F:$F,0),1),"")</f>
        <v/>
      </c>
      <c r="AG5" s="7" t="str" cm="1">
        <f t="array" aca="1" ref="AG5" ca="1">_xlfn.IFNA(INDEX(jkm_call_put!$L:$L,MATCH($B5&amp;AG$2&amp;$A$1,jkm_call_put!$G:$G&amp;jkm_call_put!$O:$O&amp;jkm_call_put!$F:$F,0),1),"")</f>
        <v/>
      </c>
      <c r="AH5" s="7" t="str" cm="1">
        <f t="array" aca="1" ref="AH5" ca="1">_xlfn.IFNA(INDEX(jkm_call_put!$L:$L,MATCH($B5&amp;AH$2&amp;$A$1,jkm_call_put!$G:$G&amp;jkm_call_put!$O:$O&amp;jkm_call_put!$F:$F,0),1),"")</f>
        <v/>
      </c>
      <c r="AI5" s="7" t="str" cm="1">
        <f t="array" aca="1" ref="AI5" ca="1">_xlfn.IFNA(INDEX(jkm_call_put!$L:$L,MATCH($B5&amp;AI$2&amp;$A$1,jkm_call_put!$G:$G&amp;jkm_call_put!$O:$O&amp;jkm_call_put!$F:$F,0),1),"")</f>
        <v/>
      </c>
      <c r="AJ5" s="7" t="str" cm="1">
        <f t="array" aca="1" ref="AJ5" ca="1">_xlfn.IFNA(INDEX(jkm_call_put!$L:$L,MATCH($B5&amp;AJ$2&amp;$A$1,jkm_call_put!$G:$G&amp;jkm_call_put!$O:$O&amp;jkm_call_put!$F:$F,0),1),"")</f>
        <v/>
      </c>
      <c r="AK5" s="7" t="str" cm="1">
        <f t="array" aca="1" ref="AK5" ca="1">_xlfn.IFNA(INDEX(jkm_call_put!$L:$L,MATCH($B5&amp;AK$2&amp;$A$1,jkm_call_put!$G:$G&amp;jkm_call_put!$O:$O&amp;jkm_call_put!$F:$F,0),1),"")</f>
        <v/>
      </c>
      <c r="AL5" s="7" t="str" cm="1">
        <f t="array" aca="1" ref="AL5" ca="1">_xlfn.IFNA(INDEX(jkm_call_put!$L:$L,MATCH($B5&amp;AL$2&amp;$A$1,jkm_call_put!$G:$G&amp;jkm_call_put!$O:$O&amp;jkm_call_put!$F:$F,0),1),"")</f>
        <v/>
      </c>
    </row>
    <row r="6" spans="1:38" x14ac:dyDescent="0.25">
      <c r="B6">
        <v>7.6</v>
      </c>
      <c r="C6" s="7" t="str" cm="1">
        <f t="array" aca="1" ref="C6" ca="1">_xlfn.IFNA(INDEX(jkm_call_put!$L:$L,MATCH($B6&amp;C$2&amp;$A$1,jkm_call_put!$G:$G&amp;jkm_call_put!$O:$O&amp;jkm_call_put!$F:$F,0),1),"")</f>
        <v/>
      </c>
      <c r="D6" s="7" t="str" cm="1">
        <f t="array" aca="1" ref="D6" ca="1">_xlfn.IFNA(INDEX(jkm_call_put!$L:$L,MATCH($B6&amp;D$2&amp;$A$1,jkm_call_put!$G:$G&amp;jkm_call_put!$O:$O&amp;jkm_call_put!$F:$F,0),1),"")</f>
        <v/>
      </c>
      <c r="E6" s="7" t="str" cm="1">
        <f t="array" aca="1" ref="E6" ca="1">_xlfn.IFNA(INDEX(jkm_call_put!$L:$L,MATCH($B6&amp;E$2&amp;$A$1,jkm_call_put!$G:$G&amp;jkm_call_put!$O:$O&amp;jkm_call_put!$F:$F,0),1),"")</f>
        <v/>
      </c>
      <c r="F6" s="7" t="str" cm="1">
        <f t="array" aca="1" ref="F6" ca="1">_xlfn.IFNA(INDEX(jkm_call_put!$L:$L,MATCH($B6&amp;F$2&amp;$A$1,jkm_call_put!$G:$G&amp;jkm_call_put!$O:$O&amp;jkm_call_put!$F:$F,0),1),"")</f>
        <v/>
      </c>
      <c r="G6" s="7" t="str" cm="1">
        <f t="array" aca="1" ref="G6" ca="1">_xlfn.IFNA(INDEX(jkm_call_put!$L:$L,MATCH($B6&amp;G$2&amp;$A$1,jkm_call_put!$G:$G&amp;jkm_call_put!$O:$O&amp;jkm_call_put!$F:$F,0),1),"")</f>
        <v/>
      </c>
      <c r="H6" s="7" t="str" cm="1">
        <f t="array" aca="1" ref="H6" ca="1">_xlfn.IFNA(INDEX(jkm_call_put!$L:$L,MATCH($B6&amp;H$2&amp;$A$1,jkm_call_put!$G:$G&amp;jkm_call_put!$O:$O&amp;jkm_call_put!$F:$F,0),1),"")</f>
        <v/>
      </c>
      <c r="I6" s="7" t="str" cm="1">
        <f t="array" aca="1" ref="I6" ca="1">_xlfn.IFNA(INDEX(jkm_call_put!$L:$L,MATCH($B6&amp;I$2&amp;$A$1,jkm_call_put!$G:$G&amp;jkm_call_put!$O:$O&amp;jkm_call_put!$F:$F,0),1),"")</f>
        <v/>
      </c>
      <c r="J6" s="7" t="str" cm="1">
        <f t="array" aca="1" ref="J6" ca="1">_xlfn.IFNA(INDEX(jkm_call_put!$L:$L,MATCH($B6&amp;J$2&amp;$A$1,jkm_call_put!$G:$G&amp;jkm_call_put!$O:$O&amp;jkm_call_put!$F:$F,0),1),"")</f>
        <v/>
      </c>
      <c r="K6" s="7" t="str" cm="1">
        <f t="array" aca="1" ref="K6" ca="1">_xlfn.IFNA(INDEX(jkm_call_put!$L:$L,MATCH($B6&amp;K$2&amp;$A$1,jkm_call_put!$G:$G&amp;jkm_call_put!$O:$O&amp;jkm_call_put!$F:$F,0),1),"")</f>
        <v/>
      </c>
      <c r="L6" s="7" t="str" cm="1">
        <f t="array" aca="1" ref="L6" ca="1">_xlfn.IFNA(INDEX(jkm_call_put!$L:$L,MATCH($B6&amp;L$2&amp;$A$1,jkm_call_put!$G:$G&amp;jkm_call_put!$O:$O&amp;jkm_call_put!$F:$F,0),1),"")</f>
        <v/>
      </c>
      <c r="M6" s="7" t="str" cm="1">
        <f t="array" aca="1" ref="M6" ca="1">_xlfn.IFNA(INDEX(jkm_call_put!$L:$L,MATCH($B6&amp;M$2&amp;$A$1,jkm_call_put!$G:$G&amp;jkm_call_put!$O:$O&amp;jkm_call_put!$F:$F,0),1),"")</f>
        <v/>
      </c>
      <c r="N6" s="7" t="str" cm="1">
        <f t="array" aca="1" ref="N6" ca="1">_xlfn.IFNA(INDEX(jkm_call_put!$L:$L,MATCH($B6&amp;N$2&amp;$A$1,jkm_call_put!$G:$G&amp;jkm_call_put!$O:$O&amp;jkm_call_put!$F:$F,0),1),"")</f>
        <v/>
      </c>
      <c r="O6" s="7" t="str" cm="1">
        <f t="array" aca="1" ref="O6" ca="1">_xlfn.IFNA(INDEX(jkm_call_put!$L:$L,MATCH($B6&amp;O$2&amp;$A$1,jkm_call_put!$G:$G&amp;jkm_call_put!$O:$O&amp;jkm_call_put!$F:$F,0),1),"")</f>
        <v/>
      </c>
      <c r="P6" s="7" t="str" cm="1">
        <f t="array" aca="1" ref="P6" ca="1">_xlfn.IFNA(INDEX(jkm_call_put!$L:$L,MATCH($B6&amp;P$2&amp;$A$1,jkm_call_put!$G:$G&amp;jkm_call_put!$O:$O&amp;jkm_call_put!$F:$F,0),1),"")</f>
        <v/>
      </c>
      <c r="Q6" s="7" t="str" cm="1">
        <f t="array" aca="1" ref="Q6" ca="1">_xlfn.IFNA(INDEX(jkm_call_put!$L:$L,MATCH($B6&amp;Q$2&amp;$A$1,jkm_call_put!$G:$G&amp;jkm_call_put!$O:$O&amp;jkm_call_put!$F:$F,0),1),"")</f>
        <v/>
      </c>
      <c r="R6" s="7" t="str" cm="1">
        <f t="array" aca="1" ref="R6" ca="1">_xlfn.IFNA(INDEX(jkm_call_put!$L:$L,MATCH($B6&amp;R$2&amp;$A$1,jkm_call_put!$G:$G&amp;jkm_call_put!$O:$O&amp;jkm_call_put!$F:$F,0),1),"")</f>
        <v/>
      </c>
      <c r="S6" s="7" t="str" cm="1">
        <f t="array" aca="1" ref="S6" ca="1">_xlfn.IFNA(INDEX(jkm_call_put!$L:$L,MATCH($B6&amp;S$2&amp;$A$1,jkm_call_put!$G:$G&amp;jkm_call_put!$O:$O&amp;jkm_call_put!$F:$F,0),1),"")</f>
        <v/>
      </c>
      <c r="T6" s="7" t="str" cm="1">
        <f t="array" aca="1" ref="T6" ca="1">_xlfn.IFNA(INDEX(jkm_call_put!$L:$L,MATCH($B6&amp;T$2&amp;$A$1,jkm_call_put!$G:$G&amp;jkm_call_put!$O:$O&amp;jkm_call_put!$F:$F,0),1),"")</f>
        <v/>
      </c>
      <c r="U6" s="7" t="str" cm="1">
        <f t="array" aca="1" ref="U6" ca="1">_xlfn.IFNA(INDEX(jkm_call_put!$L:$L,MATCH($B6&amp;U$2&amp;$A$1,jkm_call_put!$G:$G&amp;jkm_call_put!$O:$O&amp;jkm_call_put!$F:$F,0),1),"")</f>
        <v/>
      </c>
      <c r="V6" s="7" t="str" cm="1">
        <f t="array" aca="1" ref="V6" ca="1">_xlfn.IFNA(INDEX(jkm_call_put!$L:$L,MATCH($B6&amp;V$2&amp;$A$1,jkm_call_put!$G:$G&amp;jkm_call_put!$O:$O&amp;jkm_call_put!$F:$F,0),1),"")</f>
        <v/>
      </c>
      <c r="W6" s="7" t="str" cm="1">
        <f t="array" aca="1" ref="W6" ca="1">_xlfn.IFNA(INDEX(jkm_call_put!$L:$L,MATCH($B6&amp;W$2&amp;$A$1,jkm_call_put!$G:$G&amp;jkm_call_put!$O:$O&amp;jkm_call_put!$F:$F,0),1),"")</f>
        <v/>
      </c>
      <c r="X6" s="7" t="str" cm="1">
        <f t="array" aca="1" ref="X6" ca="1">_xlfn.IFNA(INDEX(jkm_call_put!$L:$L,MATCH($B6&amp;X$2&amp;$A$1,jkm_call_put!$G:$G&amp;jkm_call_put!$O:$O&amp;jkm_call_put!$F:$F,0),1),"")</f>
        <v/>
      </c>
      <c r="Y6" s="7" t="str" cm="1">
        <f t="array" aca="1" ref="Y6" ca="1">_xlfn.IFNA(INDEX(jkm_call_put!$L:$L,MATCH($B6&amp;Y$2&amp;$A$1,jkm_call_put!$G:$G&amp;jkm_call_put!$O:$O&amp;jkm_call_put!$F:$F,0),1),"")</f>
        <v/>
      </c>
      <c r="Z6" s="7" t="str" cm="1">
        <f t="array" aca="1" ref="Z6" ca="1">_xlfn.IFNA(INDEX(jkm_call_put!$L:$L,MATCH($B6&amp;Z$2&amp;$A$1,jkm_call_put!$G:$G&amp;jkm_call_put!$O:$O&amp;jkm_call_put!$F:$F,0),1),"")</f>
        <v/>
      </c>
      <c r="AA6" s="7" t="str" cm="1">
        <f t="array" aca="1" ref="AA6" ca="1">_xlfn.IFNA(INDEX(jkm_call_put!$L:$L,MATCH($B6&amp;AA$2&amp;$A$1,jkm_call_put!$G:$G&amp;jkm_call_put!$O:$O&amp;jkm_call_put!$F:$F,0),1),"")</f>
        <v/>
      </c>
      <c r="AB6" s="7" t="str" cm="1">
        <f t="array" aca="1" ref="AB6" ca="1">_xlfn.IFNA(INDEX(jkm_call_put!$L:$L,MATCH($B6&amp;AB$2&amp;$A$1,jkm_call_put!$G:$G&amp;jkm_call_put!$O:$O&amp;jkm_call_put!$F:$F,0),1),"")</f>
        <v/>
      </c>
      <c r="AC6" s="7" t="str" cm="1">
        <f t="array" aca="1" ref="AC6" ca="1">_xlfn.IFNA(INDEX(jkm_call_put!$L:$L,MATCH($B6&amp;AC$2&amp;$A$1,jkm_call_put!$G:$G&amp;jkm_call_put!$O:$O&amp;jkm_call_put!$F:$F,0),1),"")</f>
        <v/>
      </c>
      <c r="AD6" s="7" t="str" cm="1">
        <f t="array" aca="1" ref="AD6" ca="1">_xlfn.IFNA(INDEX(jkm_call_put!$L:$L,MATCH($B6&amp;AD$2&amp;$A$1,jkm_call_put!$G:$G&amp;jkm_call_put!$O:$O&amp;jkm_call_put!$F:$F,0),1),"")</f>
        <v/>
      </c>
      <c r="AE6" s="7" cm="1">
        <f t="array" aca="1" ref="AE6" ca="1">_xlfn.IFNA(INDEX(jkm_call_put!$L:$L,MATCH($B6&amp;AE$2&amp;$A$1,jkm_call_put!$G:$G&amp;jkm_call_put!$O:$O&amp;jkm_call_put!$F:$F,0),1),"")</f>
        <v>30.301100000000002</v>
      </c>
      <c r="AF6" s="7" t="str" cm="1">
        <f t="array" aca="1" ref="AF6" ca="1">_xlfn.IFNA(INDEX(jkm_call_put!$L:$L,MATCH($B6&amp;AF$2&amp;$A$1,jkm_call_put!$G:$G&amp;jkm_call_put!$O:$O&amp;jkm_call_put!$F:$F,0),1),"")</f>
        <v/>
      </c>
      <c r="AG6" s="7" t="str" cm="1">
        <f t="array" aca="1" ref="AG6" ca="1">_xlfn.IFNA(INDEX(jkm_call_put!$L:$L,MATCH($B6&amp;AG$2&amp;$A$1,jkm_call_put!$G:$G&amp;jkm_call_put!$O:$O&amp;jkm_call_put!$F:$F,0),1),"")</f>
        <v/>
      </c>
      <c r="AH6" s="7" t="str" cm="1">
        <f t="array" aca="1" ref="AH6" ca="1">_xlfn.IFNA(INDEX(jkm_call_put!$L:$L,MATCH($B6&amp;AH$2&amp;$A$1,jkm_call_put!$G:$G&amp;jkm_call_put!$O:$O&amp;jkm_call_put!$F:$F,0),1),"")</f>
        <v/>
      </c>
      <c r="AI6" s="7" t="str" cm="1">
        <f t="array" aca="1" ref="AI6" ca="1">_xlfn.IFNA(INDEX(jkm_call_put!$L:$L,MATCH($B6&amp;AI$2&amp;$A$1,jkm_call_put!$G:$G&amp;jkm_call_put!$O:$O&amp;jkm_call_put!$F:$F,0),1),"")</f>
        <v/>
      </c>
      <c r="AJ6" s="7" t="str" cm="1">
        <f t="array" aca="1" ref="AJ6" ca="1">_xlfn.IFNA(INDEX(jkm_call_put!$L:$L,MATCH($B6&amp;AJ$2&amp;$A$1,jkm_call_put!$G:$G&amp;jkm_call_put!$O:$O&amp;jkm_call_put!$F:$F,0),1),"")</f>
        <v/>
      </c>
      <c r="AK6" s="7" t="str" cm="1">
        <f t="array" aca="1" ref="AK6" ca="1">_xlfn.IFNA(INDEX(jkm_call_put!$L:$L,MATCH($B6&amp;AK$2&amp;$A$1,jkm_call_put!$G:$G&amp;jkm_call_put!$O:$O&amp;jkm_call_put!$F:$F,0),1),"")</f>
        <v/>
      </c>
      <c r="AL6" s="7" t="str" cm="1">
        <f t="array" aca="1" ref="AL6" ca="1">_xlfn.IFNA(INDEX(jkm_call_put!$L:$L,MATCH($B6&amp;AL$2&amp;$A$1,jkm_call_put!$G:$G&amp;jkm_call_put!$O:$O&amp;jkm_call_put!$F:$F,0),1),"")</f>
        <v/>
      </c>
    </row>
    <row r="7" spans="1:38" x14ac:dyDescent="0.25">
      <c r="B7">
        <v>8</v>
      </c>
      <c r="C7" s="7" cm="1">
        <f t="array" aca="1" ref="C7" ca="1">_xlfn.IFNA(INDEX(jkm_call_put!$L:$L,MATCH($B7&amp;C$2&amp;$A$1,jkm_call_put!$G:$G&amp;jkm_call_put!$O:$O&amp;jkm_call_put!$F:$F,0),1),"")</f>
        <v>68.337699999999998</v>
      </c>
      <c r="D7" s="7" cm="1">
        <f t="array" aca="1" ref="D7" ca="1">_xlfn.IFNA(INDEX(jkm_call_put!$L:$L,MATCH($B7&amp;D$2&amp;$A$1,jkm_call_put!$G:$G&amp;jkm_call_put!$O:$O&amp;jkm_call_put!$F:$F,0),1),"")</f>
        <v>46.440899999999999</v>
      </c>
      <c r="E7" s="7" cm="1">
        <f t="array" aca="1" ref="E7" ca="1">_xlfn.IFNA(INDEX(jkm_call_put!$L:$L,MATCH($B7&amp;E$2&amp;$A$1,jkm_call_put!$G:$G&amp;jkm_call_put!$O:$O&amp;jkm_call_put!$F:$F,0),1),"")</f>
        <v>75.213200000000001</v>
      </c>
      <c r="F7" s="7" cm="1">
        <f t="array" aca="1" ref="F7" ca="1">_xlfn.IFNA(INDEX(jkm_call_put!$L:$L,MATCH($B7&amp;F$2&amp;$A$1,jkm_call_put!$G:$G&amp;jkm_call_put!$O:$O&amp;jkm_call_put!$F:$F,0),1),"")</f>
        <v>77.622100000000003</v>
      </c>
      <c r="G7" s="7" cm="1">
        <f t="array" aca="1" ref="G7" ca="1">_xlfn.IFNA(INDEX(jkm_call_put!$L:$L,MATCH($B7&amp;G$2&amp;$A$1,jkm_call_put!$G:$G&amp;jkm_call_put!$O:$O&amp;jkm_call_put!$F:$F,0),1),"")</f>
        <v>79.237899999999996</v>
      </c>
      <c r="H7" s="7" t="str" cm="1">
        <f t="array" aca="1" ref="H7" ca="1">_xlfn.IFNA(INDEX(jkm_call_put!$L:$L,MATCH($B7&amp;H$2&amp;$A$1,jkm_call_put!$G:$G&amp;jkm_call_put!$O:$O&amp;jkm_call_put!$F:$F,0),1),"")</f>
        <v/>
      </c>
      <c r="I7" s="7" t="str" cm="1">
        <f t="array" aca="1" ref="I7" ca="1">_xlfn.IFNA(INDEX(jkm_call_put!$L:$L,MATCH($B7&amp;I$2&amp;$A$1,jkm_call_put!$G:$G&amp;jkm_call_put!$O:$O&amp;jkm_call_put!$F:$F,0),1),"")</f>
        <v/>
      </c>
      <c r="J7" s="7" cm="1">
        <f t="array" aca="1" ref="J7" ca="1">_xlfn.IFNA(INDEX(jkm_call_put!$L:$L,MATCH($B7&amp;J$2&amp;$A$1,jkm_call_put!$G:$G&amp;jkm_call_put!$O:$O&amp;jkm_call_put!$F:$F,0),1),"")</f>
        <v>62.921199999999999</v>
      </c>
      <c r="K7" s="7" cm="1">
        <f t="array" aca="1" ref="K7" ca="1">_xlfn.IFNA(INDEX(jkm_call_put!$L:$L,MATCH($B7&amp;K$2&amp;$A$1,jkm_call_put!$G:$G&amp;jkm_call_put!$O:$O&amp;jkm_call_put!$F:$F,0),1),"")</f>
        <v>63.0242</v>
      </c>
      <c r="L7" s="7" cm="1">
        <f t="array" aca="1" ref="L7" ca="1">_xlfn.IFNA(INDEX(jkm_call_put!$L:$L,MATCH($B7&amp;L$2&amp;$A$1,jkm_call_put!$G:$G&amp;jkm_call_put!$O:$O&amp;jkm_call_put!$F:$F,0),1),"")</f>
        <v>63.308100000000003</v>
      </c>
      <c r="M7" s="7" cm="1">
        <f t="array" aca="1" ref="M7" ca="1">_xlfn.IFNA(INDEX(jkm_call_put!$L:$L,MATCH($B7&amp;M$2&amp;$A$1,jkm_call_put!$G:$G&amp;jkm_call_put!$O:$O&amp;jkm_call_put!$F:$F,0),1),"")</f>
        <v>63.500700000000002</v>
      </c>
      <c r="N7" s="7" t="str" cm="1">
        <f t="array" aca="1" ref="N7" ca="1">_xlfn.IFNA(INDEX(jkm_call_put!$L:$L,MATCH($B7&amp;N$2&amp;$A$1,jkm_call_put!$G:$G&amp;jkm_call_put!$O:$O&amp;jkm_call_put!$F:$F,0),1),"")</f>
        <v/>
      </c>
      <c r="O7" s="7" cm="1">
        <f t="array" aca="1" ref="O7" ca="1">_xlfn.IFNA(INDEX(jkm_call_put!$L:$L,MATCH($B7&amp;O$2&amp;$A$1,jkm_call_put!$G:$G&amp;jkm_call_put!$O:$O&amp;jkm_call_put!$F:$F,0),1),"")</f>
        <v>47.880800000000001</v>
      </c>
      <c r="P7" s="7" cm="1">
        <f t="array" aca="1" ref="P7" ca="1">_xlfn.IFNA(INDEX(jkm_call_put!$L:$L,MATCH($B7&amp;P$2&amp;$A$1,jkm_call_put!$G:$G&amp;jkm_call_put!$O:$O&amp;jkm_call_put!$F:$F,0),1),"")</f>
        <v>48.079799999999999</v>
      </c>
      <c r="Q7" s="7" t="str" cm="1">
        <f t="array" aca="1" ref="Q7" ca="1">_xlfn.IFNA(INDEX(jkm_call_put!$L:$L,MATCH($B7&amp;Q$2&amp;$A$1,jkm_call_put!$G:$G&amp;jkm_call_put!$O:$O&amp;jkm_call_put!$F:$F,0),1),"")</f>
        <v/>
      </c>
      <c r="R7" s="7" t="str" cm="1">
        <f t="array" aca="1" ref="R7" ca="1">_xlfn.IFNA(INDEX(jkm_call_put!$L:$L,MATCH($B7&amp;R$2&amp;$A$1,jkm_call_put!$G:$G&amp;jkm_call_put!$O:$O&amp;jkm_call_put!$F:$F,0),1),"")</f>
        <v/>
      </c>
      <c r="S7" s="7" t="str" cm="1">
        <f t="array" aca="1" ref="S7" ca="1">_xlfn.IFNA(INDEX(jkm_call_put!$L:$L,MATCH($B7&amp;S$2&amp;$A$1,jkm_call_put!$G:$G&amp;jkm_call_put!$O:$O&amp;jkm_call_put!$F:$F,0),1),"")</f>
        <v/>
      </c>
      <c r="T7" s="7" t="str" cm="1">
        <f t="array" aca="1" ref="T7" ca="1">_xlfn.IFNA(INDEX(jkm_call_put!$L:$L,MATCH($B7&amp;T$2&amp;$A$1,jkm_call_put!$G:$G&amp;jkm_call_put!$O:$O&amp;jkm_call_put!$F:$F,0),1),"")</f>
        <v/>
      </c>
      <c r="U7" s="7" t="str" cm="1">
        <f t="array" aca="1" ref="U7" ca="1">_xlfn.IFNA(INDEX(jkm_call_put!$L:$L,MATCH($B7&amp;U$2&amp;$A$1,jkm_call_put!$G:$G&amp;jkm_call_put!$O:$O&amp;jkm_call_put!$F:$F,0),1),"")</f>
        <v/>
      </c>
      <c r="V7" s="7" t="str" cm="1">
        <f t="array" aca="1" ref="V7" ca="1">_xlfn.IFNA(INDEX(jkm_call_put!$L:$L,MATCH($B7&amp;V$2&amp;$A$1,jkm_call_put!$G:$G&amp;jkm_call_put!$O:$O&amp;jkm_call_put!$F:$F,0),1),"")</f>
        <v/>
      </c>
      <c r="W7" s="7" cm="1">
        <f t="array" aca="1" ref="W7" ca="1">_xlfn.IFNA(INDEX(jkm_call_put!$L:$L,MATCH($B7&amp;W$2&amp;$A$1,jkm_call_put!$G:$G&amp;jkm_call_put!$O:$O&amp;jkm_call_put!$F:$F,0),1),"")</f>
        <v>35.070399999999999</v>
      </c>
      <c r="X7" s="7" cm="1">
        <f t="array" aca="1" ref="X7" ca="1">_xlfn.IFNA(INDEX(jkm_call_put!$L:$L,MATCH($B7&amp;X$2&amp;$A$1,jkm_call_put!$G:$G&amp;jkm_call_put!$O:$O&amp;jkm_call_put!$F:$F,0),1),"")</f>
        <v>35.119599999999998</v>
      </c>
      <c r="Y7" s="7" cm="1">
        <f t="array" aca="1" ref="Y7" ca="1">_xlfn.IFNA(INDEX(jkm_call_put!$L:$L,MATCH($B7&amp;Y$2&amp;$A$1,jkm_call_put!$G:$G&amp;jkm_call_put!$O:$O&amp;jkm_call_put!$F:$F,0),1),"")</f>
        <v>35.097299999999997</v>
      </c>
      <c r="Z7" s="7" cm="1">
        <f t="array" aca="1" ref="Z7" ca="1">_xlfn.IFNA(INDEX(jkm_call_put!$L:$L,MATCH($B7&amp;Z$2&amp;$A$1,jkm_call_put!$G:$G&amp;jkm_call_put!$O:$O&amp;jkm_call_put!$F:$F,0),1),"")</f>
        <v>30.1983</v>
      </c>
      <c r="AA7" s="7" cm="1">
        <f t="array" aca="1" ref="AA7" ca="1">_xlfn.IFNA(INDEX(jkm_call_put!$L:$L,MATCH($B7&amp;AA$2&amp;$A$1,jkm_call_put!$G:$G&amp;jkm_call_put!$O:$O&amp;jkm_call_put!$F:$F,0),1),"")</f>
        <v>30.212199999999999</v>
      </c>
      <c r="AB7" s="7" cm="1">
        <f t="array" aca="1" ref="AB7" ca="1">_xlfn.IFNA(INDEX(jkm_call_put!$L:$L,MATCH($B7&amp;AB$2&amp;$A$1,jkm_call_put!$G:$G&amp;jkm_call_put!$O:$O&amp;jkm_call_put!$F:$F,0),1),"")</f>
        <v>30.188700000000001</v>
      </c>
      <c r="AC7" s="7" cm="1">
        <f t="array" aca="1" ref="AC7" ca="1">_xlfn.IFNA(INDEX(jkm_call_put!$L:$L,MATCH($B7&amp;AC$2&amp;$A$1,jkm_call_put!$G:$G&amp;jkm_call_put!$O:$O&amp;jkm_call_put!$F:$F,0),1),"")</f>
        <v>30.206600000000002</v>
      </c>
      <c r="AD7" s="7" cm="1">
        <f t="array" aca="1" ref="AD7" ca="1">_xlfn.IFNA(INDEX(jkm_call_put!$L:$L,MATCH($B7&amp;AD$2&amp;$A$1,jkm_call_put!$G:$G&amp;jkm_call_put!$O:$O&amp;jkm_call_put!$F:$F,0),1),"")</f>
        <v>30.2605</v>
      </c>
      <c r="AE7" s="7" cm="1">
        <f t="array" aca="1" ref="AE7" ca="1">_xlfn.IFNA(INDEX(jkm_call_put!$L:$L,MATCH($B7&amp;AE$2&amp;$A$1,jkm_call_put!$G:$G&amp;jkm_call_put!$O:$O&amp;jkm_call_put!$F:$F,0),1),"")</f>
        <v>30.255700000000001</v>
      </c>
      <c r="AF7" s="7" cm="1">
        <f t="array" aca="1" ref="AF7" ca="1">_xlfn.IFNA(INDEX(jkm_call_put!$L:$L,MATCH($B7&amp;AF$2&amp;$A$1,jkm_call_put!$G:$G&amp;jkm_call_put!$O:$O&amp;jkm_call_put!$F:$F,0),1),"")</f>
        <v>35.195799999999998</v>
      </c>
      <c r="AG7" s="7" cm="1">
        <f t="array" aca="1" ref="AG7" ca="1">_xlfn.IFNA(INDEX(jkm_call_put!$L:$L,MATCH($B7&amp;AG$2&amp;$A$1,jkm_call_put!$G:$G&amp;jkm_call_put!$O:$O&amp;jkm_call_put!$F:$F,0),1),"")</f>
        <v>35.275399999999998</v>
      </c>
      <c r="AH7" s="7" cm="1">
        <f t="array" aca="1" ref="AH7" ca="1">_xlfn.IFNA(INDEX(jkm_call_put!$L:$L,MATCH($B7&amp;AH$2&amp;$A$1,jkm_call_put!$G:$G&amp;jkm_call_put!$O:$O&amp;jkm_call_put!$F:$F,0),1),"")</f>
        <v>35.243099999999998</v>
      </c>
      <c r="AI7" s="7" t="str" cm="1">
        <f t="array" aca="1" ref="AI7" ca="1">_xlfn.IFNA(INDEX(jkm_call_put!$L:$L,MATCH($B7&amp;AI$2&amp;$A$1,jkm_call_put!$G:$G&amp;jkm_call_put!$O:$O&amp;jkm_call_put!$F:$F,0),1),"")</f>
        <v/>
      </c>
      <c r="AJ7" s="7" t="str" cm="1">
        <f t="array" aca="1" ref="AJ7" ca="1">_xlfn.IFNA(INDEX(jkm_call_put!$L:$L,MATCH($B7&amp;AJ$2&amp;$A$1,jkm_call_put!$G:$G&amp;jkm_call_put!$O:$O&amp;jkm_call_put!$F:$F,0),1),"")</f>
        <v/>
      </c>
      <c r="AK7" s="7" t="str" cm="1">
        <f t="array" aca="1" ref="AK7" ca="1">_xlfn.IFNA(INDEX(jkm_call_put!$L:$L,MATCH($B7&amp;AK$2&amp;$A$1,jkm_call_put!$G:$G&amp;jkm_call_put!$O:$O&amp;jkm_call_put!$F:$F,0),1),"")</f>
        <v/>
      </c>
      <c r="AL7" s="7" t="str" cm="1">
        <f t="array" aca="1" ref="AL7" ca="1">_xlfn.IFNA(INDEX(jkm_call_put!$L:$L,MATCH($B7&amp;AL$2&amp;$A$1,jkm_call_put!$G:$G&amp;jkm_call_put!$O:$O&amp;jkm_call_put!$F:$F,0),1),"")</f>
        <v/>
      </c>
    </row>
    <row r="8" spans="1:38" x14ac:dyDescent="0.25">
      <c r="B8">
        <v>8.5</v>
      </c>
      <c r="C8" s="7" t="str" cm="1">
        <f t="array" aca="1" ref="C8" ca="1">_xlfn.IFNA(INDEX(jkm_call_put!$L:$L,MATCH($B8&amp;C$2&amp;$A$1,jkm_call_put!$G:$G&amp;jkm_call_put!$O:$O&amp;jkm_call_put!$F:$F,0),1),"")</f>
        <v/>
      </c>
      <c r="D8" s="7" cm="1">
        <f t="array" aca="1" ref="D8" ca="1">_xlfn.IFNA(INDEX(jkm_call_put!$L:$L,MATCH($B8&amp;D$2&amp;$A$1,jkm_call_put!$G:$G&amp;jkm_call_put!$O:$O&amp;jkm_call_put!$F:$F,0),1),"")</f>
        <v>43.235100000000003</v>
      </c>
      <c r="E8" s="7" cm="1">
        <f t="array" aca="1" ref="E8" ca="1">_xlfn.IFNA(INDEX(jkm_call_put!$L:$L,MATCH($B8&amp;E$2&amp;$A$1,jkm_call_put!$G:$G&amp;jkm_call_put!$O:$O&amp;jkm_call_put!$F:$F,0),1),"")</f>
        <v>75.214100000000002</v>
      </c>
      <c r="F8" s="7" t="str" cm="1">
        <f t="array" aca="1" ref="F8" ca="1">_xlfn.IFNA(INDEX(jkm_call_put!$L:$L,MATCH($B8&amp;F$2&amp;$A$1,jkm_call_put!$G:$G&amp;jkm_call_put!$O:$O&amp;jkm_call_put!$F:$F,0),1),"")</f>
        <v/>
      </c>
      <c r="G8" s="7" t="str" cm="1">
        <f t="array" aca="1" ref="G8" ca="1">_xlfn.IFNA(INDEX(jkm_call_put!$L:$L,MATCH($B8&amp;G$2&amp;$A$1,jkm_call_put!$G:$G&amp;jkm_call_put!$O:$O&amp;jkm_call_put!$F:$F,0),1),"")</f>
        <v/>
      </c>
      <c r="H8" s="7" cm="1">
        <f t="array" aca="1" ref="H8" ca="1">_xlfn.IFNA(INDEX(jkm_call_put!$L:$L,MATCH($B8&amp;H$2&amp;$A$1,jkm_call_put!$G:$G&amp;jkm_call_put!$O:$O&amp;jkm_call_put!$F:$F,0),1),"")</f>
        <v>61.785699999999999</v>
      </c>
      <c r="I8" s="7" cm="1">
        <f t="array" aca="1" ref="I8" ca="1">_xlfn.IFNA(INDEX(jkm_call_put!$L:$L,MATCH($B8&amp;I$2&amp;$A$1,jkm_call_put!$G:$G&amp;jkm_call_put!$O:$O&amp;jkm_call_put!$F:$F,0),1),"")</f>
        <v>62.4377</v>
      </c>
      <c r="J8" s="7" t="str" cm="1">
        <f t="array" aca="1" ref="J8" ca="1">_xlfn.IFNA(INDEX(jkm_call_put!$L:$L,MATCH($B8&amp;J$2&amp;$A$1,jkm_call_put!$G:$G&amp;jkm_call_put!$O:$O&amp;jkm_call_put!$F:$F,0),1),"")</f>
        <v/>
      </c>
      <c r="K8" s="7" cm="1">
        <f t="array" aca="1" ref="K8" ca="1">_xlfn.IFNA(INDEX(jkm_call_put!$L:$L,MATCH($B8&amp;K$2&amp;$A$1,jkm_call_put!$G:$G&amp;jkm_call_put!$O:$O&amp;jkm_call_put!$F:$F,0),1),"")</f>
        <v>63.048999999999999</v>
      </c>
      <c r="L8" s="7" t="str" cm="1">
        <f t="array" aca="1" ref="L8" ca="1">_xlfn.IFNA(INDEX(jkm_call_put!$L:$L,MATCH($B8&amp;L$2&amp;$A$1,jkm_call_put!$G:$G&amp;jkm_call_put!$O:$O&amp;jkm_call_put!$F:$F,0),1),"")</f>
        <v/>
      </c>
      <c r="M8" s="7" t="str" cm="1">
        <f t="array" aca="1" ref="M8" ca="1">_xlfn.IFNA(INDEX(jkm_call_put!$L:$L,MATCH($B8&amp;M$2&amp;$A$1,jkm_call_put!$G:$G&amp;jkm_call_put!$O:$O&amp;jkm_call_put!$F:$F,0),1),"")</f>
        <v/>
      </c>
      <c r="N8" s="7" t="str" cm="1">
        <f t="array" aca="1" ref="N8" ca="1">_xlfn.IFNA(INDEX(jkm_call_put!$L:$L,MATCH($B8&amp;N$2&amp;$A$1,jkm_call_put!$G:$G&amp;jkm_call_put!$O:$O&amp;jkm_call_put!$F:$F,0),1),"")</f>
        <v/>
      </c>
      <c r="O8" s="7" t="str" cm="1">
        <f t="array" aca="1" ref="O8" ca="1">_xlfn.IFNA(INDEX(jkm_call_put!$L:$L,MATCH($B8&amp;O$2&amp;$A$1,jkm_call_put!$G:$G&amp;jkm_call_put!$O:$O&amp;jkm_call_put!$F:$F,0),1),"")</f>
        <v/>
      </c>
      <c r="P8" s="7" t="str" cm="1">
        <f t="array" aca="1" ref="P8" ca="1">_xlfn.IFNA(INDEX(jkm_call_put!$L:$L,MATCH($B8&amp;P$2&amp;$A$1,jkm_call_put!$G:$G&amp;jkm_call_put!$O:$O&amp;jkm_call_put!$F:$F,0),1),"")</f>
        <v/>
      </c>
      <c r="Q8" s="7" t="str" cm="1">
        <f t="array" aca="1" ref="Q8" ca="1">_xlfn.IFNA(INDEX(jkm_call_put!$L:$L,MATCH($B8&amp;Q$2&amp;$A$1,jkm_call_put!$G:$G&amp;jkm_call_put!$O:$O&amp;jkm_call_put!$F:$F,0),1),"")</f>
        <v/>
      </c>
      <c r="R8" s="7" t="str" cm="1">
        <f t="array" aca="1" ref="R8" ca="1">_xlfn.IFNA(INDEX(jkm_call_put!$L:$L,MATCH($B8&amp;R$2&amp;$A$1,jkm_call_put!$G:$G&amp;jkm_call_put!$O:$O&amp;jkm_call_put!$F:$F,0),1),"")</f>
        <v/>
      </c>
      <c r="S8" s="7" t="str" cm="1">
        <f t="array" aca="1" ref="S8" ca="1">_xlfn.IFNA(INDEX(jkm_call_put!$L:$L,MATCH($B8&amp;S$2&amp;$A$1,jkm_call_put!$G:$G&amp;jkm_call_put!$O:$O&amp;jkm_call_put!$F:$F,0),1),"")</f>
        <v/>
      </c>
      <c r="T8" s="7" t="str" cm="1">
        <f t="array" aca="1" ref="T8" ca="1">_xlfn.IFNA(INDEX(jkm_call_put!$L:$L,MATCH($B8&amp;T$2&amp;$A$1,jkm_call_put!$G:$G&amp;jkm_call_put!$O:$O&amp;jkm_call_put!$F:$F,0),1),"")</f>
        <v/>
      </c>
      <c r="U8" s="7" t="str" cm="1">
        <f t="array" aca="1" ref="U8" ca="1">_xlfn.IFNA(INDEX(jkm_call_put!$L:$L,MATCH($B8&amp;U$2&amp;$A$1,jkm_call_put!$G:$G&amp;jkm_call_put!$O:$O&amp;jkm_call_put!$F:$F,0),1),"")</f>
        <v/>
      </c>
      <c r="V8" s="7" t="str" cm="1">
        <f t="array" aca="1" ref="V8" ca="1">_xlfn.IFNA(INDEX(jkm_call_put!$L:$L,MATCH($B8&amp;V$2&amp;$A$1,jkm_call_put!$G:$G&amp;jkm_call_put!$O:$O&amp;jkm_call_put!$F:$F,0),1),"")</f>
        <v/>
      </c>
      <c r="W8" s="7" t="str" cm="1">
        <f t="array" aca="1" ref="W8" ca="1">_xlfn.IFNA(INDEX(jkm_call_put!$L:$L,MATCH($B8&amp;W$2&amp;$A$1,jkm_call_put!$G:$G&amp;jkm_call_put!$O:$O&amp;jkm_call_put!$F:$F,0),1),"")</f>
        <v/>
      </c>
      <c r="X8" s="7" t="str" cm="1">
        <f t="array" aca="1" ref="X8" ca="1">_xlfn.IFNA(INDEX(jkm_call_put!$L:$L,MATCH($B8&amp;X$2&amp;$A$1,jkm_call_put!$G:$G&amp;jkm_call_put!$O:$O&amp;jkm_call_put!$F:$F,0),1),"")</f>
        <v/>
      </c>
      <c r="Y8" s="7" t="str" cm="1">
        <f t="array" aca="1" ref="Y8" ca="1">_xlfn.IFNA(INDEX(jkm_call_put!$L:$L,MATCH($B8&amp;Y$2&amp;$A$1,jkm_call_put!$G:$G&amp;jkm_call_put!$O:$O&amp;jkm_call_put!$F:$F,0),1),"")</f>
        <v/>
      </c>
      <c r="Z8" s="7" t="str" cm="1">
        <f t="array" aca="1" ref="Z8" ca="1">_xlfn.IFNA(INDEX(jkm_call_put!$L:$L,MATCH($B8&amp;Z$2&amp;$A$1,jkm_call_put!$G:$G&amp;jkm_call_put!$O:$O&amp;jkm_call_put!$F:$F,0),1),"")</f>
        <v/>
      </c>
      <c r="AA8" s="7" t="str" cm="1">
        <f t="array" aca="1" ref="AA8" ca="1">_xlfn.IFNA(INDEX(jkm_call_put!$L:$L,MATCH($B8&amp;AA$2&amp;$A$1,jkm_call_put!$G:$G&amp;jkm_call_put!$O:$O&amp;jkm_call_put!$F:$F,0),1),"")</f>
        <v/>
      </c>
      <c r="AB8" s="7" t="str" cm="1">
        <f t="array" aca="1" ref="AB8" ca="1">_xlfn.IFNA(INDEX(jkm_call_put!$L:$L,MATCH($B8&amp;AB$2&amp;$A$1,jkm_call_put!$G:$G&amp;jkm_call_put!$O:$O&amp;jkm_call_put!$F:$F,0),1),"")</f>
        <v/>
      </c>
      <c r="AC8" s="7" t="str" cm="1">
        <f t="array" aca="1" ref="AC8" ca="1">_xlfn.IFNA(INDEX(jkm_call_put!$L:$L,MATCH($B8&amp;AC$2&amp;$A$1,jkm_call_put!$G:$G&amp;jkm_call_put!$O:$O&amp;jkm_call_put!$F:$F,0),1),"")</f>
        <v/>
      </c>
      <c r="AD8" s="7" t="str" cm="1">
        <f t="array" aca="1" ref="AD8" ca="1">_xlfn.IFNA(INDEX(jkm_call_put!$L:$L,MATCH($B8&amp;AD$2&amp;$A$1,jkm_call_put!$G:$G&amp;jkm_call_put!$O:$O&amp;jkm_call_put!$F:$F,0),1),"")</f>
        <v/>
      </c>
      <c r="AE8" s="7" t="str" cm="1">
        <f t="array" aca="1" ref="AE8" ca="1">_xlfn.IFNA(INDEX(jkm_call_put!$L:$L,MATCH($B8&amp;AE$2&amp;$A$1,jkm_call_put!$G:$G&amp;jkm_call_put!$O:$O&amp;jkm_call_put!$F:$F,0),1),"")</f>
        <v/>
      </c>
      <c r="AF8" s="7" t="str" cm="1">
        <f t="array" aca="1" ref="AF8" ca="1">_xlfn.IFNA(INDEX(jkm_call_put!$L:$L,MATCH($B8&amp;AF$2&amp;$A$1,jkm_call_put!$G:$G&amp;jkm_call_put!$O:$O&amp;jkm_call_put!$F:$F,0),1),"")</f>
        <v/>
      </c>
      <c r="AG8" s="7" t="str" cm="1">
        <f t="array" aca="1" ref="AG8" ca="1">_xlfn.IFNA(INDEX(jkm_call_put!$L:$L,MATCH($B8&amp;AG$2&amp;$A$1,jkm_call_put!$G:$G&amp;jkm_call_put!$O:$O&amp;jkm_call_put!$F:$F,0),1),"")</f>
        <v/>
      </c>
      <c r="AH8" s="7" t="str" cm="1">
        <f t="array" aca="1" ref="AH8" ca="1">_xlfn.IFNA(INDEX(jkm_call_put!$L:$L,MATCH($B8&amp;AH$2&amp;$A$1,jkm_call_put!$G:$G&amp;jkm_call_put!$O:$O&amp;jkm_call_put!$F:$F,0),1),"")</f>
        <v/>
      </c>
      <c r="AI8" s="7" t="str" cm="1">
        <f t="array" aca="1" ref="AI8" ca="1">_xlfn.IFNA(INDEX(jkm_call_put!$L:$L,MATCH($B8&amp;AI$2&amp;$A$1,jkm_call_put!$G:$G&amp;jkm_call_put!$O:$O&amp;jkm_call_put!$F:$F,0),1),"")</f>
        <v/>
      </c>
      <c r="AJ8" s="7" t="str" cm="1">
        <f t="array" aca="1" ref="AJ8" ca="1">_xlfn.IFNA(INDEX(jkm_call_put!$L:$L,MATCH($B8&amp;AJ$2&amp;$A$1,jkm_call_put!$G:$G&amp;jkm_call_put!$O:$O&amp;jkm_call_put!$F:$F,0),1),"")</f>
        <v/>
      </c>
      <c r="AK8" s="7" t="str" cm="1">
        <f t="array" aca="1" ref="AK8" ca="1">_xlfn.IFNA(INDEX(jkm_call_put!$L:$L,MATCH($B8&amp;AK$2&amp;$A$1,jkm_call_put!$G:$G&amp;jkm_call_put!$O:$O&amp;jkm_call_put!$F:$F,0),1),"")</f>
        <v/>
      </c>
      <c r="AL8" s="7" t="str" cm="1">
        <f t="array" aca="1" ref="AL8" ca="1">_xlfn.IFNA(INDEX(jkm_call_put!$L:$L,MATCH($B8&amp;AL$2&amp;$A$1,jkm_call_put!$G:$G&amp;jkm_call_put!$O:$O&amp;jkm_call_put!$F:$F,0),1),"")</f>
        <v/>
      </c>
    </row>
    <row r="9" spans="1:38" x14ac:dyDescent="0.25">
      <c r="B9">
        <v>9</v>
      </c>
      <c r="C9" s="7" cm="1">
        <f t="array" aca="1" ref="C9" ca="1">_xlfn.IFNA(INDEX(jkm_call_put!$L:$L,MATCH($B9&amp;C$2&amp;$A$1,jkm_call_put!$G:$G&amp;jkm_call_put!$O:$O&amp;jkm_call_put!$F:$F,0),1),"")</f>
        <v>59.463999999999999</v>
      </c>
      <c r="D9" s="7" cm="1">
        <f t="array" aca="1" ref="D9" ca="1">_xlfn.IFNA(INDEX(jkm_call_put!$L:$L,MATCH($B9&amp;D$2&amp;$A$1,jkm_call_put!$G:$G&amp;jkm_call_put!$O:$O&amp;jkm_call_put!$F:$F,0),1),"")</f>
        <v>43.067399999999999</v>
      </c>
      <c r="E9" s="7" cm="1">
        <f t="array" aca="1" ref="E9" ca="1">_xlfn.IFNA(INDEX(jkm_call_put!$L:$L,MATCH($B9&amp;E$2&amp;$A$1,jkm_call_put!$G:$G&amp;jkm_call_put!$O:$O&amp;jkm_call_put!$F:$F,0),1),"")</f>
        <v>75.214699999999993</v>
      </c>
      <c r="F9" s="7" cm="1">
        <f t="array" aca="1" ref="F9" ca="1">_xlfn.IFNA(INDEX(jkm_call_put!$L:$L,MATCH($B9&amp;F$2&amp;$A$1,jkm_call_put!$G:$G&amp;jkm_call_put!$O:$O&amp;jkm_call_put!$F:$F,0),1),"")</f>
        <v>77.624200000000002</v>
      </c>
      <c r="G9" s="7" cm="1">
        <f t="array" aca="1" ref="G9" ca="1">_xlfn.IFNA(INDEX(jkm_call_put!$L:$L,MATCH($B9&amp;G$2&amp;$A$1,jkm_call_put!$G:$G&amp;jkm_call_put!$O:$O&amp;jkm_call_put!$F:$F,0),1),"")</f>
        <v>79.240099999999998</v>
      </c>
      <c r="H9" s="7" cm="1">
        <f t="array" aca="1" ref="H9" ca="1">_xlfn.IFNA(INDEX(jkm_call_put!$L:$L,MATCH($B9&amp;H$2&amp;$A$1,jkm_call_put!$G:$G&amp;jkm_call_put!$O:$O&amp;jkm_call_put!$F:$F,0),1),"")</f>
        <v>61.810299999999998</v>
      </c>
      <c r="I9" s="7" cm="1">
        <f t="array" aca="1" ref="I9" ca="1">_xlfn.IFNA(INDEX(jkm_call_put!$L:$L,MATCH($B9&amp;I$2&amp;$A$1,jkm_call_put!$G:$G&amp;jkm_call_put!$O:$O&amp;jkm_call_put!$F:$F,0),1),"")</f>
        <v>62.462400000000002</v>
      </c>
      <c r="J9" s="7" cm="1">
        <f t="array" aca="1" ref="J9" ca="1">_xlfn.IFNA(INDEX(jkm_call_put!$L:$L,MATCH($B9&amp;J$2&amp;$A$1,jkm_call_put!$G:$G&amp;jkm_call_put!$O:$O&amp;jkm_call_put!$F:$F,0),1),"")</f>
        <v>62.970799999999997</v>
      </c>
      <c r="K9" s="7" cm="1">
        <f t="array" aca="1" ref="K9" ca="1">_xlfn.IFNA(INDEX(jkm_call_put!$L:$L,MATCH($B9&amp;K$2&amp;$A$1,jkm_call_put!$G:$G&amp;jkm_call_put!$O:$O&amp;jkm_call_put!$F:$F,0),1),"")</f>
        <v>63.073900000000002</v>
      </c>
      <c r="L9" s="7" cm="1">
        <f t="array" aca="1" ref="L9" ca="1">_xlfn.IFNA(INDEX(jkm_call_put!$L:$L,MATCH($B9&amp;L$2&amp;$A$1,jkm_call_put!$G:$G&amp;jkm_call_put!$O:$O&amp;jkm_call_put!$F:$F,0),1),"")</f>
        <v>63.357999999999997</v>
      </c>
      <c r="M9" s="7" cm="1">
        <f t="array" aca="1" ref="M9" ca="1">_xlfn.IFNA(INDEX(jkm_call_put!$L:$L,MATCH($B9&amp;M$2&amp;$A$1,jkm_call_put!$G:$G&amp;jkm_call_put!$O:$O&amp;jkm_call_put!$F:$F,0),1),"")</f>
        <v>63.550800000000002</v>
      </c>
      <c r="N9" s="7" t="str" cm="1">
        <f t="array" aca="1" ref="N9" ca="1">_xlfn.IFNA(INDEX(jkm_call_put!$L:$L,MATCH($B9&amp;N$2&amp;$A$1,jkm_call_put!$G:$G&amp;jkm_call_put!$O:$O&amp;jkm_call_put!$F:$F,0),1),"")</f>
        <v/>
      </c>
      <c r="O9" s="7" t="str" cm="1">
        <f t="array" aca="1" ref="O9" ca="1">_xlfn.IFNA(INDEX(jkm_call_put!$L:$L,MATCH($B9&amp;O$2&amp;$A$1,jkm_call_put!$G:$G&amp;jkm_call_put!$O:$O&amp;jkm_call_put!$F:$F,0),1),"")</f>
        <v/>
      </c>
      <c r="P9" s="7" t="str" cm="1">
        <f t="array" aca="1" ref="P9" ca="1">_xlfn.IFNA(INDEX(jkm_call_put!$L:$L,MATCH($B9&amp;P$2&amp;$A$1,jkm_call_put!$G:$G&amp;jkm_call_put!$O:$O&amp;jkm_call_put!$F:$F,0),1),"")</f>
        <v/>
      </c>
      <c r="Q9" s="7" t="str" cm="1">
        <f t="array" aca="1" ref="Q9" ca="1">_xlfn.IFNA(INDEX(jkm_call_put!$L:$L,MATCH($B9&amp;Q$2&amp;$A$1,jkm_call_put!$G:$G&amp;jkm_call_put!$O:$O&amp;jkm_call_put!$F:$F,0),1),"")</f>
        <v/>
      </c>
      <c r="R9" s="7" t="str" cm="1">
        <f t="array" aca="1" ref="R9" ca="1">_xlfn.IFNA(INDEX(jkm_call_put!$L:$L,MATCH($B9&amp;R$2&amp;$A$1,jkm_call_put!$G:$G&amp;jkm_call_put!$O:$O&amp;jkm_call_put!$F:$F,0),1),"")</f>
        <v/>
      </c>
      <c r="S9" s="7" t="str" cm="1">
        <f t="array" aca="1" ref="S9" ca="1">_xlfn.IFNA(INDEX(jkm_call_put!$L:$L,MATCH($B9&amp;S$2&amp;$A$1,jkm_call_put!$G:$G&amp;jkm_call_put!$O:$O&amp;jkm_call_put!$F:$F,0),1),"")</f>
        <v/>
      </c>
      <c r="T9" s="7" t="str" cm="1">
        <f t="array" aca="1" ref="T9" ca="1">_xlfn.IFNA(INDEX(jkm_call_put!$L:$L,MATCH($B9&amp;T$2&amp;$A$1,jkm_call_put!$G:$G&amp;jkm_call_put!$O:$O&amp;jkm_call_put!$F:$F,0),1),"")</f>
        <v/>
      </c>
      <c r="U9" s="7" t="str" cm="1">
        <f t="array" aca="1" ref="U9" ca="1">_xlfn.IFNA(INDEX(jkm_call_put!$L:$L,MATCH($B9&amp;U$2&amp;$A$1,jkm_call_put!$G:$G&amp;jkm_call_put!$O:$O&amp;jkm_call_put!$F:$F,0),1),"")</f>
        <v/>
      </c>
      <c r="V9" s="7" t="str" cm="1">
        <f t="array" aca="1" ref="V9" ca="1">_xlfn.IFNA(INDEX(jkm_call_put!$L:$L,MATCH($B9&amp;V$2&amp;$A$1,jkm_call_put!$G:$G&amp;jkm_call_put!$O:$O&amp;jkm_call_put!$F:$F,0),1),"")</f>
        <v/>
      </c>
      <c r="W9" s="7" t="str" cm="1">
        <f t="array" aca="1" ref="W9" ca="1">_xlfn.IFNA(INDEX(jkm_call_put!$L:$L,MATCH($B9&amp;W$2&amp;$A$1,jkm_call_put!$G:$G&amp;jkm_call_put!$O:$O&amp;jkm_call_put!$F:$F,0),1),"")</f>
        <v/>
      </c>
      <c r="X9" s="7" t="str" cm="1">
        <f t="array" aca="1" ref="X9" ca="1">_xlfn.IFNA(INDEX(jkm_call_put!$L:$L,MATCH($B9&amp;X$2&amp;$A$1,jkm_call_put!$G:$G&amp;jkm_call_put!$O:$O&amp;jkm_call_put!$F:$F,0),1),"")</f>
        <v/>
      </c>
      <c r="Y9" s="7" t="str" cm="1">
        <f t="array" aca="1" ref="Y9" ca="1">_xlfn.IFNA(INDEX(jkm_call_put!$L:$L,MATCH($B9&amp;Y$2&amp;$A$1,jkm_call_put!$G:$G&amp;jkm_call_put!$O:$O&amp;jkm_call_put!$F:$F,0),1),"")</f>
        <v/>
      </c>
      <c r="Z9" s="7" t="str" cm="1">
        <f t="array" aca="1" ref="Z9" ca="1">_xlfn.IFNA(INDEX(jkm_call_put!$L:$L,MATCH($B9&amp;Z$2&amp;$A$1,jkm_call_put!$G:$G&amp;jkm_call_put!$O:$O&amp;jkm_call_put!$F:$F,0),1),"")</f>
        <v/>
      </c>
      <c r="AA9" s="7" t="str" cm="1">
        <f t="array" aca="1" ref="AA9" ca="1">_xlfn.IFNA(INDEX(jkm_call_put!$L:$L,MATCH($B9&amp;AA$2&amp;$A$1,jkm_call_put!$G:$G&amp;jkm_call_put!$O:$O&amp;jkm_call_put!$F:$F,0),1),"")</f>
        <v/>
      </c>
      <c r="AB9" s="7" t="str" cm="1">
        <f t="array" aca="1" ref="AB9" ca="1">_xlfn.IFNA(INDEX(jkm_call_put!$L:$L,MATCH($B9&amp;AB$2&amp;$A$1,jkm_call_put!$G:$G&amp;jkm_call_put!$O:$O&amp;jkm_call_put!$F:$F,0),1),"")</f>
        <v/>
      </c>
      <c r="AC9" s="7" t="str" cm="1">
        <f t="array" aca="1" ref="AC9" ca="1">_xlfn.IFNA(INDEX(jkm_call_put!$L:$L,MATCH($B9&amp;AC$2&amp;$A$1,jkm_call_put!$G:$G&amp;jkm_call_put!$O:$O&amp;jkm_call_put!$F:$F,0),1),"")</f>
        <v/>
      </c>
      <c r="AD9" s="7" t="str" cm="1">
        <f t="array" aca="1" ref="AD9" ca="1">_xlfn.IFNA(INDEX(jkm_call_put!$L:$L,MATCH($B9&amp;AD$2&amp;$A$1,jkm_call_put!$G:$G&amp;jkm_call_put!$O:$O&amp;jkm_call_put!$F:$F,0),1),"")</f>
        <v/>
      </c>
      <c r="AE9" s="7" t="str" cm="1">
        <f t="array" aca="1" ref="AE9" ca="1">_xlfn.IFNA(INDEX(jkm_call_put!$L:$L,MATCH($B9&amp;AE$2&amp;$A$1,jkm_call_put!$G:$G&amp;jkm_call_put!$O:$O&amp;jkm_call_put!$F:$F,0),1),"")</f>
        <v/>
      </c>
      <c r="AF9" s="7" t="str" cm="1">
        <f t="array" aca="1" ref="AF9" ca="1">_xlfn.IFNA(INDEX(jkm_call_put!$L:$L,MATCH($B9&amp;AF$2&amp;$A$1,jkm_call_put!$G:$G&amp;jkm_call_put!$O:$O&amp;jkm_call_put!$F:$F,0),1),"")</f>
        <v/>
      </c>
      <c r="AG9" s="7" t="str" cm="1">
        <f t="array" aca="1" ref="AG9" ca="1">_xlfn.IFNA(INDEX(jkm_call_put!$L:$L,MATCH($B9&amp;AG$2&amp;$A$1,jkm_call_put!$G:$G&amp;jkm_call_put!$O:$O&amp;jkm_call_put!$F:$F,0),1),"")</f>
        <v/>
      </c>
      <c r="AH9" s="7" t="str" cm="1">
        <f t="array" aca="1" ref="AH9" ca="1">_xlfn.IFNA(INDEX(jkm_call_put!$L:$L,MATCH($B9&amp;AH$2&amp;$A$1,jkm_call_put!$G:$G&amp;jkm_call_put!$O:$O&amp;jkm_call_put!$F:$F,0),1),"")</f>
        <v/>
      </c>
      <c r="AI9" s="7" t="str" cm="1">
        <f t="array" aca="1" ref="AI9" ca="1">_xlfn.IFNA(INDEX(jkm_call_put!$L:$L,MATCH($B9&amp;AI$2&amp;$A$1,jkm_call_put!$G:$G&amp;jkm_call_put!$O:$O&amp;jkm_call_put!$F:$F,0),1),"")</f>
        <v/>
      </c>
      <c r="AJ9" s="7" t="str" cm="1">
        <f t="array" aca="1" ref="AJ9" ca="1">_xlfn.IFNA(INDEX(jkm_call_put!$L:$L,MATCH($B9&amp;AJ$2&amp;$A$1,jkm_call_put!$G:$G&amp;jkm_call_put!$O:$O&amp;jkm_call_put!$F:$F,0),1),"")</f>
        <v/>
      </c>
      <c r="AK9" s="7" t="str" cm="1">
        <f t="array" aca="1" ref="AK9" ca="1">_xlfn.IFNA(INDEX(jkm_call_put!$L:$L,MATCH($B9&amp;AK$2&amp;$A$1,jkm_call_put!$G:$G&amp;jkm_call_put!$O:$O&amp;jkm_call_put!$F:$F,0),1),"")</f>
        <v/>
      </c>
      <c r="AL9" s="7" t="str" cm="1">
        <f t="array" aca="1" ref="AL9" ca="1">_xlfn.IFNA(INDEX(jkm_call_put!$L:$L,MATCH($B9&amp;AL$2&amp;$A$1,jkm_call_put!$G:$G&amp;jkm_call_put!$O:$O&amp;jkm_call_put!$F:$F,0),1),"")</f>
        <v/>
      </c>
    </row>
    <row r="10" spans="1:38" x14ac:dyDescent="0.25">
      <c r="B10">
        <v>9.5</v>
      </c>
      <c r="C10" s="7" t="str" cm="1">
        <f t="array" aca="1" ref="C10" ca="1">_xlfn.IFNA(INDEX(jkm_call_put!$L:$L,MATCH($B10&amp;C$2&amp;$A$1,jkm_call_put!$G:$G&amp;jkm_call_put!$O:$O&amp;jkm_call_put!$F:$F,0),1),"")</f>
        <v/>
      </c>
      <c r="D10" s="7" t="str" cm="1">
        <f t="array" aca="1" ref="D10" ca="1">_xlfn.IFNA(INDEX(jkm_call_put!$L:$L,MATCH($B10&amp;D$2&amp;$A$1,jkm_call_put!$G:$G&amp;jkm_call_put!$O:$O&amp;jkm_call_put!$F:$F,0),1),"")</f>
        <v/>
      </c>
      <c r="E10" s="7" cm="1">
        <f t="array" aca="1" ref="E10" ca="1">_xlfn.IFNA(INDEX(jkm_call_put!$L:$L,MATCH($B10&amp;E$2&amp;$A$1,jkm_call_put!$G:$G&amp;jkm_call_put!$O:$O&amp;jkm_call_put!$F:$F,0),1),"")</f>
        <v>75.215900000000005</v>
      </c>
      <c r="F10" s="7" t="str" cm="1">
        <f t="array" aca="1" ref="F10" ca="1">_xlfn.IFNA(INDEX(jkm_call_put!$L:$L,MATCH($B10&amp;F$2&amp;$A$1,jkm_call_put!$G:$G&amp;jkm_call_put!$O:$O&amp;jkm_call_put!$F:$F,0),1),"")</f>
        <v/>
      </c>
      <c r="G10" s="7" t="str" cm="1">
        <f t="array" aca="1" ref="G10" ca="1">_xlfn.IFNA(INDEX(jkm_call_put!$L:$L,MATCH($B10&amp;G$2&amp;$A$1,jkm_call_put!$G:$G&amp;jkm_call_put!$O:$O&amp;jkm_call_put!$F:$F,0),1),"")</f>
        <v/>
      </c>
      <c r="H10" s="7" cm="1">
        <f t="array" aca="1" ref="H10" ca="1">_xlfn.IFNA(INDEX(jkm_call_put!$L:$L,MATCH($B10&amp;H$2&amp;$A$1,jkm_call_put!$G:$G&amp;jkm_call_put!$O:$O&amp;jkm_call_put!$F:$F,0),1),"")</f>
        <v>61.834800000000001</v>
      </c>
      <c r="I10" s="7" cm="1">
        <f t="array" aca="1" ref="I10" ca="1">_xlfn.IFNA(INDEX(jkm_call_put!$L:$L,MATCH($B10&amp;I$2&amp;$A$1,jkm_call_put!$G:$G&amp;jkm_call_put!$O:$O&amp;jkm_call_put!$F:$F,0),1),"")</f>
        <v>62.487200000000001</v>
      </c>
      <c r="J10" s="7" cm="1">
        <f t="array" aca="1" ref="J10" ca="1">_xlfn.IFNA(INDEX(jkm_call_put!$L:$L,MATCH($B10&amp;J$2&amp;$A$1,jkm_call_put!$G:$G&amp;jkm_call_put!$O:$O&amp;jkm_call_put!$F:$F,0),1),"")</f>
        <v>62.995600000000003</v>
      </c>
      <c r="K10" s="7" cm="1">
        <f t="array" aca="1" ref="K10" ca="1">_xlfn.IFNA(INDEX(jkm_call_put!$L:$L,MATCH($B10&amp;K$2&amp;$A$1,jkm_call_put!$G:$G&amp;jkm_call_put!$O:$O&amp;jkm_call_put!$F:$F,0),1),"")</f>
        <v>63.098700000000001</v>
      </c>
      <c r="L10" s="7" cm="1">
        <f t="array" aca="1" ref="L10" ca="1">_xlfn.IFNA(INDEX(jkm_call_put!$L:$L,MATCH($B10&amp;L$2&amp;$A$1,jkm_call_put!$G:$G&amp;jkm_call_put!$O:$O&amp;jkm_call_put!$F:$F,0),1),"")</f>
        <v>63.382899999999999</v>
      </c>
      <c r="M10" s="7" cm="1">
        <f t="array" aca="1" ref="M10" ca="1">_xlfn.IFNA(INDEX(jkm_call_put!$L:$L,MATCH($B10&amp;M$2&amp;$A$1,jkm_call_put!$G:$G&amp;jkm_call_put!$O:$O&amp;jkm_call_put!$F:$F,0),1),"")</f>
        <v>63.575800000000001</v>
      </c>
      <c r="N10" s="7" t="str" cm="1">
        <f t="array" aca="1" ref="N10" ca="1">_xlfn.IFNA(INDEX(jkm_call_put!$L:$L,MATCH($B10&amp;N$2&amp;$A$1,jkm_call_put!$G:$G&amp;jkm_call_put!$O:$O&amp;jkm_call_put!$F:$F,0),1),"")</f>
        <v/>
      </c>
      <c r="O10" s="7" t="str" cm="1">
        <f t="array" aca="1" ref="O10" ca="1">_xlfn.IFNA(INDEX(jkm_call_put!$L:$L,MATCH($B10&amp;O$2&amp;$A$1,jkm_call_put!$G:$G&amp;jkm_call_put!$O:$O&amp;jkm_call_put!$F:$F,0),1),"")</f>
        <v/>
      </c>
      <c r="P10" s="7" t="str" cm="1">
        <f t="array" aca="1" ref="P10" ca="1">_xlfn.IFNA(INDEX(jkm_call_put!$L:$L,MATCH($B10&amp;P$2&amp;$A$1,jkm_call_put!$G:$G&amp;jkm_call_put!$O:$O&amp;jkm_call_put!$F:$F,0),1),"")</f>
        <v/>
      </c>
      <c r="Q10" s="7" t="str" cm="1">
        <f t="array" aca="1" ref="Q10" ca="1">_xlfn.IFNA(INDEX(jkm_call_put!$L:$L,MATCH($B10&amp;Q$2&amp;$A$1,jkm_call_put!$G:$G&amp;jkm_call_put!$O:$O&amp;jkm_call_put!$F:$F,0),1),"")</f>
        <v/>
      </c>
      <c r="R10" s="7" t="str" cm="1">
        <f t="array" aca="1" ref="R10" ca="1">_xlfn.IFNA(INDEX(jkm_call_put!$L:$L,MATCH($B10&amp;R$2&amp;$A$1,jkm_call_put!$G:$G&amp;jkm_call_put!$O:$O&amp;jkm_call_put!$F:$F,0),1),"")</f>
        <v/>
      </c>
      <c r="S10" s="7" t="str" cm="1">
        <f t="array" aca="1" ref="S10" ca="1">_xlfn.IFNA(INDEX(jkm_call_put!$L:$L,MATCH($B10&amp;S$2&amp;$A$1,jkm_call_put!$G:$G&amp;jkm_call_put!$O:$O&amp;jkm_call_put!$F:$F,0),1),"")</f>
        <v/>
      </c>
      <c r="T10" s="7" t="str" cm="1">
        <f t="array" aca="1" ref="T10" ca="1">_xlfn.IFNA(INDEX(jkm_call_put!$L:$L,MATCH($B10&amp;T$2&amp;$A$1,jkm_call_put!$G:$G&amp;jkm_call_put!$O:$O&amp;jkm_call_put!$F:$F,0),1),"")</f>
        <v/>
      </c>
      <c r="U10" s="7" t="str" cm="1">
        <f t="array" aca="1" ref="U10" ca="1">_xlfn.IFNA(INDEX(jkm_call_put!$L:$L,MATCH($B10&amp;U$2&amp;$A$1,jkm_call_put!$G:$G&amp;jkm_call_put!$O:$O&amp;jkm_call_put!$F:$F,0),1),"")</f>
        <v/>
      </c>
      <c r="V10" s="7" t="str" cm="1">
        <f t="array" aca="1" ref="V10" ca="1">_xlfn.IFNA(INDEX(jkm_call_put!$L:$L,MATCH($B10&amp;V$2&amp;$A$1,jkm_call_put!$G:$G&amp;jkm_call_put!$O:$O&amp;jkm_call_put!$F:$F,0),1),"")</f>
        <v/>
      </c>
      <c r="W10" s="7" t="str" cm="1">
        <f t="array" aca="1" ref="W10" ca="1">_xlfn.IFNA(INDEX(jkm_call_put!$L:$L,MATCH($B10&amp;W$2&amp;$A$1,jkm_call_put!$G:$G&amp;jkm_call_put!$O:$O&amp;jkm_call_put!$F:$F,0),1),"")</f>
        <v/>
      </c>
      <c r="X10" s="7" t="str" cm="1">
        <f t="array" aca="1" ref="X10" ca="1">_xlfn.IFNA(INDEX(jkm_call_put!$L:$L,MATCH($B10&amp;X$2&amp;$A$1,jkm_call_put!$G:$G&amp;jkm_call_put!$O:$O&amp;jkm_call_put!$F:$F,0),1),"")</f>
        <v/>
      </c>
      <c r="Y10" s="7" t="str" cm="1">
        <f t="array" aca="1" ref="Y10" ca="1">_xlfn.IFNA(INDEX(jkm_call_put!$L:$L,MATCH($B10&amp;Y$2&amp;$A$1,jkm_call_put!$G:$G&amp;jkm_call_put!$O:$O&amp;jkm_call_put!$F:$F,0),1),"")</f>
        <v/>
      </c>
      <c r="Z10" s="7" t="str" cm="1">
        <f t="array" aca="1" ref="Z10" ca="1">_xlfn.IFNA(INDEX(jkm_call_put!$L:$L,MATCH($B10&amp;Z$2&amp;$A$1,jkm_call_put!$G:$G&amp;jkm_call_put!$O:$O&amp;jkm_call_put!$F:$F,0),1),"")</f>
        <v/>
      </c>
      <c r="AA10" s="7" t="str" cm="1">
        <f t="array" aca="1" ref="AA10" ca="1">_xlfn.IFNA(INDEX(jkm_call_put!$L:$L,MATCH($B10&amp;AA$2&amp;$A$1,jkm_call_put!$G:$G&amp;jkm_call_put!$O:$O&amp;jkm_call_put!$F:$F,0),1),"")</f>
        <v/>
      </c>
      <c r="AB10" s="7" t="str" cm="1">
        <f t="array" aca="1" ref="AB10" ca="1">_xlfn.IFNA(INDEX(jkm_call_put!$L:$L,MATCH($B10&amp;AB$2&amp;$A$1,jkm_call_put!$G:$G&amp;jkm_call_put!$O:$O&amp;jkm_call_put!$F:$F,0),1),"")</f>
        <v/>
      </c>
      <c r="AC10" s="7" t="str" cm="1">
        <f t="array" aca="1" ref="AC10" ca="1">_xlfn.IFNA(INDEX(jkm_call_put!$L:$L,MATCH($B10&amp;AC$2&amp;$A$1,jkm_call_put!$G:$G&amp;jkm_call_put!$O:$O&amp;jkm_call_put!$F:$F,0),1),"")</f>
        <v/>
      </c>
      <c r="AD10" s="7" t="str" cm="1">
        <f t="array" aca="1" ref="AD10" ca="1">_xlfn.IFNA(INDEX(jkm_call_put!$L:$L,MATCH($B10&amp;AD$2&amp;$A$1,jkm_call_put!$G:$G&amp;jkm_call_put!$O:$O&amp;jkm_call_put!$F:$F,0),1),"")</f>
        <v/>
      </c>
      <c r="AE10" s="7" t="str" cm="1">
        <f t="array" aca="1" ref="AE10" ca="1">_xlfn.IFNA(INDEX(jkm_call_put!$L:$L,MATCH($B10&amp;AE$2&amp;$A$1,jkm_call_put!$G:$G&amp;jkm_call_put!$O:$O&amp;jkm_call_put!$F:$F,0),1),"")</f>
        <v/>
      </c>
      <c r="AF10" s="7" t="str" cm="1">
        <f t="array" aca="1" ref="AF10" ca="1">_xlfn.IFNA(INDEX(jkm_call_put!$L:$L,MATCH($B10&amp;AF$2&amp;$A$1,jkm_call_put!$G:$G&amp;jkm_call_put!$O:$O&amp;jkm_call_put!$F:$F,0),1),"")</f>
        <v/>
      </c>
      <c r="AG10" s="7" t="str" cm="1">
        <f t="array" aca="1" ref="AG10" ca="1">_xlfn.IFNA(INDEX(jkm_call_put!$L:$L,MATCH($B10&amp;AG$2&amp;$A$1,jkm_call_put!$G:$G&amp;jkm_call_put!$O:$O&amp;jkm_call_put!$F:$F,0),1),"")</f>
        <v/>
      </c>
      <c r="AH10" s="7" t="str" cm="1">
        <f t="array" aca="1" ref="AH10" ca="1">_xlfn.IFNA(INDEX(jkm_call_put!$L:$L,MATCH($B10&amp;AH$2&amp;$A$1,jkm_call_put!$G:$G&amp;jkm_call_put!$O:$O&amp;jkm_call_put!$F:$F,0),1),"")</f>
        <v/>
      </c>
      <c r="AI10" s="7" t="str" cm="1">
        <f t="array" aca="1" ref="AI10" ca="1">_xlfn.IFNA(INDEX(jkm_call_put!$L:$L,MATCH($B10&amp;AI$2&amp;$A$1,jkm_call_put!$G:$G&amp;jkm_call_put!$O:$O&amp;jkm_call_put!$F:$F,0),1),"")</f>
        <v/>
      </c>
      <c r="AJ10" s="7" t="str" cm="1">
        <f t="array" aca="1" ref="AJ10" ca="1">_xlfn.IFNA(INDEX(jkm_call_put!$L:$L,MATCH($B10&amp;AJ$2&amp;$A$1,jkm_call_put!$G:$G&amp;jkm_call_put!$O:$O&amp;jkm_call_put!$F:$F,0),1),"")</f>
        <v/>
      </c>
      <c r="AK10" s="7" t="str" cm="1">
        <f t="array" aca="1" ref="AK10" ca="1">_xlfn.IFNA(INDEX(jkm_call_put!$L:$L,MATCH($B10&amp;AK$2&amp;$A$1,jkm_call_put!$G:$G&amp;jkm_call_put!$O:$O&amp;jkm_call_put!$F:$F,0),1),"")</f>
        <v/>
      </c>
      <c r="AL10" s="7" t="str" cm="1">
        <f t="array" aca="1" ref="AL10" ca="1">_xlfn.IFNA(INDEX(jkm_call_put!$L:$L,MATCH($B10&amp;AL$2&amp;$A$1,jkm_call_put!$G:$G&amp;jkm_call_put!$O:$O&amp;jkm_call_put!$F:$F,0),1),"")</f>
        <v/>
      </c>
    </row>
    <row r="11" spans="1:38" x14ac:dyDescent="0.25">
      <c r="B11">
        <v>9.6999999999999993</v>
      </c>
      <c r="C11" s="7" t="str" cm="1">
        <f t="array" aca="1" ref="C11" ca="1">_xlfn.IFNA(INDEX(jkm_call_put!$L:$L,MATCH($B11&amp;C$2&amp;$A$1,jkm_call_put!$G:$G&amp;jkm_call_put!$O:$O&amp;jkm_call_put!$F:$F,0),1),"")</f>
        <v/>
      </c>
      <c r="D11" s="7" t="str" cm="1">
        <f t="array" aca="1" ref="D11" ca="1">_xlfn.IFNA(INDEX(jkm_call_put!$L:$L,MATCH($B11&amp;D$2&amp;$A$1,jkm_call_put!$G:$G&amp;jkm_call_put!$O:$O&amp;jkm_call_put!$F:$F,0),1),"")</f>
        <v/>
      </c>
      <c r="E11" s="7" t="str" cm="1">
        <f t="array" aca="1" ref="E11" ca="1">_xlfn.IFNA(INDEX(jkm_call_put!$L:$L,MATCH($B11&amp;E$2&amp;$A$1,jkm_call_put!$G:$G&amp;jkm_call_put!$O:$O&amp;jkm_call_put!$F:$F,0),1),"")</f>
        <v/>
      </c>
      <c r="F11" s="7" t="str" cm="1">
        <f t="array" aca="1" ref="F11" ca="1">_xlfn.IFNA(INDEX(jkm_call_put!$L:$L,MATCH($B11&amp;F$2&amp;$A$1,jkm_call_put!$G:$G&amp;jkm_call_put!$O:$O&amp;jkm_call_put!$F:$F,0),1),"")</f>
        <v/>
      </c>
      <c r="G11" s="7" cm="1">
        <f t="array" aca="1" ref="G11" ca="1">_xlfn.IFNA(INDEX(jkm_call_put!$L:$L,MATCH($B11&amp;G$2&amp;$A$1,jkm_call_put!$G:$G&amp;jkm_call_put!$O:$O&amp;jkm_call_put!$F:$F,0),1),"")</f>
        <v>79.241500000000002</v>
      </c>
      <c r="H11" s="7" t="str" cm="1">
        <f t="array" aca="1" ref="H11" ca="1">_xlfn.IFNA(INDEX(jkm_call_put!$L:$L,MATCH($B11&amp;H$2&amp;$A$1,jkm_call_put!$G:$G&amp;jkm_call_put!$O:$O&amp;jkm_call_put!$F:$F,0),1),"")</f>
        <v/>
      </c>
      <c r="I11" s="7" t="str" cm="1">
        <f t="array" aca="1" ref="I11" ca="1">_xlfn.IFNA(INDEX(jkm_call_put!$L:$L,MATCH($B11&amp;I$2&amp;$A$1,jkm_call_put!$G:$G&amp;jkm_call_put!$O:$O&amp;jkm_call_put!$F:$F,0),1),"")</f>
        <v/>
      </c>
      <c r="J11" s="7" t="str" cm="1">
        <f t="array" aca="1" ref="J11" ca="1">_xlfn.IFNA(INDEX(jkm_call_put!$L:$L,MATCH($B11&amp;J$2&amp;$A$1,jkm_call_put!$G:$G&amp;jkm_call_put!$O:$O&amp;jkm_call_put!$F:$F,0),1),"")</f>
        <v/>
      </c>
      <c r="K11" s="7" t="str" cm="1">
        <f t="array" aca="1" ref="K11" ca="1">_xlfn.IFNA(INDEX(jkm_call_put!$L:$L,MATCH($B11&amp;K$2&amp;$A$1,jkm_call_put!$G:$G&amp;jkm_call_put!$O:$O&amp;jkm_call_put!$F:$F,0),1),"")</f>
        <v/>
      </c>
      <c r="L11" s="7" t="str" cm="1">
        <f t="array" aca="1" ref="L11" ca="1">_xlfn.IFNA(INDEX(jkm_call_put!$L:$L,MATCH($B11&amp;L$2&amp;$A$1,jkm_call_put!$G:$G&amp;jkm_call_put!$O:$O&amp;jkm_call_put!$F:$F,0),1),"")</f>
        <v/>
      </c>
      <c r="M11" s="7" t="str" cm="1">
        <f t="array" aca="1" ref="M11" ca="1">_xlfn.IFNA(INDEX(jkm_call_put!$L:$L,MATCH($B11&amp;M$2&amp;$A$1,jkm_call_put!$G:$G&amp;jkm_call_put!$O:$O&amp;jkm_call_put!$F:$F,0),1),"")</f>
        <v/>
      </c>
      <c r="N11" s="7" t="str" cm="1">
        <f t="array" aca="1" ref="N11" ca="1">_xlfn.IFNA(INDEX(jkm_call_put!$L:$L,MATCH($B11&amp;N$2&amp;$A$1,jkm_call_put!$G:$G&amp;jkm_call_put!$O:$O&amp;jkm_call_put!$F:$F,0),1),"")</f>
        <v/>
      </c>
      <c r="O11" s="7" t="str" cm="1">
        <f t="array" aca="1" ref="O11" ca="1">_xlfn.IFNA(INDEX(jkm_call_put!$L:$L,MATCH($B11&amp;O$2&amp;$A$1,jkm_call_put!$G:$G&amp;jkm_call_put!$O:$O&amp;jkm_call_put!$F:$F,0),1),"")</f>
        <v/>
      </c>
      <c r="P11" s="7" t="str" cm="1">
        <f t="array" aca="1" ref="P11" ca="1">_xlfn.IFNA(INDEX(jkm_call_put!$L:$L,MATCH($B11&amp;P$2&amp;$A$1,jkm_call_put!$G:$G&amp;jkm_call_put!$O:$O&amp;jkm_call_put!$F:$F,0),1),"")</f>
        <v/>
      </c>
      <c r="Q11" s="7" t="str" cm="1">
        <f t="array" aca="1" ref="Q11" ca="1">_xlfn.IFNA(INDEX(jkm_call_put!$L:$L,MATCH($B11&amp;Q$2&amp;$A$1,jkm_call_put!$G:$G&amp;jkm_call_put!$O:$O&amp;jkm_call_put!$F:$F,0),1),"")</f>
        <v/>
      </c>
      <c r="R11" s="7" t="str" cm="1">
        <f t="array" aca="1" ref="R11" ca="1">_xlfn.IFNA(INDEX(jkm_call_put!$L:$L,MATCH($B11&amp;R$2&amp;$A$1,jkm_call_put!$G:$G&amp;jkm_call_put!$O:$O&amp;jkm_call_put!$F:$F,0),1),"")</f>
        <v/>
      </c>
      <c r="S11" s="7" t="str" cm="1">
        <f t="array" aca="1" ref="S11" ca="1">_xlfn.IFNA(INDEX(jkm_call_put!$L:$L,MATCH($B11&amp;S$2&amp;$A$1,jkm_call_put!$G:$G&amp;jkm_call_put!$O:$O&amp;jkm_call_put!$F:$F,0),1),"")</f>
        <v/>
      </c>
      <c r="T11" s="7" t="str" cm="1">
        <f t="array" aca="1" ref="T11" ca="1">_xlfn.IFNA(INDEX(jkm_call_put!$L:$L,MATCH($B11&amp;T$2&amp;$A$1,jkm_call_put!$G:$G&amp;jkm_call_put!$O:$O&amp;jkm_call_put!$F:$F,0),1),"")</f>
        <v/>
      </c>
      <c r="U11" s="7" t="str" cm="1">
        <f t="array" aca="1" ref="U11" ca="1">_xlfn.IFNA(INDEX(jkm_call_put!$L:$L,MATCH($B11&amp;U$2&amp;$A$1,jkm_call_put!$G:$G&amp;jkm_call_put!$O:$O&amp;jkm_call_put!$F:$F,0),1),"")</f>
        <v/>
      </c>
      <c r="V11" s="7" t="str" cm="1">
        <f t="array" aca="1" ref="V11" ca="1">_xlfn.IFNA(INDEX(jkm_call_put!$L:$L,MATCH($B11&amp;V$2&amp;$A$1,jkm_call_put!$G:$G&amp;jkm_call_put!$O:$O&amp;jkm_call_put!$F:$F,0),1),"")</f>
        <v/>
      </c>
      <c r="W11" s="7" t="str" cm="1">
        <f t="array" aca="1" ref="W11" ca="1">_xlfn.IFNA(INDEX(jkm_call_put!$L:$L,MATCH($B11&amp;W$2&amp;$A$1,jkm_call_put!$G:$G&amp;jkm_call_put!$O:$O&amp;jkm_call_put!$F:$F,0),1),"")</f>
        <v/>
      </c>
      <c r="X11" s="7" t="str" cm="1">
        <f t="array" aca="1" ref="X11" ca="1">_xlfn.IFNA(INDEX(jkm_call_put!$L:$L,MATCH($B11&amp;X$2&amp;$A$1,jkm_call_put!$G:$G&amp;jkm_call_put!$O:$O&amp;jkm_call_put!$F:$F,0),1),"")</f>
        <v/>
      </c>
      <c r="Y11" s="7" t="str" cm="1">
        <f t="array" aca="1" ref="Y11" ca="1">_xlfn.IFNA(INDEX(jkm_call_put!$L:$L,MATCH($B11&amp;Y$2&amp;$A$1,jkm_call_put!$G:$G&amp;jkm_call_put!$O:$O&amp;jkm_call_put!$F:$F,0),1),"")</f>
        <v/>
      </c>
      <c r="Z11" s="7" t="str" cm="1">
        <f t="array" aca="1" ref="Z11" ca="1">_xlfn.IFNA(INDEX(jkm_call_put!$L:$L,MATCH($B11&amp;Z$2&amp;$A$1,jkm_call_put!$G:$G&amp;jkm_call_put!$O:$O&amp;jkm_call_put!$F:$F,0),1),"")</f>
        <v/>
      </c>
      <c r="AA11" s="7" t="str" cm="1">
        <f t="array" aca="1" ref="AA11" ca="1">_xlfn.IFNA(INDEX(jkm_call_put!$L:$L,MATCH($B11&amp;AA$2&amp;$A$1,jkm_call_put!$G:$G&amp;jkm_call_put!$O:$O&amp;jkm_call_put!$F:$F,0),1),"")</f>
        <v/>
      </c>
      <c r="AB11" s="7" t="str" cm="1">
        <f t="array" aca="1" ref="AB11" ca="1">_xlfn.IFNA(INDEX(jkm_call_put!$L:$L,MATCH($B11&amp;AB$2&amp;$A$1,jkm_call_put!$G:$G&amp;jkm_call_put!$O:$O&amp;jkm_call_put!$F:$F,0),1),"")</f>
        <v/>
      </c>
      <c r="AC11" s="7" t="str" cm="1">
        <f t="array" aca="1" ref="AC11" ca="1">_xlfn.IFNA(INDEX(jkm_call_put!$L:$L,MATCH($B11&amp;AC$2&amp;$A$1,jkm_call_put!$G:$G&amp;jkm_call_put!$O:$O&amp;jkm_call_put!$F:$F,0),1),"")</f>
        <v/>
      </c>
      <c r="AD11" s="7" t="str" cm="1">
        <f t="array" aca="1" ref="AD11" ca="1">_xlfn.IFNA(INDEX(jkm_call_put!$L:$L,MATCH($B11&amp;AD$2&amp;$A$1,jkm_call_put!$G:$G&amp;jkm_call_put!$O:$O&amp;jkm_call_put!$F:$F,0),1),"")</f>
        <v/>
      </c>
      <c r="AE11" s="7" t="str" cm="1">
        <f t="array" aca="1" ref="AE11" ca="1">_xlfn.IFNA(INDEX(jkm_call_put!$L:$L,MATCH($B11&amp;AE$2&amp;$A$1,jkm_call_put!$G:$G&amp;jkm_call_put!$O:$O&amp;jkm_call_put!$F:$F,0),1),"")</f>
        <v/>
      </c>
      <c r="AF11" s="7" t="str" cm="1">
        <f t="array" aca="1" ref="AF11" ca="1">_xlfn.IFNA(INDEX(jkm_call_put!$L:$L,MATCH($B11&amp;AF$2&amp;$A$1,jkm_call_put!$G:$G&amp;jkm_call_put!$O:$O&amp;jkm_call_put!$F:$F,0),1),"")</f>
        <v/>
      </c>
      <c r="AG11" s="7" t="str" cm="1">
        <f t="array" aca="1" ref="AG11" ca="1">_xlfn.IFNA(INDEX(jkm_call_put!$L:$L,MATCH($B11&amp;AG$2&amp;$A$1,jkm_call_put!$G:$G&amp;jkm_call_put!$O:$O&amp;jkm_call_put!$F:$F,0),1),"")</f>
        <v/>
      </c>
      <c r="AH11" s="7" t="str" cm="1">
        <f t="array" aca="1" ref="AH11" ca="1">_xlfn.IFNA(INDEX(jkm_call_put!$L:$L,MATCH($B11&amp;AH$2&amp;$A$1,jkm_call_put!$G:$G&amp;jkm_call_put!$O:$O&amp;jkm_call_put!$F:$F,0),1),"")</f>
        <v/>
      </c>
      <c r="AI11" s="7" t="str" cm="1">
        <f t="array" aca="1" ref="AI11" ca="1">_xlfn.IFNA(INDEX(jkm_call_put!$L:$L,MATCH($B11&amp;AI$2&amp;$A$1,jkm_call_put!$G:$G&amp;jkm_call_put!$O:$O&amp;jkm_call_put!$F:$F,0),1),"")</f>
        <v/>
      </c>
      <c r="AJ11" s="7" t="str" cm="1">
        <f t="array" aca="1" ref="AJ11" ca="1">_xlfn.IFNA(INDEX(jkm_call_put!$L:$L,MATCH($B11&amp;AJ$2&amp;$A$1,jkm_call_put!$G:$G&amp;jkm_call_put!$O:$O&amp;jkm_call_put!$F:$F,0),1),"")</f>
        <v/>
      </c>
      <c r="AK11" s="7" t="str" cm="1">
        <f t="array" aca="1" ref="AK11" ca="1">_xlfn.IFNA(INDEX(jkm_call_put!$L:$L,MATCH($B11&amp;AK$2&amp;$A$1,jkm_call_put!$G:$G&amp;jkm_call_put!$O:$O&amp;jkm_call_put!$F:$F,0),1),"")</f>
        <v/>
      </c>
      <c r="AL11" s="7" t="str" cm="1">
        <f t="array" aca="1" ref="AL11" ca="1">_xlfn.IFNA(INDEX(jkm_call_put!$L:$L,MATCH($B11&amp;AL$2&amp;$A$1,jkm_call_put!$G:$G&amp;jkm_call_put!$O:$O&amp;jkm_call_put!$F:$F,0),1),"")</f>
        <v/>
      </c>
    </row>
    <row r="12" spans="1:38" x14ac:dyDescent="0.25">
      <c r="B12">
        <v>9.8000000000000007</v>
      </c>
      <c r="C12" s="7" t="str" cm="1">
        <f t="array" aca="1" ref="C12" ca="1">_xlfn.IFNA(INDEX(jkm_call_put!$L:$L,MATCH($B12&amp;C$2&amp;$A$1,jkm_call_put!$G:$G&amp;jkm_call_put!$O:$O&amp;jkm_call_put!$F:$F,0),1),"")</f>
        <v/>
      </c>
      <c r="D12" s="7" t="str" cm="1">
        <f t="array" aca="1" ref="D12" ca="1">_xlfn.IFNA(INDEX(jkm_call_put!$L:$L,MATCH($B12&amp;D$2&amp;$A$1,jkm_call_put!$G:$G&amp;jkm_call_put!$O:$O&amp;jkm_call_put!$F:$F,0),1),"")</f>
        <v/>
      </c>
      <c r="E12" s="7" t="str" cm="1">
        <f t="array" aca="1" ref="E12" ca="1">_xlfn.IFNA(INDEX(jkm_call_put!$L:$L,MATCH($B12&amp;E$2&amp;$A$1,jkm_call_put!$G:$G&amp;jkm_call_put!$O:$O&amp;jkm_call_put!$F:$F,0),1),"")</f>
        <v/>
      </c>
      <c r="F12" s="7" t="str" cm="1">
        <f t="array" aca="1" ref="F12" ca="1">_xlfn.IFNA(INDEX(jkm_call_put!$L:$L,MATCH($B12&amp;F$2&amp;$A$1,jkm_call_put!$G:$G&amp;jkm_call_put!$O:$O&amp;jkm_call_put!$F:$F,0),1),"")</f>
        <v/>
      </c>
      <c r="G12" s="7" cm="1">
        <f t="array" aca="1" ref="G12" ca="1">_xlfn.IFNA(INDEX(jkm_call_put!$L:$L,MATCH($B12&amp;G$2&amp;$A$1,jkm_call_put!$G:$G&amp;jkm_call_put!$O:$O&amp;jkm_call_put!$F:$F,0),1),"")</f>
        <v>79.241699999999994</v>
      </c>
      <c r="H12" s="7" t="str" cm="1">
        <f t="array" aca="1" ref="H12" ca="1">_xlfn.IFNA(INDEX(jkm_call_put!$L:$L,MATCH($B12&amp;H$2&amp;$A$1,jkm_call_put!$G:$G&amp;jkm_call_put!$O:$O&amp;jkm_call_put!$F:$F,0),1),"")</f>
        <v/>
      </c>
      <c r="I12" s="7" t="str" cm="1">
        <f t="array" aca="1" ref="I12" ca="1">_xlfn.IFNA(INDEX(jkm_call_put!$L:$L,MATCH($B12&amp;I$2&amp;$A$1,jkm_call_put!$G:$G&amp;jkm_call_put!$O:$O&amp;jkm_call_put!$F:$F,0),1),"")</f>
        <v/>
      </c>
      <c r="J12" s="7" t="str" cm="1">
        <f t="array" aca="1" ref="J12" ca="1">_xlfn.IFNA(INDEX(jkm_call_put!$L:$L,MATCH($B12&amp;J$2&amp;$A$1,jkm_call_put!$G:$G&amp;jkm_call_put!$O:$O&amp;jkm_call_put!$F:$F,0),1),"")</f>
        <v/>
      </c>
      <c r="K12" s="7" t="str" cm="1">
        <f t="array" aca="1" ref="K12" ca="1">_xlfn.IFNA(INDEX(jkm_call_put!$L:$L,MATCH($B12&amp;K$2&amp;$A$1,jkm_call_put!$G:$G&amp;jkm_call_put!$O:$O&amp;jkm_call_put!$F:$F,0),1),"")</f>
        <v/>
      </c>
      <c r="L12" s="7" t="str" cm="1">
        <f t="array" aca="1" ref="L12" ca="1">_xlfn.IFNA(INDEX(jkm_call_put!$L:$L,MATCH($B12&amp;L$2&amp;$A$1,jkm_call_put!$G:$G&amp;jkm_call_put!$O:$O&amp;jkm_call_put!$F:$F,0),1),"")</f>
        <v/>
      </c>
      <c r="M12" s="7" t="str" cm="1">
        <f t="array" aca="1" ref="M12" ca="1">_xlfn.IFNA(INDEX(jkm_call_put!$L:$L,MATCH($B12&amp;M$2&amp;$A$1,jkm_call_put!$G:$G&amp;jkm_call_put!$O:$O&amp;jkm_call_put!$F:$F,0),1),"")</f>
        <v/>
      </c>
      <c r="N12" s="7" t="str" cm="1">
        <f t="array" aca="1" ref="N12" ca="1">_xlfn.IFNA(INDEX(jkm_call_put!$L:$L,MATCH($B12&amp;N$2&amp;$A$1,jkm_call_put!$G:$G&amp;jkm_call_put!$O:$O&amp;jkm_call_put!$F:$F,0),1),"")</f>
        <v/>
      </c>
      <c r="O12" s="7" t="str" cm="1">
        <f t="array" aca="1" ref="O12" ca="1">_xlfn.IFNA(INDEX(jkm_call_put!$L:$L,MATCH($B12&amp;O$2&amp;$A$1,jkm_call_put!$G:$G&amp;jkm_call_put!$O:$O&amp;jkm_call_put!$F:$F,0),1),"")</f>
        <v/>
      </c>
      <c r="P12" s="7" t="str" cm="1">
        <f t="array" aca="1" ref="P12" ca="1">_xlfn.IFNA(INDEX(jkm_call_put!$L:$L,MATCH($B12&amp;P$2&amp;$A$1,jkm_call_put!$G:$G&amp;jkm_call_put!$O:$O&amp;jkm_call_put!$F:$F,0),1),"")</f>
        <v/>
      </c>
      <c r="Q12" s="7" t="str" cm="1">
        <f t="array" aca="1" ref="Q12" ca="1">_xlfn.IFNA(INDEX(jkm_call_put!$L:$L,MATCH($B12&amp;Q$2&amp;$A$1,jkm_call_put!$G:$G&amp;jkm_call_put!$O:$O&amp;jkm_call_put!$F:$F,0),1),"")</f>
        <v/>
      </c>
      <c r="R12" s="7" t="str" cm="1">
        <f t="array" aca="1" ref="R12" ca="1">_xlfn.IFNA(INDEX(jkm_call_put!$L:$L,MATCH($B12&amp;R$2&amp;$A$1,jkm_call_put!$G:$G&amp;jkm_call_put!$O:$O&amp;jkm_call_put!$F:$F,0),1),"")</f>
        <v/>
      </c>
      <c r="S12" s="7" t="str" cm="1">
        <f t="array" aca="1" ref="S12" ca="1">_xlfn.IFNA(INDEX(jkm_call_put!$L:$L,MATCH($B12&amp;S$2&amp;$A$1,jkm_call_put!$G:$G&amp;jkm_call_put!$O:$O&amp;jkm_call_put!$F:$F,0),1),"")</f>
        <v/>
      </c>
      <c r="T12" s="7" t="str" cm="1">
        <f t="array" aca="1" ref="T12" ca="1">_xlfn.IFNA(INDEX(jkm_call_put!$L:$L,MATCH($B12&amp;T$2&amp;$A$1,jkm_call_put!$G:$G&amp;jkm_call_put!$O:$O&amp;jkm_call_put!$F:$F,0),1),"")</f>
        <v/>
      </c>
      <c r="U12" s="7" t="str" cm="1">
        <f t="array" aca="1" ref="U12" ca="1">_xlfn.IFNA(INDEX(jkm_call_put!$L:$L,MATCH($B12&amp;U$2&amp;$A$1,jkm_call_put!$G:$G&amp;jkm_call_put!$O:$O&amp;jkm_call_put!$F:$F,0),1),"")</f>
        <v/>
      </c>
      <c r="V12" s="7" t="str" cm="1">
        <f t="array" aca="1" ref="V12" ca="1">_xlfn.IFNA(INDEX(jkm_call_put!$L:$L,MATCH($B12&amp;V$2&amp;$A$1,jkm_call_put!$G:$G&amp;jkm_call_put!$O:$O&amp;jkm_call_put!$F:$F,0),1),"")</f>
        <v/>
      </c>
      <c r="W12" s="7" t="str" cm="1">
        <f t="array" aca="1" ref="W12" ca="1">_xlfn.IFNA(INDEX(jkm_call_put!$L:$L,MATCH($B12&amp;W$2&amp;$A$1,jkm_call_put!$G:$G&amp;jkm_call_put!$O:$O&amp;jkm_call_put!$F:$F,0),1),"")</f>
        <v/>
      </c>
      <c r="X12" s="7" t="str" cm="1">
        <f t="array" aca="1" ref="X12" ca="1">_xlfn.IFNA(INDEX(jkm_call_put!$L:$L,MATCH($B12&amp;X$2&amp;$A$1,jkm_call_put!$G:$G&amp;jkm_call_put!$O:$O&amp;jkm_call_put!$F:$F,0),1),"")</f>
        <v/>
      </c>
      <c r="Y12" s="7" t="str" cm="1">
        <f t="array" aca="1" ref="Y12" ca="1">_xlfn.IFNA(INDEX(jkm_call_put!$L:$L,MATCH($B12&amp;Y$2&amp;$A$1,jkm_call_put!$G:$G&amp;jkm_call_put!$O:$O&amp;jkm_call_put!$F:$F,0),1),"")</f>
        <v/>
      </c>
      <c r="Z12" s="7" t="str" cm="1">
        <f t="array" aca="1" ref="Z12" ca="1">_xlfn.IFNA(INDEX(jkm_call_put!$L:$L,MATCH($B12&amp;Z$2&amp;$A$1,jkm_call_put!$G:$G&amp;jkm_call_put!$O:$O&amp;jkm_call_put!$F:$F,0),1),"")</f>
        <v/>
      </c>
      <c r="AA12" s="7" t="str" cm="1">
        <f t="array" aca="1" ref="AA12" ca="1">_xlfn.IFNA(INDEX(jkm_call_put!$L:$L,MATCH($B12&amp;AA$2&amp;$A$1,jkm_call_put!$G:$G&amp;jkm_call_put!$O:$O&amp;jkm_call_put!$F:$F,0),1),"")</f>
        <v/>
      </c>
      <c r="AB12" s="7" t="str" cm="1">
        <f t="array" aca="1" ref="AB12" ca="1">_xlfn.IFNA(INDEX(jkm_call_put!$L:$L,MATCH($B12&amp;AB$2&amp;$A$1,jkm_call_put!$G:$G&amp;jkm_call_put!$O:$O&amp;jkm_call_put!$F:$F,0),1),"")</f>
        <v/>
      </c>
      <c r="AC12" s="7" t="str" cm="1">
        <f t="array" aca="1" ref="AC12" ca="1">_xlfn.IFNA(INDEX(jkm_call_put!$L:$L,MATCH($B12&amp;AC$2&amp;$A$1,jkm_call_put!$G:$G&amp;jkm_call_put!$O:$O&amp;jkm_call_put!$F:$F,0),1),"")</f>
        <v/>
      </c>
      <c r="AD12" s="7" t="str" cm="1">
        <f t="array" aca="1" ref="AD12" ca="1">_xlfn.IFNA(INDEX(jkm_call_put!$L:$L,MATCH($B12&amp;AD$2&amp;$A$1,jkm_call_put!$G:$G&amp;jkm_call_put!$O:$O&amp;jkm_call_put!$F:$F,0),1),"")</f>
        <v/>
      </c>
      <c r="AE12" s="7" t="str" cm="1">
        <f t="array" aca="1" ref="AE12" ca="1">_xlfn.IFNA(INDEX(jkm_call_put!$L:$L,MATCH($B12&amp;AE$2&amp;$A$1,jkm_call_put!$G:$G&amp;jkm_call_put!$O:$O&amp;jkm_call_put!$F:$F,0),1),"")</f>
        <v/>
      </c>
      <c r="AF12" s="7" t="str" cm="1">
        <f t="array" aca="1" ref="AF12" ca="1">_xlfn.IFNA(INDEX(jkm_call_put!$L:$L,MATCH($B12&amp;AF$2&amp;$A$1,jkm_call_put!$G:$G&amp;jkm_call_put!$O:$O&amp;jkm_call_put!$F:$F,0),1),"")</f>
        <v/>
      </c>
      <c r="AG12" s="7" t="str" cm="1">
        <f t="array" aca="1" ref="AG12" ca="1">_xlfn.IFNA(INDEX(jkm_call_put!$L:$L,MATCH($B12&amp;AG$2&amp;$A$1,jkm_call_put!$G:$G&amp;jkm_call_put!$O:$O&amp;jkm_call_put!$F:$F,0),1),"")</f>
        <v/>
      </c>
      <c r="AH12" s="7" t="str" cm="1">
        <f t="array" aca="1" ref="AH12" ca="1">_xlfn.IFNA(INDEX(jkm_call_put!$L:$L,MATCH($B12&amp;AH$2&amp;$A$1,jkm_call_put!$G:$G&amp;jkm_call_put!$O:$O&amp;jkm_call_put!$F:$F,0),1),"")</f>
        <v/>
      </c>
      <c r="AI12" s="7" t="str" cm="1">
        <f t="array" aca="1" ref="AI12" ca="1">_xlfn.IFNA(INDEX(jkm_call_put!$L:$L,MATCH($B12&amp;AI$2&amp;$A$1,jkm_call_put!$G:$G&amp;jkm_call_put!$O:$O&amp;jkm_call_put!$F:$F,0),1),"")</f>
        <v/>
      </c>
      <c r="AJ12" s="7" t="str" cm="1">
        <f t="array" aca="1" ref="AJ12" ca="1">_xlfn.IFNA(INDEX(jkm_call_put!$L:$L,MATCH($B12&amp;AJ$2&amp;$A$1,jkm_call_put!$G:$G&amp;jkm_call_put!$O:$O&amp;jkm_call_put!$F:$F,0),1),"")</f>
        <v/>
      </c>
      <c r="AK12" s="7" t="str" cm="1">
        <f t="array" aca="1" ref="AK12" ca="1">_xlfn.IFNA(INDEX(jkm_call_put!$L:$L,MATCH($B12&amp;AK$2&amp;$A$1,jkm_call_put!$G:$G&amp;jkm_call_put!$O:$O&amp;jkm_call_put!$F:$F,0),1),"")</f>
        <v/>
      </c>
      <c r="AL12" s="7" t="str" cm="1">
        <f t="array" aca="1" ref="AL12" ca="1">_xlfn.IFNA(INDEX(jkm_call_put!$L:$L,MATCH($B12&amp;AL$2&amp;$A$1,jkm_call_put!$G:$G&amp;jkm_call_put!$O:$O&amp;jkm_call_put!$F:$F,0),1),"")</f>
        <v/>
      </c>
    </row>
    <row r="13" spans="1:38" x14ac:dyDescent="0.25">
      <c r="B13">
        <v>10</v>
      </c>
      <c r="C13" s="7" cm="1">
        <f t="array" aca="1" ref="C13" ca="1">_xlfn.IFNA(INDEX(jkm_call_put!$L:$L,MATCH($B13&amp;C$2&amp;$A$1,jkm_call_put!$G:$G&amp;jkm_call_put!$O:$O&amp;jkm_call_put!$F:$F,0),1),"")</f>
        <v>51.517800000000001</v>
      </c>
      <c r="D13" s="7" cm="1">
        <f t="array" aca="1" ref="D13" ca="1">_xlfn.IFNA(INDEX(jkm_call_put!$L:$L,MATCH($B13&amp;D$2&amp;$A$1,jkm_call_put!$G:$G&amp;jkm_call_put!$O:$O&amp;jkm_call_put!$F:$F,0),1),"")</f>
        <v>43.056100000000001</v>
      </c>
      <c r="E13" s="7" cm="1">
        <f t="array" aca="1" ref="E13" ca="1">_xlfn.IFNA(INDEX(jkm_call_put!$L:$L,MATCH($B13&amp;E$2&amp;$A$1,jkm_call_put!$G:$G&amp;jkm_call_put!$O:$O&amp;jkm_call_put!$F:$F,0),1),"")</f>
        <v>75.2166</v>
      </c>
      <c r="F13" s="7" cm="1">
        <f t="array" aca="1" ref="F13" ca="1">_xlfn.IFNA(INDEX(jkm_call_put!$L:$L,MATCH($B13&amp;F$2&amp;$A$1,jkm_call_put!$G:$G&amp;jkm_call_put!$O:$O&amp;jkm_call_put!$F:$F,0),1),"")</f>
        <v>77.626099999999994</v>
      </c>
      <c r="G13" s="7" cm="1">
        <f t="array" aca="1" ref="G13" ca="1">_xlfn.IFNA(INDEX(jkm_call_put!$L:$L,MATCH($B13&amp;G$2&amp;$A$1,jkm_call_put!$G:$G&amp;jkm_call_put!$O:$O&amp;jkm_call_put!$F:$F,0),1),"")</f>
        <v>79.242000000000004</v>
      </c>
      <c r="H13" s="7" cm="1">
        <f t="array" aca="1" ref="H13" ca="1">_xlfn.IFNA(INDEX(jkm_call_put!$L:$L,MATCH($B13&amp;H$2&amp;$A$1,jkm_call_put!$G:$G&amp;jkm_call_put!$O:$O&amp;jkm_call_put!$F:$F,0),1),"")</f>
        <v>61.859400000000001</v>
      </c>
      <c r="I13" s="7" cm="1">
        <f t="array" aca="1" ref="I13" ca="1">_xlfn.IFNA(INDEX(jkm_call_put!$L:$L,MATCH($B13&amp;I$2&amp;$A$1,jkm_call_put!$G:$G&amp;jkm_call_put!$O:$O&amp;jkm_call_put!$F:$F,0),1),"")</f>
        <v>62.511800000000001</v>
      </c>
      <c r="J13" s="7" cm="1">
        <f t="array" aca="1" ref="J13" ca="1">_xlfn.IFNA(INDEX(jkm_call_put!$L:$L,MATCH($B13&amp;J$2&amp;$A$1,jkm_call_put!$G:$G&amp;jkm_call_put!$O:$O&amp;jkm_call_put!$F:$F,0),1),"")</f>
        <v>63.020299999999999</v>
      </c>
      <c r="K13" s="7" cm="1">
        <f t="array" aca="1" ref="K13" ca="1">_xlfn.IFNA(INDEX(jkm_call_put!$L:$L,MATCH($B13&amp;K$2&amp;$A$1,jkm_call_put!$G:$G&amp;jkm_call_put!$O:$O&amp;jkm_call_put!$F:$F,0),1),"")</f>
        <v>63.123600000000003</v>
      </c>
      <c r="L13" s="7" cm="1">
        <f t="array" aca="1" ref="L13" ca="1">_xlfn.IFNA(INDEX(jkm_call_put!$L:$L,MATCH($B13&amp;L$2&amp;$A$1,jkm_call_put!$G:$G&amp;jkm_call_put!$O:$O&amp;jkm_call_put!$F:$F,0),1),"")</f>
        <v>63.407800000000002</v>
      </c>
      <c r="M13" s="7" cm="1">
        <f t="array" aca="1" ref="M13" ca="1">_xlfn.IFNA(INDEX(jkm_call_put!$L:$L,MATCH($B13&amp;M$2&amp;$A$1,jkm_call_put!$G:$G&amp;jkm_call_put!$O:$O&amp;jkm_call_put!$F:$F,0),1),"")</f>
        <v>63.6008</v>
      </c>
      <c r="N13" s="7" cm="1">
        <f t="array" aca="1" ref="N13" ca="1">_xlfn.IFNA(INDEX(jkm_call_put!$L:$L,MATCH($B13&amp;N$2&amp;$A$1,jkm_call_put!$G:$G&amp;jkm_call_put!$O:$O&amp;jkm_call_put!$F:$F,0),1),"")</f>
        <v>47.746600000000001</v>
      </c>
      <c r="O13" s="7" cm="1">
        <f t="array" aca="1" ref="O13" ca="1">_xlfn.IFNA(INDEX(jkm_call_put!$L:$L,MATCH($B13&amp;O$2&amp;$A$1,jkm_call_put!$G:$G&amp;jkm_call_put!$O:$O&amp;jkm_call_put!$F:$F,0),1),"")</f>
        <v>47.738599999999998</v>
      </c>
      <c r="P13" s="7" cm="1">
        <f t="array" aca="1" ref="P13" ca="1">_xlfn.IFNA(INDEX(jkm_call_put!$L:$L,MATCH($B13&amp;P$2&amp;$A$1,jkm_call_put!$G:$G&amp;jkm_call_put!$O:$O&amp;jkm_call_put!$F:$F,0),1),"")</f>
        <v>47.934199999999997</v>
      </c>
      <c r="Q13" s="7" cm="1">
        <f t="array" aca="1" ref="Q13" ca="1">_xlfn.IFNA(INDEX(jkm_call_put!$L:$L,MATCH($B13&amp;Q$2&amp;$A$1,jkm_call_put!$G:$G&amp;jkm_call_put!$O:$O&amp;jkm_call_put!$F:$F,0),1),"")</f>
        <v>47.883800000000001</v>
      </c>
      <c r="R13" s="7" cm="1">
        <f t="array" aca="1" ref="R13" ca="1">_xlfn.IFNA(INDEX(jkm_call_put!$L:$L,MATCH($B13&amp;R$2&amp;$A$1,jkm_call_put!$G:$G&amp;jkm_call_put!$O:$O&amp;jkm_call_put!$F:$F,0),1),"")</f>
        <v>47.861899999999999</v>
      </c>
      <c r="S13" s="7" cm="1">
        <f t="array" aca="1" ref="S13" ca="1">_xlfn.IFNA(INDEX(jkm_call_put!$L:$L,MATCH($B13&amp;S$2&amp;$A$1,jkm_call_put!$G:$G&amp;jkm_call_put!$O:$O&amp;jkm_call_put!$F:$F,0),1),"")</f>
        <v>47.952199999999998</v>
      </c>
      <c r="T13" s="7" cm="1">
        <f t="array" aca="1" ref="T13" ca="1">_xlfn.IFNA(INDEX(jkm_call_put!$L:$L,MATCH($B13&amp;T$2&amp;$A$1,jkm_call_put!$G:$G&amp;jkm_call_put!$O:$O&amp;jkm_call_put!$F:$F,0),1),"")</f>
        <v>35.203299999999999</v>
      </c>
      <c r="U13" s="7" cm="1">
        <f t="array" aca="1" ref="U13" ca="1">_xlfn.IFNA(INDEX(jkm_call_put!$L:$L,MATCH($B13&amp;U$2&amp;$A$1,jkm_call_put!$G:$G&amp;jkm_call_put!$O:$O&amp;jkm_call_put!$F:$F,0),1),"")</f>
        <v>35.103200000000001</v>
      </c>
      <c r="V13" s="7" cm="1">
        <f t="array" aca="1" ref="V13" ca="1">_xlfn.IFNA(INDEX(jkm_call_put!$L:$L,MATCH($B13&amp;V$2&amp;$A$1,jkm_call_put!$G:$G&amp;jkm_call_put!$O:$O&amp;jkm_call_put!$F:$F,0),1),"")</f>
        <v>34.988799999999998</v>
      </c>
      <c r="W13" s="7" cm="1">
        <f t="array" aca="1" ref="W13" ca="1">_xlfn.IFNA(INDEX(jkm_call_put!$L:$L,MATCH($B13&amp;W$2&amp;$A$1,jkm_call_put!$G:$G&amp;jkm_call_put!$O:$O&amp;jkm_call_put!$F:$F,0),1),"")</f>
        <v>34.948300000000003</v>
      </c>
      <c r="X13" s="7" cm="1">
        <f t="array" aca="1" ref="X13" ca="1">_xlfn.IFNA(INDEX(jkm_call_put!$L:$L,MATCH($B13&amp;X$2&amp;$A$1,jkm_call_put!$G:$G&amp;jkm_call_put!$O:$O&amp;jkm_call_put!$F:$F,0),1),"")</f>
        <v>34.996600000000001</v>
      </c>
      <c r="Y13" s="7" cm="1">
        <f t="array" aca="1" ref="Y13" ca="1">_xlfn.IFNA(INDEX(jkm_call_put!$L:$L,MATCH($B13&amp;Y$2&amp;$A$1,jkm_call_put!$G:$G&amp;jkm_call_put!$O:$O&amp;jkm_call_put!$F:$F,0),1),"")</f>
        <v>34.967100000000002</v>
      </c>
      <c r="Z13" s="7" cm="1">
        <f t="array" aca="1" ref="Z13" ca="1">_xlfn.IFNA(INDEX(jkm_call_put!$L:$L,MATCH($B13&amp;Z$2&amp;$A$1,jkm_call_put!$G:$G&amp;jkm_call_put!$O:$O&amp;jkm_call_put!$F:$F,0),1),"")</f>
        <v>30.0822</v>
      </c>
      <c r="AA13" s="7" cm="1">
        <f t="array" aca="1" ref="AA13" ca="1">_xlfn.IFNA(INDEX(jkm_call_put!$L:$L,MATCH($B13&amp;AA$2&amp;$A$1,jkm_call_put!$G:$G&amp;jkm_call_put!$O:$O&amp;jkm_call_put!$F:$F,0),1),"")</f>
        <v>30.096</v>
      </c>
      <c r="AB13" s="7" cm="1">
        <f t="array" aca="1" ref="AB13" ca="1">_xlfn.IFNA(INDEX(jkm_call_put!$L:$L,MATCH($B13&amp;AB$2&amp;$A$1,jkm_call_put!$G:$G&amp;jkm_call_put!$O:$O&amp;jkm_call_put!$F:$F,0),1),"")</f>
        <v>30.067900000000002</v>
      </c>
      <c r="AC13" s="7" cm="1">
        <f t="array" aca="1" ref="AC13" ca="1">_xlfn.IFNA(INDEX(jkm_call_put!$L:$L,MATCH($B13&amp;AC$2&amp;$A$1,jkm_call_put!$G:$G&amp;jkm_call_put!$O:$O&amp;jkm_call_put!$F:$F,0),1),"")</f>
        <v>30.0886</v>
      </c>
      <c r="AD13" s="7" cm="1">
        <f t="array" aca="1" ref="AD13" ca="1">_xlfn.IFNA(INDEX(jkm_call_put!$L:$L,MATCH($B13&amp;AD$2&amp;$A$1,jkm_call_put!$G:$G&amp;jkm_call_put!$O:$O&amp;jkm_call_put!$F:$F,0),1),"")</f>
        <v>30.1433</v>
      </c>
      <c r="AE13" s="7" cm="1">
        <f t="array" aca="1" ref="AE13" ca="1">_xlfn.IFNA(INDEX(jkm_call_put!$L:$L,MATCH($B13&amp;AE$2&amp;$A$1,jkm_call_put!$G:$G&amp;jkm_call_put!$O:$O&amp;jkm_call_put!$F:$F,0),1),"")</f>
        <v>30.113399999999999</v>
      </c>
      <c r="AF13" s="7" cm="1">
        <f t="array" aca="1" ref="AF13" ca="1">_xlfn.IFNA(INDEX(jkm_call_put!$L:$L,MATCH($B13&amp;AF$2&amp;$A$1,jkm_call_put!$G:$G&amp;jkm_call_put!$O:$O&amp;jkm_call_put!$F:$F,0),1),"")</f>
        <v>35.0809</v>
      </c>
      <c r="AG13" s="7" cm="1">
        <f t="array" aca="1" ref="AG13" ca="1">_xlfn.IFNA(INDEX(jkm_call_put!$L:$L,MATCH($B13&amp;AG$2&amp;$A$1,jkm_call_put!$G:$G&amp;jkm_call_put!$O:$O&amp;jkm_call_put!$F:$F,0),1),"")</f>
        <v>35.150399999999998</v>
      </c>
      <c r="AH13" s="7" cm="1">
        <f t="array" aca="1" ref="AH13" ca="1">_xlfn.IFNA(INDEX(jkm_call_put!$L:$L,MATCH($B13&amp;AH$2&amp;$A$1,jkm_call_put!$G:$G&amp;jkm_call_put!$O:$O&amp;jkm_call_put!$F:$F,0),1),"")</f>
        <v>35.111499999999999</v>
      </c>
      <c r="AI13" s="7" cm="1">
        <f t="array" aca="1" ref="AI13" ca="1">_xlfn.IFNA(INDEX(jkm_call_put!$L:$L,MATCH($B13&amp;AI$2&amp;$A$1,jkm_call_put!$G:$G&amp;jkm_call_put!$O:$O&amp;jkm_call_put!$F:$F,0),1),"")</f>
        <v>35.1389</v>
      </c>
      <c r="AJ13" s="7" cm="1">
        <f t="array" aca="1" ref="AJ13" ca="1">_xlfn.IFNA(INDEX(jkm_call_put!$L:$L,MATCH($B13&amp;AJ$2&amp;$A$1,jkm_call_put!$G:$G&amp;jkm_call_put!$O:$O&amp;jkm_call_put!$F:$F,0),1),"")</f>
        <v>35.142299999999999</v>
      </c>
      <c r="AK13" s="7" cm="1">
        <f t="array" aca="1" ref="AK13" ca="1">_xlfn.IFNA(INDEX(jkm_call_put!$L:$L,MATCH($B13&amp;AK$2&amp;$A$1,jkm_call_put!$G:$G&amp;jkm_call_put!$O:$O&amp;jkm_call_put!$F:$F,0),1),"")</f>
        <v>35.113</v>
      </c>
      <c r="AL13" s="7" cm="1">
        <f t="array" aca="1" ref="AL13" ca="1">_xlfn.IFNA(INDEX(jkm_call_put!$L:$L,MATCH($B13&amp;AL$2&amp;$A$1,jkm_call_put!$G:$G&amp;jkm_call_put!$O:$O&amp;jkm_call_put!$F:$F,0),1),"")</f>
        <v>35.1753</v>
      </c>
    </row>
    <row r="14" spans="1:38" x14ac:dyDescent="0.25">
      <c r="B14">
        <v>10.5</v>
      </c>
      <c r="C14" s="7" t="str" cm="1">
        <f t="array" aca="1" ref="C14" ca="1">_xlfn.IFNA(INDEX(jkm_call_put!$L:$L,MATCH($B14&amp;C$2&amp;$A$1,jkm_call_put!$G:$G&amp;jkm_call_put!$O:$O&amp;jkm_call_put!$F:$F,0),1),"")</f>
        <v/>
      </c>
      <c r="D14" s="7" t="str" cm="1">
        <f t="array" aca="1" ref="D14" ca="1">_xlfn.IFNA(INDEX(jkm_call_put!$L:$L,MATCH($B14&amp;D$2&amp;$A$1,jkm_call_put!$G:$G&amp;jkm_call_put!$O:$O&amp;jkm_call_put!$F:$F,0),1),"")</f>
        <v/>
      </c>
      <c r="E14" s="7" t="str" cm="1">
        <f t="array" aca="1" ref="E14" ca="1">_xlfn.IFNA(INDEX(jkm_call_put!$L:$L,MATCH($B14&amp;E$2&amp;$A$1,jkm_call_put!$G:$G&amp;jkm_call_put!$O:$O&amp;jkm_call_put!$F:$F,0),1),"")</f>
        <v/>
      </c>
      <c r="F14" s="7" t="str" cm="1">
        <f t="array" aca="1" ref="F14" ca="1">_xlfn.IFNA(INDEX(jkm_call_put!$L:$L,MATCH($B14&amp;F$2&amp;$A$1,jkm_call_put!$G:$G&amp;jkm_call_put!$O:$O&amp;jkm_call_put!$F:$F,0),1),"")</f>
        <v/>
      </c>
      <c r="G14" s="7" t="str" cm="1">
        <f t="array" aca="1" ref="G14" ca="1">_xlfn.IFNA(INDEX(jkm_call_put!$L:$L,MATCH($B14&amp;G$2&amp;$A$1,jkm_call_put!$G:$G&amp;jkm_call_put!$O:$O&amp;jkm_call_put!$F:$F,0),1),"")</f>
        <v/>
      </c>
      <c r="H14" s="7" cm="1">
        <f t="array" aca="1" ref="H14" ca="1">_xlfn.IFNA(INDEX(jkm_call_put!$L:$L,MATCH($B14&amp;H$2&amp;$A$1,jkm_call_put!$G:$G&amp;jkm_call_put!$O:$O&amp;jkm_call_put!$F:$F,0),1),"")</f>
        <v>61.883899999999997</v>
      </c>
      <c r="I14" s="7" cm="1">
        <f t="array" aca="1" ref="I14" ca="1">_xlfn.IFNA(INDEX(jkm_call_put!$L:$L,MATCH($B14&amp;I$2&amp;$A$1,jkm_call_put!$G:$G&amp;jkm_call_put!$O:$O&amp;jkm_call_put!$F:$F,0),1),"")</f>
        <v>62.5366</v>
      </c>
      <c r="J14" s="7" cm="1">
        <f t="array" aca="1" ref="J14" ca="1">_xlfn.IFNA(INDEX(jkm_call_put!$L:$L,MATCH($B14&amp;J$2&amp;$A$1,jkm_call_put!$G:$G&amp;jkm_call_put!$O:$O&amp;jkm_call_put!$F:$F,0),1),"")</f>
        <v>63.045099999999998</v>
      </c>
      <c r="K14" s="7" cm="1">
        <f t="array" aca="1" ref="K14" ca="1">_xlfn.IFNA(INDEX(jkm_call_put!$L:$L,MATCH($B14&amp;K$2&amp;$A$1,jkm_call_put!$G:$G&amp;jkm_call_put!$O:$O&amp;jkm_call_put!$F:$F,0),1),"")</f>
        <v>63.148400000000002</v>
      </c>
      <c r="L14" s="7" cm="1">
        <f t="array" aca="1" ref="L14" ca="1">_xlfn.IFNA(INDEX(jkm_call_put!$L:$L,MATCH($B14&amp;L$2&amp;$A$1,jkm_call_put!$G:$G&amp;jkm_call_put!$O:$O&amp;jkm_call_put!$F:$F,0),1),"")</f>
        <v>63.432699999999997</v>
      </c>
      <c r="M14" s="7" cm="1">
        <f t="array" aca="1" ref="M14" ca="1">_xlfn.IFNA(INDEX(jkm_call_put!$L:$L,MATCH($B14&amp;M$2&amp;$A$1,jkm_call_put!$G:$G&amp;jkm_call_put!$O:$O&amp;jkm_call_put!$F:$F,0),1),"")</f>
        <v>63.625900000000001</v>
      </c>
      <c r="N14" s="7" cm="1">
        <f t="array" aca="1" ref="N14" ca="1">_xlfn.IFNA(INDEX(jkm_call_put!$L:$L,MATCH($B14&amp;N$2&amp;$A$1,jkm_call_put!$G:$G&amp;jkm_call_put!$O:$O&amp;jkm_call_put!$F:$F,0),1),"")</f>
        <v>47.716299999999997</v>
      </c>
      <c r="O14" s="7" cm="1">
        <f t="array" aca="1" ref="O14" ca="1">_xlfn.IFNA(INDEX(jkm_call_put!$L:$L,MATCH($B14&amp;O$2&amp;$A$1,jkm_call_put!$G:$G&amp;jkm_call_put!$O:$O&amp;jkm_call_put!$F:$F,0),1),"")</f>
        <v>47.7074</v>
      </c>
      <c r="P14" s="7" cm="1">
        <f t="array" aca="1" ref="P14" ca="1">_xlfn.IFNA(INDEX(jkm_call_put!$L:$L,MATCH($B14&amp;P$2&amp;$A$1,jkm_call_put!$G:$G&amp;jkm_call_put!$O:$O&amp;jkm_call_put!$F:$F,0),1),"")</f>
        <v>47.902299999999997</v>
      </c>
      <c r="Q14" s="7" cm="1">
        <f t="array" aca="1" ref="Q14" ca="1">_xlfn.IFNA(INDEX(jkm_call_put!$L:$L,MATCH($B14&amp;Q$2&amp;$A$1,jkm_call_put!$G:$G&amp;jkm_call_put!$O:$O&amp;jkm_call_put!$F:$F,0),1),"")</f>
        <v>47.853099999999998</v>
      </c>
      <c r="R14" s="7" cm="1">
        <f t="array" aca="1" ref="R14" ca="1">_xlfn.IFNA(INDEX(jkm_call_put!$L:$L,MATCH($B14&amp;R$2&amp;$A$1,jkm_call_put!$G:$G&amp;jkm_call_put!$O:$O&amp;jkm_call_put!$F:$F,0),1),"")</f>
        <v>47.831499999999998</v>
      </c>
      <c r="S14" s="7" cm="1">
        <f t="array" aca="1" ref="S14" ca="1">_xlfn.IFNA(INDEX(jkm_call_put!$L:$L,MATCH($B14&amp;S$2&amp;$A$1,jkm_call_put!$G:$G&amp;jkm_call_put!$O:$O&amp;jkm_call_put!$F:$F,0),1),"")</f>
        <v>47.921999999999997</v>
      </c>
      <c r="T14" s="7" t="str" cm="1">
        <f t="array" aca="1" ref="T14" ca="1">_xlfn.IFNA(INDEX(jkm_call_put!$L:$L,MATCH($B14&amp;T$2&amp;$A$1,jkm_call_put!$G:$G&amp;jkm_call_put!$O:$O&amp;jkm_call_put!$F:$F,0),1),"")</f>
        <v/>
      </c>
      <c r="U14" s="7" t="str" cm="1">
        <f t="array" aca="1" ref="U14" ca="1">_xlfn.IFNA(INDEX(jkm_call_put!$L:$L,MATCH($B14&amp;U$2&amp;$A$1,jkm_call_put!$G:$G&amp;jkm_call_put!$O:$O&amp;jkm_call_put!$F:$F,0),1),"")</f>
        <v/>
      </c>
      <c r="V14" s="7" t="str" cm="1">
        <f t="array" aca="1" ref="V14" ca="1">_xlfn.IFNA(INDEX(jkm_call_put!$L:$L,MATCH($B14&amp;V$2&amp;$A$1,jkm_call_put!$G:$G&amp;jkm_call_put!$O:$O&amp;jkm_call_put!$F:$F,0),1),"")</f>
        <v/>
      </c>
      <c r="W14" s="7" t="str" cm="1">
        <f t="array" aca="1" ref="W14" ca="1">_xlfn.IFNA(INDEX(jkm_call_put!$L:$L,MATCH($B14&amp;W$2&amp;$A$1,jkm_call_put!$G:$G&amp;jkm_call_put!$O:$O&amp;jkm_call_put!$F:$F,0),1),"")</f>
        <v/>
      </c>
      <c r="X14" s="7" t="str" cm="1">
        <f t="array" aca="1" ref="X14" ca="1">_xlfn.IFNA(INDEX(jkm_call_put!$L:$L,MATCH($B14&amp;X$2&amp;$A$1,jkm_call_put!$G:$G&amp;jkm_call_put!$O:$O&amp;jkm_call_put!$F:$F,0),1),"")</f>
        <v/>
      </c>
      <c r="Y14" s="7" t="str" cm="1">
        <f t="array" aca="1" ref="Y14" ca="1">_xlfn.IFNA(INDEX(jkm_call_put!$L:$L,MATCH($B14&amp;Y$2&amp;$A$1,jkm_call_put!$G:$G&amp;jkm_call_put!$O:$O&amp;jkm_call_put!$F:$F,0),1),"")</f>
        <v/>
      </c>
      <c r="Z14" s="7" t="str" cm="1">
        <f t="array" aca="1" ref="Z14" ca="1">_xlfn.IFNA(INDEX(jkm_call_put!$L:$L,MATCH($B14&amp;Z$2&amp;$A$1,jkm_call_put!$G:$G&amp;jkm_call_put!$O:$O&amp;jkm_call_put!$F:$F,0),1),"")</f>
        <v/>
      </c>
      <c r="AA14" s="7" t="str" cm="1">
        <f t="array" aca="1" ref="AA14" ca="1">_xlfn.IFNA(INDEX(jkm_call_put!$L:$L,MATCH($B14&amp;AA$2&amp;$A$1,jkm_call_put!$G:$G&amp;jkm_call_put!$O:$O&amp;jkm_call_put!$F:$F,0),1),"")</f>
        <v/>
      </c>
      <c r="AB14" s="7" t="str" cm="1">
        <f t="array" aca="1" ref="AB14" ca="1">_xlfn.IFNA(INDEX(jkm_call_put!$L:$L,MATCH($B14&amp;AB$2&amp;$A$1,jkm_call_put!$G:$G&amp;jkm_call_put!$O:$O&amp;jkm_call_put!$F:$F,0),1),"")</f>
        <v/>
      </c>
      <c r="AC14" s="7" t="str" cm="1">
        <f t="array" aca="1" ref="AC14" ca="1">_xlfn.IFNA(INDEX(jkm_call_put!$L:$L,MATCH($B14&amp;AC$2&amp;$A$1,jkm_call_put!$G:$G&amp;jkm_call_put!$O:$O&amp;jkm_call_put!$F:$F,0),1),"")</f>
        <v/>
      </c>
      <c r="AD14" s="7" t="str" cm="1">
        <f t="array" aca="1" ref="AD14" ca="1">_xlfn.IFNA(INDEX(jkm_call_put!$L:$L,MATCH($B14&amp;AD$2&amp;$A$1,jkm_call_put!$G:$G&amp;jkm_call_put!$O:$O&amp;jkm_call_put!$F:$F,0),1),"")</f>
        <v/>
      </c>
      <c r="AE14" s="7" t="str" cm="1">
        <f t="array" aca="1" ref="AE14" ca="1">_xlfn.IFNA(INDEX(jkm_call_put!$L:$L,MATCH($B14&amp;AE$2&amp;$A$1,jkm_call_put!$G:$G&amp;jkm_call_put!$O:$O&amp;jkm_call_put!$F:$F,0),1),"")</f>
        <v/>
      </c>
      <c r="AF14" s="7" t="str" cm="1">
        <f t="array" aca="1" ref="AF14" ca="1">_xlfn.IFNA(INDEX(jkm_call_put!$L:$L,MATCH($B14&amp;AF$2&amp;$A$1,jkm_call_put!$G:$G&amp;jkm_call_put!$O:$O&amp;jkm_call_put!$F:$F,0),1),"")</f>
        <v/>
      </c>
      <c r="AG14" s="7" t="str" cm="1">
        <f t="array" aca="1" ref="AG14" ca="1">_xlfn.IFNA(INDEX(jkm_call_put!$L:$L,MATCH($B14&amp;AG$2&amp;$A$1,jkm_call_put!$G:$G&amp;jkm_call_put!$O:$O&amp;jkm_call_put!$F:$F,0),1),"")</f>
        <v/>
      </c>
      <c r="AH14" s="7" t="str" cm="1">
        <f t="array" aca="1" ref="AH14" ca="1">_xlfn.IFNA(INDEX(jkm_call_put!$L:$L,MATCH($B14&amp;AH$2&amp;$A$1,jkm_call_put!$G:$G&amp;jkm_call_put!$O:$O&amp;jkm_call_put!$F:$F,0),1),"")</f>
        <v/>
      </c>
      <c r="AI14" s="7" t="str" cm="1">
        <f t="array" aca="1" ref="AI14" ca="1">_xlfn.IFNA(INDEX(jkm_call_put!$L:$L,MATCH($B14&amp;AI$2&amp;$A$1,jkm_call_put!$G:$G&amp;jkm_call_put!$O:$O&amp;jkm_call_put!$F:$F,0),1),"")</f>
        <v/>
      </c>
      <c r="AJ14" s="7" t="str" cm="1">
        <f t="array" aca="1" ref="AJ14" ca="1">_xlfn.IFNA(INDEX(jkm_call_put!$L:$L,MATCH($B14&amp;AJ$2&amp;$A$1,jkm_call_put!$G:$G&amp;jkm_call_put!$O:$O&amp;jkm_call_put!$F:$F,0),1),"")</f>
        <v/>
      </c>
      <c r="AK14" s="7" t="str" cm="1">
        <f t="array" aca="1" ref="AK14" ca="1">_xlfn.IFNA(INDEX(jkm_call_put!$L:$L,MATCH($B14&amp;AK$2&amp;$A$1,jkm_call_put!$G:$G&amp;jkm_call_put!$O:$O&amp;jkm_call_put!$F:$F,0),1),"")</f>
        <v/>
      </c>
      <c r="AL14" s="7" t="str" cm="1">
        <f t="array" aca="1" ref="AL14" ca="1">_xlfn.IFNA(INDEX(jkm_call_put!$L:$L,MATCH($B14&amp;AL$2&amp;$A$1,jkm_call_put!$G:$G&amp;jkm_call_put!$O:$O&amp;jkm_call_put!$F:$F,0),1),"")</f>
        <v/>
      </c>
    </row>
    <row r="15" spans="1:38" x14ac:dyDescent="0.25">
      <c r="B15">
        <v>11</v>
      </c>
      <c r="C15" s="7" t="str" cm="1">
        <f t="array" aca="1" ref="C15" ca="1">_xlfn.IFNA(INDEX(jkm_call_put!$L:$L,MATCH($B15&amp;C$2&amp;$A$1,jkm_call_put!$G:$G&amp;jkm_call_put!$O:$O&amp;jkm_call_put!$F:$F,0),1),"")</f>
        <v/>
      </c>
      <c r="D15" s="7" t="str" cm="1">
        <f t="array" aca="1" ref="D15" ca="1">_xlfn.IFNA(INDEX(jkm_call_put!$L:$L,MATCH($B15&amp;D$2&amp;$A$1,jkm_call_put!$G:$G&amp;jkm_call_put!$O:$O&amp;jkm_call_put!$F:$F,0),1),"")</f>
        <v/>
      </c>
      <c r="E15" s="7" t="str" cm="1">
        <f t="array" aca="1" ref="E15" ca="1">_xlfn.IFNA(INDEX(jkm_call_put!$L:$L,MATCH($B15&amp;E$2&amp;$A$1,jkm_call_put!$G:$G&amp;jkm_call_put!$O:$O&amp;jkm_call_put!$F:$F,0),1),"")</f>
        <v/>
      </c>
      <c r="F15" s="7" t="str" cm="1">
        <f t="array" aca="1" ref="F15" ca="1">_xlfn.IFNA(INDEX(jkm_call_put!$L:$L,MATCH($B15&amp;F$2&amp;$A$1,jkm_call_put!$G:$G&amp;jkm_call_put!$O:$O&amp;jkm_call_put!$F:$F,0),1),"")</f>
        <v/>
      </c>
      <c r="G15" s="7" t="str" cm="1">
        <f t="array" aca="1" ref="G15" ca="1">_xlfn.IFNA(INDEX(jkm_call_put!$L:$L,MATCH($B15&amp;G$2&amp;$A$1,jkm_call_put!$G:$G&amp;jkm_call_put!$O:$O&amp;jkm_call_put!$F:$F,0),1),"")</f>
        <v/>
      </c>
      <c r="H15" s="7" cm="1">
        <f t="array" aca="1" ref="H15" ca="1">_xlfn.IFNA(INDEX(jkm_call_put!$L:$L,MATCH($B15&amp;H$2&amp;$A$1,jkm_call_put!$G:$G&amp;jkm_call_put!$O:$O&amp;jkm_call_put!$F:$F,0),1),"")</f>
        <v>61.908499999999997</v>
      </c>
      <c r="I15" s="7" cm="1">
        <f t="array" aca="1" ref="I15" ca="1">_xlfn.IFNA(INDEX(jkm_call_put!$L:$L,MATCH($B15&amp;I$2&amp;$A$1,jkm_call_put!$G:$G&amp;jkm_call_put!$O:$O&amp;jkm_call_put!$F:$F,0),1),"")</f>
        <v>62.561300000000003</v>
      </c>
      <c r="J15" s="7" cm="1">
        <f t="array" aca="1" ref="J15" ca="1">_xlfn.IFNA(INDEX(jkm_call_put!$L:$L,MATCH($B15&amp;J$2&amp;$A$1,jkm_call_put!$G:$G&amp;jkm_call_put!$O:$O&amp;jkm_call_put!$F:$F,0),1),"")</f>
        <v>63.069800000000001</v>
      </c>
      <c r="K15" s="7" cm="1">
        <f t="array" aca="1" ref="K15" ca="1">_xlfn.IFNA(INDEX(jkm_call_put!$L:$L,MATCH($B15&amp;K$2&amp;$A$1,jkm_call_put!$G:$G&amp;jkm_call_put!$O:$O&amp;jkm_call_put!$F:$F,0),1),"")</f>
        <v>63.173200000000001</v>
      </c>
      <c r="L15" s="7" t="str" cm="1">
        <f t="array" aca="1" ref="L15" ca="1">_xlfn.IFNA(INDEX(jkm_call_put!$L:$L,MATCH($B15&amp;L$2&amp;$A$1,jkm_call_put!$G:$G&amp;jkm_call_put!$O:$O&amp;jkm_call_put!$F:$F,0),1),"")</f>
        <v/>
      </c>
      <c r="M15" s="7" t="str" cm="1">
        <f t="array" aca="1" ref="M15" ca="1">_xlfn.IFNA(INDEX(jkm_call_put!$L:$L,MATCH($B15&amp;M$2&amp;$A$1,jkm_call_put!$G:$G&amp;jkm_call_put!$O:$O&amp;jkm_call_put!$F:$F,0),1),"")</f>
        <v/>
      </c>
      <c r="N15" s="7" cm="1">
        <f t="array" aca="1" ref="N15" ca="1">_xlfn.IFNA(INDEX(jkm_call_put!$L:$L,MATCH($B15&amp;N$2&amp;$A$1,jkm_call_put!$G:$G&amp;jkm_call_put!$O:$O&amp;jkm_call_put!$F:$F,0),1),"")</f>
        <v>47.687600000000003</v>
      </c>
      <c r="O15" s="7" cm="1">
        <f t="array" aca="1" ref="O15" ca="1">_xlfn.IFNA(INDEX(jkm_call_put!$L:$L,MATCH($B15&amp;O$2&amp;$A$1,jkm_call_put!$G:$G&amp;jkm_call_put!$O:$O&amp;jkm_call_put!$F:$F,0),1),"")</f>
        <v>47.677599999999998</v>
      </c>
      <c r="P15" s="7" cm="1">
        <f t="array" aca="1" ref="P15" ca="1">_xlfn.IFNA(INDEX(jkm_call_put!$L:$L,MATCH($B15&amp;P$2&amp;$A$1,jkm_call_put!$G:$G&amp;jkm_call_put!$O:$O&amp;jkm_call_put!$F:$F,0),1),"")</f>
        <v>47.871899999999997</v>
      </c>
      <c r="Q15" s="7" cm="1">
        <f t="array" aca="1" ref="Q15" ca="1">_xlfn.IFNA(INDEX(jkm_call_put!$L:$L,MATCH($B15&amp;Q$2&amp;$A$1,jkm_call_put!$G:$G&amp;jkm_call_put!$O:$O&amp;jkm_call_put!$F:$F,0),1),"")</f>
        <v>47.823599999999999</v>
      </c>
      <c r="R15" s="7" cm="1">
        <f t="array" aca="1" ref="R15" ca="1">_xlfn.IFNA(INDEX(jkm_call_put!$L:$L,MATCH($B15&amp;R$2&amp;$A$1,jkm_call_put!$G:$G&amp;jkm_call_put!$O:$O&amp;jkm_call_put!$F:$F,0),1),"")</f>
        <v>47.802399999999999</v>
      </c>
      <c r="S15" s="7" cm="1">
        <f t="array" aca="1" ref="S15" ca="1">_xlfn.IFNA(INDEX(jkm_call_put!$L:$L,MATCH($B15&amp;S$2&amp;$A$1,jkm_call_put!$G:$G&amp;jkm_call_put!$O:$O&amp;jkm_call_put!$F:$F,0),1),"")</f>
        <v>47.8932</v>
      </c>
      <c r="T15" s="7" t="str" cm="1">
        <f t="array" aca="1" ref="T15" ca="1">_xlfn.IFNA(INDEX(jkm_call_put!$L:$L,MATCH($B15&amp;T$2&amp;$A$1,jkm_call_put!$G:$G&amp;jkm_call_put!$O:$O&amp;jkm_call_put!$F:$F,0),1),"")</f>
        <v/>
      </c>
      <c r="U15" s="7" t="str" cm="1">
        <f t="array" aca="1" ref="U15" ca="1">_xlfn.IFNA(INDEX(jkm_call_put!$L:$L,MATCH($B15&amp;U$2&amp;$A$1,jkm_call_put!$G:$G&amp;jkm_call_put!$O:$O&amp;jkm_call_put!$F:$F,0),1),"")</f>
        <v/>
      </c>
      <c r="V15" s="7" t="str" cm="1">
        <f t="array" aca="1" ref="V15" ca="1">_xlfn.IFNA(INDEX(jkm_call_put!$L:$L,MATCH($B15&amp;V$2&amp;$A$1,jkm_call_put!$G:$G&amp;jkm_call_put!$O:$O&amp;jkm_call_put!$F:$F,0),1),"")</f>
        <v/>
      </c>
      <c r="W15" s="7" t="str" cm="1">
        <f t="array" aca="1" ref="W15" ca="1">_xlfn.IFNA(INDEX(jkm_call_put!$L:$L,MATCH($B15&amp;W$2&amp;$A$1,jkm_call_put!$G:$G&amp;jkm_call_put!$O:$O&amp;jkm_call_put!$F:$F,0),1),"")</f>
        <v/>
      </c>
      <c r="X15" s="7" t="str" cm="1">
        <f t="array" aca="1" ref="X15" ca="1">_xlfn.IFNA(INDEX(jkm_call_put!$L:$L,MATCH($B15&amp;X$2&amp;$A$1,jkm_call_put!$G:$G&amp;jkm_call_put!$O:$O&amp;jkm_call_put!$F:$F,0),1),"")</f>
        <v/>
      </c>
      <c r="Y15" s="7" t="str" cm="1">
        <f t="array" aca="1" ref="Y15" ca="1">_xlfn.IFNA(INDEX(jkm_call_put!$L:$L,MATCH($B15&amp;Y$2&amp;$A$1,jkm_call_put!$G:$G&amp;jkm_call_put!$O:$O&amp;jkm_call_put!$F:$F,0),1),"")</f>
        <v/>
      </c>
      <c r="Z15" s="7" t="str" cm="1">
        <f t="array" aca="1" ref="Z15" ca="1">_xlfn.IFNA(INDEX(jkm_call_put!$L:$L,MATCH($B15&amp;Z$2&amp;$A$1,jkm_call_put!$G:$G&amp;jkm_call_put!$O:$O&amp;jkm_call_put!$F:$F,0),1),"")</f>
        <v/>
      </c>
      <c r="AA15" s="7" t="str" cm="1">
        <f t="array" aca="1" ref="AA15" ca="1">_xlfn.IFNA(INDEX(jkm_call_put!$L:$L,MATCH($B15&amp;AA$2&amp;$A$1,jkm_call_put!$G:$G&amp;jkm_call_put!$O:$O&amp;jkm_call_put!$F:$F,0),1),"")</f>
        <v/>
      </c>
      <c r="AB15" s="7" t="str" cm="1">
        <f t="array" aca="1" ref="AB15" ca="1">_xlfn.IFNA(INDEX(jkm_call_put!$L:$L,MATCH($B15&amp;AB$2&amp;$A$1,jkm_call_put!$G:$G&amp;jkm_call_put!$O:$O&amp;jkm_call_put!$F:$F,0),1),"")</f>
        <v/>
      </c>
      <c r="AC15" s="7" t="str" cm="1">
        <f t="array" aca="1" ref="AC15" ca="1">_xlfn.IFNA(INDEX(jkm_call_put!$L:$L,MATCH($B15&amp;AC$2&amp;$A$1,jkm_call_put!$G:$G&amp;jkm_call_put!$O:$O&amp;jkm_call_put!$F:$F,0),1),"")</f>
        <v/>
      </c>
      <c r="AD15" s="7" t="str" cm="1">
        <f t="array" aca="1" ref="AD15" ca="1">_xlfn.IFNA(INDEX(jkm_call_put!$L:$L,MATCH($B15&amp;AD$2&amp;$A$1,jkm_call_put!$G:$G&amp;jkm_call_put!$O:$O&amp;jkm_call_put!$F:$F,0),1),"")</f>
        <v/>
      </c>
      <c r="AE15" s="7" t="str" cm="1">
        <f t="array" aca="1" ref="AE15" ca="1">_xlfn.IFNA(INDEX(jkm_call_put!$L:$L,MATCH($B15&amp;AE$2&amp;$A$1,jkm_call_put!$G:$G&amp;jkm_call_put!$O:$O&amp;jkm_call_put!$F:$F,0),1),"")</f>
        <v/>
      </c>
      <c r="AF15" s="7" t="str" cm="1">
        <f t="array" aca="1" ref="AF15" ca="1">_xlfn.IFNA(INDEX(jkm_call_put!$L:$L,MATCH($B15&amp;AF$2&amp;$A$1,jkm_call_put!$G:$G&amp;jkm_call_put!$O:$O&amp;jkm_call_put!$F:$F,0),1),"")</f>
        <v/>
      </c>
      <c r="AG15" s="7" t="str" cm="1">
        <f t="array" aca="1" ref="AG15" ca="1">_xlfn.IFNA(INDEX(jkm_call_put!$L:$L,MATCH($B15&amp;AG$2&amp;$A$1,jkm_call_put!$G:$G&amp;jkm_call_put!$O:$O&amp;jkm_call_put!$F:$F,0),1),"")</f>
        <v/>
      </c>
      <c r="AH15" s="7" t="str" cm="1">
        <f t="array" aca="1" ref="AH15" ca="1">_xlfn.IFNA(INDEX(jkm_call_put!$L:$L,MATCH($B15&amp;AH$2&amp;$A$1,jkm_call_put!$G:$G&amp;jkm_call_put!$O:$O&amp;jkm_call_put!$F:$F,0),1),"")</f>
        <v/>
      </c>
      <c r="AI15" s="7" t="str" cm="1">
        <f t="array" aca="1" ref="AI15" ca="1">_xlfn.IFNA(INDEX(jkm_call_put!$L:$L,MATCH($B15&amp;AI$2&amp;$A$1,jkm_call_put!$G:$G&amp;jkm_call_put!$O:$O&amp;jkm_call_put!$F:$F,0),1),"")</f>
        <v/>
      </c>
      <c r="AJ15" s="7" t="str" cm="1">
        <f t="array" aca="1" ref="AJ15" ca="1">_xlfn.IFNA(INDEX(jkm_call_put!$L:$L,MATCH($B15&amp;AJ$2&amp;$A$1,jkm_call_put!$G:$G&amp;jkm_call_put!$O:$O&amp;jkm_call_put!$F:$F,0),1),"")</f>
        <v/>
      </c>
      <c r="AK15" s="7" t="str" cm="1">
        <f t="array" aca="1" ref="AK15" ca="1">_xlfn.IFNA(INDEX(jkm_call_put!$L:$L,MATCH($B15&amp;AK$2&amp;$A$1,jkm_call_put!$G:$G&amp;jkm_call_put!$O:$O&amp;jkm_call_put!$F:$F,0),1),"")</f>
        <v/>
      </c>
      <c r="AL15" s="7" t="str" cm="1">
        <f t="array" aca="1" ref="AL15" ca="1">_xlfn.IFNA(INDEX(jkm_call_put!$L:$L,MATCH($B15&amp;AL$2&amp;$A$1,jkm_call_put!$G:$G&amp;jkm_call_put!$O:$O&amp;jkm_call_put!$F:$F,0),1),"")</f>
        <v/>
      </c>
    </row>
    <row r="16" spans="1:38" x14ac:dyDescent="0.25">
      <c r="B16">
        <v>11.5</v>
      </c>
      <c r="C16" s="7" cm="1">
        <f t="array" aca="1" ref="C16" ca="1">_xlfn.IFNA(INDEX(jkm_call_put!$L:$L,MATCH($B16&amp;C$2&amp;$A$1,jkm_call_put!$G:$G&amp;jkm_call_put!$O:$O&amp;jkm_call_put!$F:$F,0),1),"")</f>
        <v>40.952300000000001</v>
      </c>
      <c r="D16" s="7" cm="1">
        <f t="array" aca="1" ref="D16" ca="1">_xlfn.IFNA(INDEX(jkm_call_put!$L:$L,MATCH($B16&amp;D$2&amp;$A$1,jkm_call_put!$G:$G&amp;jkm_call_put!$O:$O&amp;jkm_call_put!$F:$F,0),1),"")</f>
        <v>43.039299999999997</v>
      </c>
      <c r="E16" s="7" t="str" cm="1">
        <f t="array" aca="1" ref="E16" ca="1">_xlfn.IFNA(INDEX(jkm_call_put!$L:$L,MATCH($B16&amp;E$2&amp;$A$1,jkm_call_put!$G:$G&amp;jkm_call_put!$O:$O&amp;jkm_call_put!$F:$F,0),1),"")</f>
        <v/>
      </c>
      <c r="F16" s="7" t="str" cm="1">
        <f t="array" aca="1" ref="F16" ca="1">_xlfn.IFNA(INDEX(jkm_call_put!$L:$L,MATCH($B16&amp;F$2&amp;$A$1,jkm_call_put!$G:$G&amp;jkm_call_put!$O:$O&amp;jkm_call_put!$F:$F,0),1),"")</f>
        <v/>
      </c>
      <c r="G16" s="7" t="str" cm="1">
        <f t="array" aca="1" ref="G16" ca="1">_xlfn.IFNA(INDEX(jkm_call_put!$L:$L,MATCH($B16&amp;G$2&amp;$A$1,jkm_call_put!$G:$G&amp;jkm_call_put!$O:$O&amp;jkm_call_put!$F:$F,0),1),"")</f>
        <v/>
      </c>
      <c r="H16" s="7" t="str" cm="1">
        <f t="array" aca="1" ref="H16" ca="1">_xlfn.IFNA(INDEX(jkm_call_put!$L:$L,MATCH($B16&amp;H$2&amp;$A$1,jkm_call_put!$G:$G&amp;jkm_call_put!$O:$O&amp;jkm_call_put!$F:$F,0),1),"")</f>
        <v/>
      </c>
      <c r="I16" s="7" t="str" cm="1">
        <f t="array" aca="1" ref="I16" ca="1">_xlfn.IFNA(INDEX(jkm_call_put!$L:$L,MATCH($B16&amp;I$2&amp;$A$1,jkm_call_put!$G:$G&amp;jkm_call_put!$O:$O&amp;jkm_call_put!$F:$F,0),1),"")</f>
        <v/>
      </c>
      <c r="J16" s="7" t="str" cm="1">
        <f t="array" aca="1" ref="J16" ca="1">_xlfn.IFNA(INDEX(jkm_call_put!$L:$L,MATCH($B16&amp;J$2&amp;$A$1,jkm_call_put!$G:$G&amp;jkm_call_put!$O:$O&amp;jkm_call_put!$F:$F,0),1),"")</f>
        <v/>
      </c>
      <c r="K16" s="7" t="str" cm="1">
        <f t="array" aca="1" ref="K16" ca="1">_xlfn.IFNA(INDEX(jkm_call_put!$L:$L,MATCH($B16&amp;K$2&amp;$A$1,jkm_call_put!$G:$G&amp;jkm_call_put!$O:$O&amp;jkm_call_put!$F:$F,0),1),"")</f>
        <v/>
      </c>
      <c r="L16" s="7" t="str" cm="1">
        <f t="array" aca="1" ref="L16" ca="1">_xlfn.IFNA(INDEX(jkm_call_put!$L:$L,MATCH($B16&amp;L$2&amp;$A$1,jkm_call_put!$G:$G&amp;jkm_call_put!$O:$O&amp;jkm_call_put!$F:$F,0),1),"")</f>
        <v/>
      </c>
      <c r="M16" s="7" t="str" cm="1">
        <f t="array" aca="1" ref="M16" ca="1">_xlfn.IFNA(INDEX(jkm_call_put!$L:$L,MATCH($B16&amp;M$2&amp;$A$1,jkm_call_put!$G:$G&amp;jkm_call_put!$O:$O&amp;jkm_call_put!$F:$F,0),1),"")</f>
        <v/>
      </c>
      <c r="N16" s="7" t="str" cm="1">
        <f t="array" aca="1" ref="N16" ca="1">_xlfn.IFNA(INDEX(jkm_call_put!$L:$L,MATCH($B16&amp;N$2&amp;$A$1,jkm_call_put!$G:$G&amp;jkm_call_put!$O:$O&amp;jkm_call_put!$F:$F,0),1),"")</f>
        <v/>
      </c>
      <c r="O16" s="7" t="str" cm="1">
        <f t="array" aca="1" ref="O16" ca="1">_xlfn.IFNA(INDEX(jkm_call_put!$L:$L,MATCH($B16&amp;O$2&amp;$A$1,jkm_call_put!$G:$G&amp;jkm_call_put!$O:$O&amp;jkm_call_put!$F:$F,0),1),"")</f>
        <v/>
      </c>
      <c r="P16" s="7" t="str" cm="1">
        <f t="array" aca="1" ref="P16" ca="1">_xlfn.IFNA(INDEX(jkm_call_put!$L:$L,MATCH($B16&amp;P$2&amp;$A$1,jkm_call_put!$G:$G&amp;jkm_call_put!$O:$O&amp;jkm_call_put!$F:$F,0),1),"")</f>
        <v/>
      </c>
      <c r="Q16" s="7" t="str" cm="1">
        <f t="array" aca="1" ref="Q16" ca="1">_xlfn.IFNA(INDEX(jkm_call_put!$L:$L,MATCH($B16&amp;Q$2&amp;$A$1,jkm_call_put!$G:$G&amp;jkm_call_put!$O:$O&amp;jkm_call_put!$F:$F,0),1),"")</f>
        <v/>
      </c>
      <c r="R16" s="7" t="str" cm="1">
        <f t="array" aca="1" ref="R16" ca="1">_xlfn.IFNA(INDEX(jkm_call_put!$L:$L,MATCH($B16&amp;R$2&amp;$A$1,jkm_call_put!$G:$G&amp;jkm_call_put!$O:$O&amp;jkm_call_put!$F:$F,0),1),"")</f>
        <v/>
      </c>
      <c r="S16" s="7" t="str" cm="1">
        <f t="array" aca="1" ref="S16" ca="1">_xlfn.IFNA(INDEX(jkm_call_put!$L:$L,MATCH($B16&amp;S$2&amp;$A$1,jkm_call_put!$G:$G&amp;jkm_call_put!$O:$O&amp;jkm_call_put!$F:$F,0),1),"")</f>
        <v/>
      </c>
      <c r="T16" s="7" t="str" cm="1">
        <f t="array" aca="1" ref="T16" ca="1">_xlfn.IFNA(INDEX(jkm_call_put!$L:$L,MATCH($B16&amp;T$2&amp;$A$1,jkm_call_put!$G:$G&amp;jkm_call_put!$O:$O&amp;jkm_call_put!$F:$F,0),1),"")</f>
        <v/>
      </c>
      <c r="U16" s="7" t="str" cm="1">
        <f t="array" aca="1" ref="U16" ca="1">_xlfn.IFNA(INDEX(jkm_call_put!$L:$L,MATCH($B16&amp;U$2&amp;$A$1,jkm_call_put!$G:$G&amp;jkm_call_put!$O:$O&amp;jkm_call_put!$F:$F,0),1),"")</f>
        <v/>
      </c>
      <c r="V16" s="7" t="str" cm="1">
        <f t="array" aca="1" ref="V16" ca="1">_xlfn.IFNA(INDEX(jkm_call_put!$L:$L,MATCH($B16&amp;V$2&amp;$A$1,jkm_call_put!$G:$G&amp;jkm_call_put!$O:$O&amp;jkm_call_put!$F:$F,0),1),"")</f>
        <v/>
      </c>
      <c r="W16" s="7" t="str" cm="1">
        <f t="array" aca="1" ref="W16" ca="1">_xlfn.IFNA(INDEX(jkm_call_put!$L:$L,MATCH($B16&amp;W$2&amp;$A$1,jkm_call_put!$G:$G&amp;jkm_call_put!$O:$O&amp;jkm_call_put!$F:$F,0),1),"")</f>
        <v/>
      </c>
      <c r="X16" s="7" t="str" cm="1">
        <f t="array" aca="1" ref="X16" ca="1">_xlfn.IFNA(INDEX(jkm_call_put!$L:$L,MATCH($B16&amp;X$2&amp;$A$1,jkm_call_put!$G:$G&amp;jkm_call_put!$O:$O&amp;jkm_call_put!$F:$F,0),1),"")</f>
        <v/>
      </c>
      <c r="Y16" s="7" t="str" cm="1">
        <f t="array" aca="1" ref="Y16" ca="1">_xlfn.IFNA(INDEX(jkm_call_put!$L:$L,MATCH($B16&amp;Y$2&amp;$A$1,jkm_call_put!$G:$G&amp;jkm_call_put!$O:$O&amp;jkm_call_put!$F:$F,0),1),"")</f>
        <v/>
      </c>
      <c r="Z16" s="7" t="str" cm="1">
        <f t="array" aca="1" ref="Z16" ca="1">_xlfn.IFNA(INDEX(jkm_call_put!$L:$L,MATCH($B16&amp;Z$2&amp;$A$1,jkm_call_put!$G:$G&amp;jkm_call_put!$O:$O&amp;jkm_call_put!$F:$F,0),1),"")</f>
        <v/>
      </c>
      <c r="AA16" s="7" t="str" cm="1">
        <f t="array" aca="1" ref="AA16" ca="1">_xlfn.IFNA(INDEX(jkm_call_put!$L:$L,MATCH($B16&amp;AA$2&amp;$A$1,jkm_call_put!$G:$G&amp;jkm_call_put!$O:$O&amp;jkm_call_put!$F:$F,0),1),"")</f>
        <v/>
      </c>
      <c r="AB16" s="7" t="str" cm="1">
        <f t="array" aca="1" ref="AB16" ca="1">_xlfn.IFNA(INDEX(jkm_call_put!$L:$L,MATCH($B16&amp;AB$2&amp;$A$1,jkm_call_put!$G:$G&amp;jkm_call_put!$O:$O&amp;jkm_call_put!$F:$F,0),1),"")</f>
        <v/>
      </c>
      <c r="AC16" s="7" t="str" cm="1">
        <f t="array" aca="1" ref="AC16" ca="1">_xlfn.IFNA(INDEX(jkm_call_put!$L:$L,MATCH($B16&amp;AC$2&amp;$A$1,jkm_call_put!$G:$G&amp;jkm_call_put!$O:$O&amp;jkm_call_put!$F:$F,0),1),"")</f>
        <v/>
      </c>
      <c r="AD16" s="7" t="str" cm="1">
        <f t="array" aca="1" ref="AD16" ca="1">_xlfn.IFNA(INDEX(jkm_call_put!$L:$L,MATCH($B16&amp;AD$2&amp;$A$1,jkm_call_put!$G:$G&amp;jkm_call_put!$O:$O&amp;jkm_call_put!$F:$F,0),1),"")</f>
        <v/>
      </c>
      <c r="AE16" s="7" t="str" cm="1">
        <f t="array" aca="1" ref="AE16" ca="1">_xlfn.IFNA(INDEX(jkm_call_put!$L:$L,MATCH($B16&amp;AE$2&amp;$A$1,jkm_call_put!$G:$G&amp;jkm_call_put!$O:$O&amp;jkm_call_put!$F:$F,0),1),"")</f>
        <v/>
      </c>
      <c r="AF16" s="7" t="str" cm="1">
        <f t="array" aca="1" ref="AF16" ca="1">_xlfn.IFNA(INDEX(jkm_call_put!$L:$L,MATCH($B16&amp;AF$2&amp;$A$1,jkm_call_put!$G:$G&amp;jkm_call_put!$O:$O&amp;jkm_call_put!$F:$F,0),1),"")</f>
        <v/>
      </c>
      <c r="AG16" s="7" t="str" cm="1">
        <f t="array" aca="1" ref="AG16" ca="1">_xlfn.IFNA(INDEX(jkm_call_put!$L:$L,MATCH($B16&amp;AG$2&amp;$A$1,jkm_call_put!$G:$G&amp;jkm_call_put!$O:$O&amp;jkm_call_put!$F:$F,0),1),"")</f>
        <v/>
      </c>
      <c r="AH16" s="7" t="str" cm="1">
        <f t="array" aca="1" ref="AH16" ca="1">_xlfn.IFNA(INDEX(jkm_call_put!$L:$L,MATCH($B16&amp;AH$2&amp;$A$1,jkm_call_put!$G:$G&amp;jkm_call_put!$O:$O&amp;jkm_call_put!$F:$F,0),1),"")</f>
        <v/>
      </c>
      <c r="AI16" s="7" t="str" cm="1">
        <f t="array" aca="1" ref="AI16" ca="1">_xlfn.IFNA(INDEX(jkm_call_put!$L:$L,MATCH($B16&amp;AI$2&amp;$A$1,jkm_call_put!$G:$G&amp;jkm_call_put!$O:$O&amp;jkm_call_put!$F:$F,0),1),"")</f>
        <v/>
      </c>
      <c r="AJ16" s="7" t="str" cm="1">
        <f t="array" aca="1" ref="AJ16" ca="1">_xlfn.IFNA(INDEX(jkm_call_put!$L:$L,MATCH($B16&amp;AJ$2&amp;$A$1,jkm_call_put!$G:$G&amp;jkm_call_put!$O:$O&amp;jkm_call_put!$F:$F,0),1),"")</f>
        <v/>
      </c>
      <c r="AK16" s="7" t="str" cm="1">
        <f t="array" aca="1" ref="AK16" ca="1">_xlfn.IFNA(INDEX(jkm_call_put!$L:$L,MATCH($B16&amp;AK$2&amp;$A$1,jkm_call_put!$G:$G&amp;jkm_call_put!$O:$O&amp;jkm_call_put!$F:$F,0),1),"")</f>
        <v/>
      </c>
      <c r="AL16" s="7" t="str" cm="1">
        <f t="array" aca="1" ref="AL16" ca="1">_xlfn.IFNA(INDEX(jkm_call_put!$L:$L,MATCH($B16&amp;AL$2&amp;$A$1,jkm_call_put!$G:$G&amp;jkm_call_put!$O:$O&amp;jkm_call_put!$F:$F,0),1),"")</f>
        <v/>
      </c>
    </row>
    <row r="17" spans="2:38" x14ac:dyDescent="0.25">
      <c r="B17">
        <v>12.5</v>
      </c>
      <c r="C17" s="7" cm="1">
        <f t="array" aca="1" ref="C17" ca="1">_xlfn.IFNA(INDEX(jkm_call_put!$L:$L,MATCH($B17&amp;C$2&amp;$A$1,jkm_call_put!$G:$G&amp;jkm_call_put!$O:$O&amp;jkm_call_put!$F:$F,0),1),"")</f>
        <v>34.6265</v>
      </c>
      <c r="D17" s="7" cm="1">
        <f t="array" aca="1" ref="D17" ca="1">_xlfn.IFNA(INDEX(jkm_call_put!$L:$L,MATCH($B17&amp;D$2&amp;$A$1,jkm_call_put!$G:$G&amp;jkm_call_put!$O:$O&amp;jkm_call_put!$F:$F,0),1),"")</f>
        <v>43.028100000000002</v>
      </c>
      <c r="E17" s="7" cm="1">
        <f t="array" aca="1" ref="E17" ca="1">_xlfn.IFNA(INDEX(jkm_call_put!$L:$L,MATCH($B17&amp;E$2&amp;$A$1,jkm_call_put!$G:$G&amp;jkm_call_put!$O:$O&amp;jkm_call_put!$F:$F,0),1),"")</f>
        <v>75.221199999999996</v>
      </c>
      <c r="F17" s="7" cm="1">
        <f t="array" aca="1" ref="F17" ca="1">_xlfn.IFNA(INDEX(jkm_call_put!$L:$L,MATCH($B17&amp;F$2&amp;$A$1,jkm_call_put!$G:$G&amp;jkm_call_put!$O:$O&amp;jkm_call_put!$F:$F,0),1),"")</f>
        <v>77.630799999999994</v>
      </c>
      <c r="G17" s="7" cm="1">
        <f t="array" aca="1" ref="G17" ca="1">_xlfn.IFNA(INDEX(jkm_call_put!$L:$L,MATCH($B17&amp;G$2&amp;$A$1,jkm_call_put!$G:$G&amp;jkm_call_put!$O:$O&amp;jkm_call_put!$F:$F,0),1),"")</f>
        <v>79.247</v>
      </c>
      <c r="H17" s="7" t="str" cm="1">
        <f t="array" aca="1" ref="H17" ca="1">_xlfn.IFNA(INDEX(jkm_call_put!$L:$L,MATCH($B17&amp;H$2&amp;$A$1,jkm_call_put!$G:$G&amp;jkm_call_put!$O:$O&amp;jkm_call_put!$F:$F,0),1),"")</f>
        <v/>
      </c>
      <c r="I17" s="7" t="str" cm="1">
        <f t="array" aca="1" ref="I17" ca="1">_xlfn.IFNA(INDEX(jkm_call_put!$L:$L,MATCH($B17&amp;I$2&amp;$A$1,jkm_call_put!$G:$G&amp;jkm_call_put!$O:$O&amp;jkm_call_put!$F:$F,0),1),"")</f>
        <v/>
      </c>
      <c r="J17" s="7" t="str" cm="1">
        <f t="array" aca="1" ref="J17" ca="1">_xlfn.IFNA(INDEX(jkm_call_put!$L:$L,MATCH($B17&amp;J$2&amp;$A$1,jkm_call_put!$G:$G&amp;jkm_call_put!$O:$O&amp;jkm_call_put!$F:$F,0),1),"")</f>
        <v/>
      </c>
      <c r="K17" s="7" t="str" cm="1">
        <f t="array" aca="1" ref="K17" ca="1">_xlfn.IFNA(INDEX(jkm_call_put!$L:$L,MATCH($B17&amp;K$2&amp;$A$1,jkm_call_put!$G:$G&amp;jkm_call_put!$O:$O&amp;jkm_call_put!$F:$F,0),1),"")</f>
        <v/>
      </c>
      <c r="L17" s="7" t="str" cm="1">
        <f t="array" aca="1" ref="L17" ca="1">_xlfn.IFNA(INDEX(jkm_call_put!$L:$L,MATCH($B17&amp;L$2&amp;$A$1,jkm_call_put!$G:$G&amp;jkm_call_put!$O:$O&amp;jkm_call_put!$F:$F,0),1),"")</f>
        <v/>
      </c>
      <c r="M17" s="7" t="str" cm="1">
        <f t="array" aca="1" ref="M17" ca="1">_xlfn.IFNA(INDEX(jkm_call_put!$L:$L,MATCH($B17&amp;M$2&amp;$A$1,jkm_call_put!$G:$G&amp;jkm_call_put!$O:$O&amp;jkm_call_put!$F:$F,0),1),"")</f>
        <v/>
      </c>
      <c r="N17" s="7" t="str" cm="1">
        <f t="array" aca="1" ref="N17" ca="1">_xlfn.IFNA(INDEX(jkm_call_put!$L:$L,MATCH($B17&amp;N$2&amp;$A$1,jkm_call_put!$G:$G&amp;jkm_call_put!$O:$O&amp;jkm_call_put!$F:$F,0),1),"")</f>
        <v/>
      </c>
      <c r="O17" s="7" t="str" cm="1">
        <f t="array" aca="1" ref="O17" ca="1">_xlfn.IFNA(INDEX(jkm_call_put!$L:$L,MATCH($B17&amp;O$2&amp;$A$1,jkm_call_put!$G:$G&amp;jkm_call_put!$O:$O&amp;jkm_call_put!$F:$F,0),1),"")</f>
        <v/>
      </c>
      <c r="P17" s="7" t="str" cm="1">
        <f t="array" aca="1" ref="P17" ca="1">_xlfn.IFNA(INDEX(jkm_call_put!$L:$L,MATCH($B17&amp;P$2&amp;$A$1,jkm_call_put!$G:$G&amp;jkm_call_put!$O:$O&amp;jkm_call_put!$F:$F,0),1),"")</f>
        <v/>
      </c>
      <c r="Q17" s="7" t="str" cm="1">
        <f t="array" aca="1" ref="Q17" ca="1">_xlfn.IFNA(INDEX(jkm_call_put!$L:$L,MATCH($B17&amp;Q$2&amp;$A$1,jkm_call_put!$G:$G&amp;jkm_call_put!$O:$O&amp;jkm_call_put!$F:$F,0),1),"")</f>
        <v/>
      </c>
      <c r="R17" s="7" t="str" cm="1">
        <f t="array" aca="1" ref="R17" ca="1">_xlfn.IFNA(INDEX(jkm_call_put!$L:$L,MATCH($B17&amp;R$2&amp;$A$1,jkm_call_put!$G:$G&amp;jkm_call_put!$O:$O&amp;jkm_call_put!$F:$F,0),1),"")</f>
        <v/>
      </c>
      <c r="S17" s="7" t="str" cm="1">
        <f t="array" aca="1" ref="S17" ca="1">_xlfn.IFNA(INDEX(jkm_call_put!$L:$L,MATCH($B17&amp;S$2&amp;$A$1,jkm_call_put!$G:$G&amp;jkm_call_put!$O:$O&amp;jkm_call_put!$F:$F,0),1),"")</f>
        <v/>
      </c>
      <c r="T17" s="7" t="str" cm="1">
        <f t="array" aca="1" ref="T17" ca="1">_xlfn.IFNA(INDEX(jkm_call_put!$L:$L,MATCH($B17&amp;T$2&amp;$A$1,jkm_call_put!$G:$G&amp;jkm_call_put!$O:$O&amp;jkm_call_put!$F:$F,0),1),"")</f>
        <v/>
      </c>
      <c r="U17" s="7" t="str" cm="1">
        <f t="array" aca="1" ref="U17" ca="1">_xlfn.IFNA(INDEX(jkm_call_put!$L:$L,MATCH($B17&amp;U$2&amp;$A$1,jkm_call_put!$G:$G&amp;jkm_call_put!$O:$O&amp;jkm_call_put!$F:$F,0),1),"")</f>
        <v/>
      </c>
      <c r="V17" s="7" t="str" cm="1">
        <f t="array" aca="1" ref="V17" ca="1">_xlfn.IFNA(INDEX(jkm_call_put!$L:$L,MATCH($B17&amp;V$2&amp;$A$1,jkm_call_put!$G:$G&amp;jkm_call_put!$O:$O&amp;jkm_call_put!$F:$F,0),1),"")</f>
        <v/>
      </c>
      <c r="W17" s="7" t="str" cm="1">
        <f t="array" aca="1" ref="W17" ca="1">_xlfn.IFNA(INDEX(jkm_call_put!$L:$L,MATCH($B17&amp;W$2&amp;$A$1,jkm_call_put!$G:$G&amp;jkm_call_put!$O:$O&amp;jkm_call_put!$F:$F,0),1),"")</f>
        <v/>
      </c>
      <c r="X17" s="7" t="str" cm="1">
        <f t="array" aca="1" ref="X17" ca="1">_xlfn.IFNA(INDEX(jkm_call_put!$L:$L,MATCH($B17&amp;X$2&amp;$A$1,jkm_call_put!$G:$G&amp;jkm_call_put!$O:$O&amp;jkm_call_put!$F:$F,0),1),"")</f>
        <v/>
      </c>
      <c r="Y17" s="7" t="str" cm="1">
        <f t="array" aca="1" ref="Y17" ca="1">_xlfn.IFNA(INDEX(jkm_call_put!$L:$L,MATCH($B17&amp;Y$2&amp;$A$1,jkm_call_put!$G:$G&amp;jkm_call_put!$O:$O&amp;jkm_call_put!$F:$F,0),1),"")</f>
        <v/>
      </c>
      <c r="Z17" s="7" t="str" cm="1">
        <f t="array" aca="1" ref="Z17" ca="1">_xlfn.IFNA(INDEX(jkm_call_put!$L:$L,MATCH($B17&amp;Z$2&amp;$A$1,jkm_call_put!$G:$G&amp;jkm_call_put!$O:$O&amp;jkm_call_put!$F:$F,0),1),"")</f>
        <v/>
      </c>
      <c r="AA17" s="7" t="str" cm="1">
        <f t="array" aca="1" ref="AA17" ca="1">_xlfn.IFNA(INDEX(jkm_call_put!$L:$L,MATCH($B17&amp;AA$2&amp;$A$1,jkm_call_put!$G:$G&amp;jkm_call_put!$O:$O&amp;jkm_call_put!$F:$F,0),1),"")</f>
        <v/>
      </c>
      <c r="AB17" s="7" t="str" cm="1">
        <f t="array" aca="1" ref="AB17" ca="1">_xlfn.IFNA(INDEX(jkm_call_put!$L:$L,MATCH($B17&amp;AB$2&amp;$A$1,jkm_call_put!$G:$G&amp;jkm_call_put!$O:$O&amp;jkm_call_put!$F:$F,0),1),"")</f>
        <v/>
      </c>
      <c r="AC17" s="7" t="str" cm="1">
        <f t="array" aca="1" ref="AC17" ca="1">_xlfn.IFNA(INDEX(jkm_call_put!$L:$L,MATCH($B17&amp;AC$2&amp;$A$1,jkm_call_put!$G:$G&amp;jkm_call_put!$O:$O&amp;jkm_call_put!$F:$F,0),1),"")</f>
        <v/>
      </c>
      <c r="AD17" s="7" t="str" cm="1">
        <f t="array" aca="1" ref="AD17" ca="1">_xlfn.IFNA(INDEX(jkm_call_put!$L:$L,MATCH($B17&amp;AD$2&amp;$A$1,jkm_call_put!$G:$G&amp;jkm_call_put!$O:$O&amp;jkm_call_put!$F:$F,0),1),"")</f>
        <v/>
      </c>
      <c r="AE17" s="7" t="str" cm="1">
        <f t="array" aca="1" ref="AE17" ca="1">_xlfn.IFNA(INDEX(jkm_call_put!$L:$L,MATCH($B17&amp;AE$2&amp;$A$1,jkm_call_put!$G:$G&amp;jkm_call_put!$O:$O&amp;jkm_call_put!$F:$F,0),1),"")</f>
        <v/>
      </c>
      <c r="AF17" s="7" t="str" cm="1">
        <f t="array" aca="1" ref="AF17" ca="1">_xlfn.IFNA(INDEX(jkm_call_put!$L:$L,MATCH($B17&amp;AF$2&amp;$A$1,jkm_call_put!$G:$G&amp;jkm_call_put!$O:$O&amp;jkm_call_put!$F:$F,0),1),"")</f>
        <v/>
      </c>
      <c r="AG17" s="7" t="str" cm="1">
        <f t="array" aca="1" ref="AG17" ca="1">_xlfn.IFNA(INDEX(jkm_call_put!$L:$L,MATCH($B17&amp;AG$2&amp;$A$1,jkm_call_put!$G:$G&amp;jkm_call_put!$O:$O&amp;jkm_call_put!$F:$F,0),1),"")</f>
        <v/>
      </c>
      <c r="AH17" s="7" t="str" cm="1">
        <f t="array" aca="1" ref="AH17" ca="1">_xlfn.IFNA(INDEX(jkm_call_put!$L:$L,MATCH($B17&amp;AH$2&amp;$A$1,jkm_call_put!$G:$G&amp;jkm_call_put!$O:$O&amp;jkm_call_put!$F:$F,0),1),"")</f>
        <v/>
      </c>
      <c r="AI17" s="7" t="str" cm="1">
        <f t="array" aca="1" ref="AI17" ca="1">_xlfn.IFNA(INDEX(jkm_call_put!$L:$L,MATCH($B17&amp;AI$2&amp;$A$1,jkm_call_put!$G:$G&amp;jkm_call_put!$O:$O&amp;jkm_call_put!$F:$F,0),1),"")</f>
        <v/>
      </c>
      <c r="AJ17" s="7" t="str" cm="1">
        <f t="array" aca="1" ref="AJ17" ca="1">_xlfn.IFNA(INDEX(jkm_call_put!$L:$L,MATCH($B17&amp;AJ$2&amp;$A$1,jkm_call_put!$G:$G&amp;jkm_call_put!$O:$O&amp;jkm_call_put!$F:$F,0),1),"")</f>
        <v/>
      </c>
      <c r="AK17" s="7" t="str" cm="1">
        <f t="array" aca="1" ref="AK17" ca="1">_xlfn.IFNA(INDEX(jkm_call_put!$L:$L,MATCH($B17&amp;AK$2&amp;$A$1,jkm_call_put!$G:$G&amp;jkm_call_put!$O:$O&amp;jkm_call_put!$F:$F,0),1),"")</f>
        <v/>
      </c>
      <c r="AL17" s="7" t="str" cm="1">
        <f t="array" aca="1" ref="AL17" ca="1">_xlfn.IFNA(INDEX(jkm_call_put!$L:$L,MATCH($B17&amp;AL$2&amp;$A$1,jkm_call_put!$G:$G&amp;jkm_call_put!$O:$O&amp;jkm_call_put!$F:$F,0),1),"")</f>
        <v/>
      </c>
    </row>
    <row r="18" spans="2:38" x14ac:dyDescent="0.25">
      <c r="B18">
        <v>13</v>
      </c>
      <c r="C18" s="7" cm="1">
        <f t="array" aca="1" ref="C18" ca="1">_xlfn.IFNA(INDEX(jkm_call_put!$L:$L,MATCH($B18&amp;C$2&amp;$A$1,jkm_call_put!$G:$G&amp;jkm_call_put!$O:$O&amp;jkm_call_put!$F:$F,0),1),"")</f>
        <v>31.642499999999998</v>
      </c>
      <c r="D18" s="7" cm="1">
        <f t="array" aca="1" ref="D18" ca="1">_xlfn.IFNA(INDEX(jkm_call_put!$L:$L,MATCH($B18&amp;D$2&amp;$A$1,jkm_call_put!$G:$G&amp;jkm_call_put!$O:$O&amp;jkm_call_put!$F:$F,0),1),"")</f>
        <v>43.022500000000001</v>
      </c>
      <c r="E18" s="7" cm="1">
        <f t="array" aca="1" ref="E18" ca="1">_xlfn.IFNA(INDEX(jkm_call_put!$L:$L,MATCH($B18&amp;E$2&amp;$A$1,jkm_call_put!$G:$G&amp;jkm_call_put!$O:$O&amp;jkm_call_put!$F:$F,0),1),"")</f>
        <v>75.222099999999998</v>
      </c>
      <c r="F18" s="7" cm="1">
        <f t="array" aca="1" ref="F18" ca="1">_xlfn.IFNA(INDEX(jkm_call_put!$L:$L,MATCH($B18&amp;F$2&amp;$A$1,jkm_call_put!$G:$G&amp;jkm_call_put!$O:$O&amp;jkm_call_put!$F:$F,0),1),"")</f>
        <v>77.631600000000006</v>
      </c>
      <c r="G18" s="7" cm="1">
        <f t="array" aca="1" ref="G18" ca="1">_xlfn.IFNA(INDEX(jkm_call_put!$L:$L,MATCH($B18&amp;G$2&amp;$A$1,jkm_call_put!$G:$G&amp;jkm_call_put!$O:$O&amp;jkm_call_put!$F:$F,0),1),"")</f>
        <v>79.248000000000005</v>
      </c>
      <c r="H18" s="7" cm="1">
        <f t="array" aca="1" ref="H18" ca="1">_xlfn.IFNA(INDEX(jkm_call_put!$L:$L,MATCH($B18&amp;H$2&amp;$A$1,jkm_call_put!$G:$G&amp;jkm_call_put!$O:$O&amp;jkm_call_put!$F:$F,0),1),"")</f>
        <v>62.006700000000002</v>
      </c>
      <c r="I18" s="7" cm="1">
        <f t="array" aca="1" ref="I18" ca="1">_xlfn.IFNA(INDEX(jkm_call_put!$L:$L,MATCH($B18&amp;I$2&amp;$A$1,jkm_call_put!$G:$G&amp;jkm_call_put!$O:$O&amp;jkm_call_put!$F:$F,0),1),"")</f>
        <v>62.6601</v>
      </c>
      <c r="J18" s="7" cm="1">
        <f t="array" aca="1" ref="J18" ca="1">_xlfn.IFNA(INDEX(jkm_call_put!$L:$L,MATCH($B18&amp;J$2&amp;$A$1,jkm_call_put!$G:$G&amp;jkm_call_put!$O:$O&amp;jkm_call_put!$F:$F,0),1),"")</f>
        <v>63.168900000000001</v>
      </c>
      <c r="K18" s="7" cm="1">
        <f t="array" aca="1" ref="K18" ca="1">_xlfn.IFNA(INDEX(jkm_call_put!$L:$L,MATCH($B18&amp;K$2&amp;$A$1,jkm_call_put!$G:$G&amp;jkm_call_put!$O:$O&amp;jkm_call_put!$F:$F,0),1),"")</f>
        <v>63.272599999999997</v>
      </c>
      <c r="L18" s="7" cm="1">
        <f t="array" aca="1" ref="L18" ca="1">_xlfn.IFNA(INDEX(jkm_call_put!$L:$L,MATCH($B18&amp;L$2&amp;$A$1,jkm_call_put!$G:$G&amp;jkm_call_put!$O:$O&amp;jkm_call_put!$F:$F,0),1),"")</f>
        <v>63.557299999999998</v>
      </c>
      <c r="M18" s="7" cm="1">
        <f t="array" aca="1" ref="M18" ca="1">_xlfn.IFNA(INDEX(jkm_call_put!$L:$L,MATCH($B18&amp;M$2&amp;$A$1,jkm_call_put!$G:$G&amp;jkm_call_put!$O:$O&amp;jkm_call_put!$F:$F,0),1),"")</f>
        <v>63.750999999999998</v>
      </c>
      <c r="N18" s="7" t="str" cm="1">
        <f t="array" aca="1" ref="N18" ca="1">_xlfn.IFNA(INDEX(jkm_call_put!$L:$L,MATCH($B18&amp;N$2&amp;$A$1,jkm_call_put!$G:$G&amp;jkm_call_put!$O:$O&amp;jkm_call_put!$F:$F,0),1),"")</f>
        <v/>
      </c>
      <c r="O18" s="7" t="str" cm="1">
        <f t="array" aca="1" ref="O18" ca="1">_xlfn.IFNA(INDEX(jkm_call_put!$L:$L,MATCH($B18&amp;O$2&amp;$A$1,jkm_call_put!$G:$G&amp;jkm_call_put!$O:$O&amp;jkm_call_put!$F:$F,0),1),"")</f>
        <v/>
      </c>
      <c r="P18" s="7" t="str" cm="1">
        <f t="array" aca="1" ref="P18" ca="1">_xlfn.IFNA(INDEX(jkm_call_put!$L:$L,MATCH($B18&amp;P$2&amp;$A$1,jkm_call_put!$G:$G&amp;jkm_call_put!$O:$O&amp;jkm_call_put!$F:$F,0),1),"")</f>
        <v/>
      </c>
      <c r="Q18" s="7" t="str" cm="1">
        <f t="array" aca="1" ref="Q18" ca="1">_xlfn.IFNA(INDEX(jkm_call_put!$L:$L,MATCH($B18&amp;Q$2&amp;$A$1,jkm_call_put!$G:$G&amp;jkm_call_put!$O:$O&amp;jkm_call_put!$F:$F,0),1),"")</f>
        <v/>
      </c>
      <c r="R18" s="7" t="str" cm="1">
        <f t="array" aca="1" ref="R18" ca="1">_xlfn.IFNA(INDEX(jkm_call_put!$L:$L,MATCH($B18&amp;R$2&amp;$A$1,jkm_call_put!$G:$G&amp;jkm_call_put!$O:$O&amp;jkm_call_put!$F:$F,0),1),"")</f>
        <v/>
      </c>
      <c r="S18" s="7" t="str" cm="1">
        <f t="array" aca="1" ref="S18" ca="1">_xlfn.IFNA(INDEX(jkm_call_put!$L:$L,MATCH($B18&amp;S$2&amp;$A$1,jkm_call_put!$G:$G&amp;jkm_call_put!$O:$O&amp;jkm_call_put!$F:$F,0),1),"")</f>
        <v/>
      </c>
      <c r="T18" s="7" t="str" cm="1">
        <f t="array" aca="1" ref="T18" ca="1">_xlfn.IFNA(INDEX(jkm_call_put!$L:$L,MATCH($B18&amp;T$2&amp;$A$1,jkm_call_put!$G:$G&amp;jkm_call_put!$O:$O&amp;jkm_call_put!$F:$F,0),1),"")</f>
        <v/>
      </c>
      <c r="U18" s="7" t="str" cm="1">
        <f t="array" aca="1" ref="U18" ca="1">_xlfn.IFNA(INDEX(jkm_call_put!$L:$L,MATCH($B18&amp;U$2&amp;$A$1,jkm_call_put!$G:$G&amp;jkm_call_put!$O:$O&amp;jkm_call_put!$F:$F,0),1),"")</f>
        <v/>
      </c>
      <c r="V18" s="7" t="str" cm="1">
        <f t="array" aca="1" ref="V18" ca="1">_xlfn.IFNA(INDEX(jkm_call_put!$L:$L,MATCH($B18&amp;V$2&amp;$A$1,jkm_call_put!$G:$G&amp;jkm_call_put!$O:$O&amp;jkm_call_put!$F:$F,0),1),"")</f>
        <v/>
      </c>
      <c r="W18" s="7" cm="1">
        <f t="array" aca="1" ref="W18" ca="1">_xlfn.IFNA(INDEX(jkm_call_put!$L:$L,MATCH($B18&amp;W$2&amp;$A$1,jkm_call_put!$G:$G&amp;jkm_call_put!$O:$O&amp;jkm_call_put!$F:$F,0),1),"")</f>
        <v>34.827599999999997</v>
      </c>
      <c r="X18" s="7" cm="1">
        <f t="array" aca="1" ref="X18" ca="1">_xlfn.IFNA(INDEX(jkm_call_put!$L:$L,MATCH($B18&amp;X$2&amp;$A$1,jkm_call_put!$G:$G&amp;jkm_call_put!$O:$O&amp;jkm_call_put!$F:$F,0),1),"")</f>
        <v>34.875900000000001</v>
      </c>
      <c r="Y18" s="7" cm="1">
        <f t="array" aca="1" ref="Y18" ca="1">_xlfn.IFNA(INDEX(jkm_call_put!$L:$L,MATCH($B18&amp;Y$2&amp;$A$1,jkm_call_put!$G:$G&amp;jkm_call_put!$O:$O&amp;jkm_call_put!$F:$F,0),1),"")</f>
        <v>34.854900000000001</v>
      </c>
      <c r="Z18" s="7" cm="1">
        <f t="array" aca="1" ref="Z18" ca="1">_xlfn.IFNA(INDEX(jkm_call_put!$L:$L,MATCH($B18&amp;Z$2&amp;$A$1,jkm_call_put!$G:$G&amp;jkm_call_put!$O:$O&amp;jkm_call_put!$F:$F,0),1),"")</f>
        <v>30.038699999999999</v>
      </c>
      <c r="AA18" s="7" cm="1">
        <f t="array" aca="1" ref="AA18" ca="1">_xlfn.IFNA(INDEX(jkm_call_put!$L:$L,MATCH($B18&amp;AA$2&amp;$A$1,jkm_call_put!$G:$G&amp;jkm_call_put!$O:$O&amp;jkm_call_put!$F:$F,0),1),"")</f>
        <v>30.0595</v>
      </c>
      <c r="AB18" s="7" cm="1">
        <f t="array" aca="1" ref="AB18" ca="1">_xlfn.IFNA(INDEX(jkm_call_put!$L:$L,MATCH($B18&amp;AB$2&amp;$A$1,jkm_call_put!$G:$G&amp;jkm_call_put!$O:$O&amp;jkm_call_put!$F:$F,0),1),"")</f>
        <v>30.034500000000001</v>
      </c>
      <c r="AC18" s="7" cm="1">
        <f t="array" aca="1" ref="AC18" ca="1">_xlfn.IFNA(INDEX(jkm_call_put!$L:$L,MATCH($B18&amp;AC$2&amp;$A$1,jkm_call_put!$G:$G&amp;jkm_call_put!$O:$O&amp;jkm_call_put!$F:$F,0),1),"")</f>
        <v>30.053799999999999</v>
      </c>
      <c r="AD18" s="7" cm="1">
        <f t="array" aca="1" ref="AD18" ca="1">_xlfn.IFNA(INDEX(jkm_call_put!$L:$L,MATCH($B18&amp;AD$2&amp;$A$1,jkm_call_put!$G:$G&amp;jkm_call_put!$O:$O&amp;jkm_call_put!$F:$F,0),1),"")</f>
        <v>30.107600000000001</v>
      </c>
      <c r="AE18" s="7" cm="1">
        <f t="array" aca="1" ref="AE18" ca="1">_xlfn.IFNA(INDEX(jkm_call_put!$L:$L,MATCH($B18&amp;AE$2&amp;$A$1,jkm_call_put!$G:$G&amp;jkm_call_put!$O:$O&amp;jkm_call_put!$F:$F,0),1),"")</f>
        <v>30.077000000000002</v>
      </c>
      <c r="AF18" s="7" cm="1">
        <f t="array" aca="1" ref="AF18" ca="1">_xlfn.IFNA(INDEX(jkm_call_put!$L:$L,MATCH($B18&amp;AF$2&amp;$A$1,jkm_call_put!$G:$G&amp;jkm_call_put!$O:$O&amp;jkm_call_put!$F:$F,0),1),"")</f>
        <v>35.042099999999998</v>
      </c>
      <c r="AG18" s="7" cm="1">
        <f t="array" aca="1" ref="AG18" ca="1">_xlfn.IFNA(INDEX(jkm_call_put!$L:$L,MATCH($B18&amp;AG$2&amp;$A$1,jkm_call_put!$G:$G&amp;jkm_call_put!$O:$O&amp;jkm_call_put!$F:$F,0),1),"")</f>
        <v>35.111800000000002</v>
      </c>
      <c r="AH18" s="7" cm="1">
        <f t="array" aca="1" ref="AH18" ca="1">_xlfn.IFNA(INDEX(jkm_call_put!$L:$L,MATCH($B18&amp;AH$2&amp;$A$1,jkm_call_put!$G:$G&amp;jkm_call_put!$O:$O&amp;jkm_call_put!$F:$F,0),1),"")</f>
        <v>35.072499999999998</v>
      </c>
      <c r="AI18" s="7" t="str" cm="1">
        <f t="array" aca="1" ref="AI18" ca="1">_xlfn.IFNA(INDEX(jkm_call_put!$L:$L,MATCH($B18&amp;AI$2&amp;$A$1,jkm_call_put!$G:$G&amp;jkm_call_put!$O:$O&amp;jkm_call_put!$F:$F,0),1),"")</f>
        <v/>
      </c>
      <c r="AJ18" s="7" t="str" cm="1">
        <f t="array" aca="1" ref="AJ18" ca="1">_xlfn.IFNA(INDEX(jkm_call_put!$L:$L,MATCH($B18&amp;AJ$2&amp;$A$1,jkm_call_put!$G:$G&amp;jkm_call_put!$O:$O&amp;jkm_call_put!$F:$F,0),1),"")</f>
        <v/>
      </c>
      <c r="AK18" s="7" t="str" cm="1">
        <f t="array" aca="1" ref="AK18" ca="1">_xlfn.IFNA(INDEX(jkm_call_put!$L:$L,MATCH($B18&amp;AK$2&amp;$A$1,jkm_call_put!$G:$G&amp;jkm_call_put!$O:$O&amp;jkm_call_put!$F:$F,0),1),"")</f>
        <v/>
      </c>
      <c r="AL18" s="7" t="str" cm="1">
        <f t="array" aca="1" ref="AL18" ca="1">_xlfn.IFNA(INDEX(jkm_call_put!$L:$L,MATCH($B18&amp;AL$2&amp;$A$1,jkm_call_put!$G:$G&amp;jkm_call_put!$O:$O&amp;jkm_call_put!$F:$F,0),1),"")</f>
        <v/>
      </c>
    </row>
    <row r="19" spans="2:38" x14ac:dyDescent="0.25">
      <c r="B19">
        <v>15</v>
      </c>
      <c r="C19" s="7" cm="1">
        <f t="array" aca="1" ref="C19" ca="1">_xlfn.IFNA(INDEX(jkm_call_put!$L:$L,MATCH($B19&amp;C$2&amp;$A$1,jkm_call_put!$G:$G&amp;jkm_call_put!$O:$O&amp;jkm_call_put!$F:$F,0),1),"")</f>
        <v>30.345500000000001</v>
      </c>
      <c r="D19" s="7" cm="1">
        <f t="array" aca="1" ref="D19" ca="1">_xlfn.IFNA(INDEX(jkm_call_put!$L:$L,MATCH($B19&amp;D$2&amp;$A$1,jkm_call_put!$G:$G&amp;jkm_call_put!$O:$O&amp;jkm_call_put!$F:$F,0),1),"")</f>
        <v>43</v>
      </c>
      <c r="E19" s="7" cm="1">
        <f t="array" aca="1" ref="E19" ca="1">_xlfn.IFNA(INDEX(jkm_call_put!$L:$L,MATCH($B19&amp;E$2&amp;$A$1,jkm_call_put!$G:$G&amp;jkm_call_put!$O:$O&amp;jkm_call_put!$F:$F,0),1),"")</f>
        <v>75.225700000000003</v>
      </c>
      <c r="F19" s="7" cm="1">
        <f t="array" aca="1" ref="F19" ca="1">_xlfn.IFNA(INDEX(jkm_call_put!$L:$L,MATCH($B19&amp;F$2&amp;$A$1,jkm_call_put!$G:$G&amp;jkm_call_put!$O:$O&amp;jkm_call_put!$F:$F,0),1),"")</f>
        <v>77.635599999999997</v>
      </c>
      <c r="G19" s="7" cm="1">
        <f t="array" aca="1" ref="G19" ca="1">_xlfn.IFNA(INDEX(jkm_call_put!$L:$L,MATCH($B19&amp;G$2&amp;$A$1,jkm_call_put!$G:$G&amp;jkm_call_put!$O:$O&amp;jkm_call_put!$F:$F,0),1),"")</f>
        <v>79.251900000000006</v>
      </c>
      <c r="H19" s="7" cm="1">
        <f t="array" aca="1" ref="H19" ca="1">_xlfn.IFNA(INDEX(jkm_call_put!$L:$L,MATCH($B19&amp;H$2&amp;$A$1,jkm_call_put!$G:$G&amp;jkm_call_put!$O:$O&amp;jkm_call_put!$F:$F,0),1),"")</f>
        <v>62.360900000000001</v>
      </c>
      <c r="I19" s="7" cm="1">
        <f t="array" aca="1" ref="I19" ca="1">_xlfn.IFNA(INDEX(jkm_call_put!$L:$L,MATCH($B19&amp;I$2&amp;$A$1,jkm_call_put!$G:$G&amp;jkm_call_put!$O:$O&amp;jkm_call_put!$F:$F,0),1),"")</f>
        <v>63.002800000000001</v>
      </c>
      <c r="J19" s="7" cm="1">
        <f t="array" aca="1" ref="J19" ca="1">_xlfn.IFNA(INDEX(jkm_call_put!$L:$L,MATCH($B19&amp;J$2&amp;$A$1,jkm_call_put!$G:$G&amp;jkm_call_put!$O:$O&amp;jkm_call_put!$F:$F,0),1),"")</f>
        <v>63.495399999999997</v>
      </c>
      <c r="K19" s="7" cm="1">
        <f t="array" aca="1" ref="K19" ca="1">_xlfn.IFNA(INDEX(jkm_call_put!$L:$L,MATCH($B19&amp;K$2&amp;$A$1,jkm_call_put!$G:$G&amp;jkm_call_put!$O:$O&amp;jkm_call_put!$F:$F,0),1),"")</f>
        <v>63.603099999999998</v>
      </c>
      <c r="L19" s="7" cm="1">
        <f t="array" aca="1" ref="L19" ca="1">_xlfn.IFNA(INDEX(jkm_call_put!$L:$L,MATCH($B19&amp;L$2&amp;$A$1,jkm_call_put!$G:$G&amp;jkm_call_put!$O:$O&amp;jkm_call_put!$F:$F,0),1),"")</f>
        <v>63.884</v>
      </c>
      <c r="M19" s="7" cm="1">
        <f t="array" aca="1" ref="M19" ca="1">_xlfn.IFNA(INDEX(jkm_call_put!$L:$L,MATCH($B19&amp;M$2&amp;$A$1,jkm_call_put!$G:$G&amp;jkm_call_put!$O:$O&amp;jkm_call_put!$F:$F,0),1),"")</f>
        <v>64.085099999999997</v>
      </c>
      <c r="N19" s="7" cm="1">
        <f t="array" aca="1" ref="N19" ca="1">_xlfn.IFNA(INDEX(jkm_call_put!$L:$L,MATCH($B19&amp;N$2&amp;$A$1,jkm_call_put!$G:$G&amp;jkm_call_put!$O:$O&amp;jkm_call_put!$F:$F,0),1),"")</f>
        <v>47.51</v>
      </c>
      <c r="O19" s="7" cm="1">
        <f t="array" aca="1" ref="O19" ca="1">_xlfn.IFNA(INDEX(jkm_call_put!$L:$L,MATCH($B19&amp;O$2&amp;$A$1,jkm_call_put!$G:$G&amp;jkm_call_put!$O:$O&amp;jkm_call_put!$F:$F,0),1),"")</f>
        <v>47.536000000000001</v>
      </c>
      <c r="P19" s="7" cm="1">
        <f t="array" aca="1" ref="P19" ca="1">_xlfn.IFNA(INDEX(jkm_call_put!$L:$L,MATCH($B19&amp;P$2&amp;$A$1,jkm_call_put!$G:$G&amp;jkm_call_put!$O:$O&amp;jkm_call_put!$F:$F,0),1),"")</f>
        <v>47.743400000000001</v>
      </c>
      <c r="Q19" s="7" cm="1">
        <f t="array" aca="1" ref="Q19" ca="1">_xlfn.IFNA(INDEX(jkm_call_put!$L:$L,MATCH($B19&amp;Q$2&amp;$A$1,jkm_call_put!$G:$G&amp;jkm_call_put!$O:$O&amp;jkm_call_put!$F:$F,0),1),"")</f>
        <v>47.694200000000002</v>
      </c>
      <c r="R19" s="7" cm="1">
        <f t="array" aca="1" ref="R19" ca="1">_xlfn.IFNA(INDEX(jkm_call_put!$L:$L,MATCH($B19&amp;R$2&amp;$A$1,jkm_call_put!$G:$G&amp;jkm_call_put!$O:$O&amp;jkm_call_put!$F:$F,0),1),"")</f>
        <v>47.665500000000002</v>
      </c>
      <c r="S19" s="7" cm="1">
        <f t="array" aca="1" ref="S19" ca="1">_xlfn.IFNA(INDEX(jkm_call_put!$L:$L,MATCH($B19&amp;S$2&amp;$A$1,jkm_call_put!$G:$G&amp;jkm_call_put!$O:$O&amp;jkm_call_put!$F:$F,0),1),"")</f>
        <v>47.7637</v>
      </c>
      <c r="T19" s="7" cm="1">
        <f t="array" aca="1" ref="T19" ca="1">_xlfn.IFNA(INDEX(jkm_call_put!$L:$L,MATCH($B19&amp;T$2&amp;$A$1,jkm_call_put!$G:$G&amp;jkm_call_put!$O:$O&amp;jkm_call_put!$F:$F,0),1),"")</f>
        <v>35.0381</v>
      </c>
      <c r="U19" s="7" cm="1">
        <f t="array" aca="1" ref="U19" ca="1">_xlfn.IFNA(INDEX(jkm_call_put!$L:$L,MATCH($B19&amp;U$2&amp;$A$1,jkm_call_put!$G:$G&amp;jkm_call_put!$O:$O&amp;jkm_call_put!$F:$F,0),1),"")</f>
        <v>34.930999999999997</v>
      </c>
      <c r="V19" s="7" cm="1">
        <f t="array" aca="1" ref="V19" ca="1">_xlfn.IFNA(INDEX(jkm_call_put!$L:$L,MATCH($B19&amp;V$2&amp;$A$1,jkm_call_put!$G:$G&amp;jkm_call_put!$O:$O&amp;jkm_call_put!$F:$F,0),1),"")</f>
        <v>34.807699999999997</v>
      </c>
      <c r="W19" s="7" cm="1">
        <f t="array" aca="1" ref="W19" ca="1">_xlfn.IFNA(INDEX(jkm_call_put!$L:$L,MATCH($B19&amp;W$2&amp;$A$1,jkm_call_put!$G:$G&amp;jkm_call_put!$O:$O&amp;jkm_call_put!$F:$F,0),1),"")</f>
        <v>34.769799999999996</v>
      </c>
      <c r="X19" s="7" cm="1">
        <f t="array" aca="1" ref="X19" ca="1">_xlfn.IFNA(INDEX(jkm_call_put!$L:$L,MATCH($B19&amp;X$2&amp;$A$1,jkm_call_put!$G:$G&amp;jkm_call_put!$O:$O&amp;jkm_call_put!$F:$F,0),1),"")</f>
        <v>34.8187</v>
      </c>
      <c r="Y19" s="7" cm="1">
        <f t="array" aca="1" ref="Y19" ca="1">_xlfn.IFNA(INDEX(jkm_call_put!$L:$L,MATCH($B19&amp;Y$2&amp;$A$1,jkm_call_put!$G:$G&amp;jkm_call_put!$O:$O&amp;jkm_call_put!$F:$F,0),1),"")</f>
        <v>34.805300000000003</v>
      </c>
      <c r="Z19" s="7" cm="1">
        <f t="array" aca="1" ref="Z19" ca="1">_xlfn.IFNA(INDEX(jkm_call_put!$L:$L,MATCH($B19&amp;Z$2&amp;$A$1,jkm_call_put!$G:$G&amp;jkm_call_put!$O:$O&amp;jkm_call_put!$F:$F,0),1),"")</f>
        <v>30.0273</v>
      </c>
      <c r="AA19" s="7" cm="1">
        <f t="array" aca="1" ref="AA19" ca="1">_xlfn.IFNA(INDEX(jkm_call_put!$L:$L,MATCH($B19&amp;AA$2&amp;$A$1,jkm_call_put!$G:$G&amp;jkm_call_put!$O:$O&amp;jkm_call_put!$F:$F,0),1),"")</f>
        <v>30.0501</v>
      </c>
      <c r="AB19" s="7" cm="1">
        <f t="array" aca="1" ref="AB19" ca="1">_xlfn.IFNA(INDEX(jkm_call_put!$L:$L,MATCH($B19&amp;AB$2&amp;$A$1,jkm_call_put!$G:$G&amp;jkm_call_put!$O:$O&amp;jkm_call_put!$F:$F,0),1),"")</f>
        <v>30.024999999999999</v>
      </c>
      <c r="AC19" s="7" cm="1">
        <f t="array" aca="1" ref="AC19" ca="1">_xlfn.IFNA(INDEX(jkm_call_put!$L:$L,MATCH($B19&amp;AC$2&amp;$A$1,jkm_call_put!$G:$G&amp;jkm_call_put!$O:$O&amp;jkm_call_put!$F:$F,0),1),"")</f>
        <v>30.0444</v>
      </c>
      <c r="AD19" s="7" cm="1">
        <f t="array" aca="1" ref="AD19" ca="1">_xlfn.IFNA(INDEX(jkm_call_put!$L:$L,MATCH($B19&amp;AD$2&amp;$A$1,jkm_call_put!$G:$G&amp;jkm_call_put!$O:$O&amp;jkm_call_put!$F:$F,0),1),"")</f>
        <v>30.098500000000001</v>
      </c>
      <c r="AE19" s="7" cm="1">
        <f t="array" aca="1" ref="AE19" ca="1">_xlfn.IFNA(INDEX(jkm_call_put!$L:$L,MATCH($B19&amp;AE$2&amp;$A$1,jkm_call_put!$G:$G&amp;jkm_call_put!$O:$O&amp;jkm_call_put!$F:$F,0),1),"")</f>
        <v>30.067299999999999</v>
      </c>
      <c r="AF19" s="7" cm="1">
        <f t="array" aca="1" ref="AF19" ca="1">_xlfn.IFNA(INDEX(jkm_call_put!$L:$L,MATCH($B19&amp;AF$2&amp;$A$1,jkm_call_put!$G:$G&amp;jkm_call_put!$O:$O&amp;jkm_call_put!$F:$F,0),1),"")</f>
        <v>35.032499999999999</v>
      </c>
      <c r="AG19" s="7" cm="1">
        <f t="array" aca="1" ref="AG19" ca="1">_xlfn.IFNA(INDEX(jkm_call_put!$L:$L,MATCH($B19&amp;AG$2&amp;$A$1,jkm_call_put!$G:$G&amp;jkm_call_put!$O:$O&amp;jkm_call_put!$F:$F,0),1),"")</f>
        <v>35.099600000000002</v>
      </c>
      <c r="AH19" s="7" cm="1">
        <f t="array" aca="1" ref="AH19" ca="1">_xlfn.IFNA(INDEX(jkm_call_put!$L:$L,MATCH($B19&amp;AH$2&amp;$A$1,jkm_call_put!$G:$G&amp;jkm_call_put!$O:$O&amp;jkm_call_put!$F:$F,0),1),"")</f>
        <v>35.058500000000002</v>
      </c>
      <c r="AI19" s="7" cm="1">
        <f t="array" aca="1" ref="AI19" ca="1">_xlfn.IFNA(INDEX(jkm_call_put!$L:$L,MATCH($B19&amp;AI$2&amp;$A$1,jkm_call_put!$G:$G&amp;jkm_call_put!$O:$O&amp;jkm_call_put!$F:$F,0),1),"")</f>
        <v>35.084600000000002</v>
      </c>
      <c r="AJ19" s="7" cm="1">
        <f t="array" aca="1" ref="AJ19" ca="1">_xlfn.IFNA(INDEX(jkm_call_put!$L:$L,MATCH($B19&amp;AJ$2&amp;$A$1,jkm_call_put!$G:$G&amp;jkm_call_put!$O:$O&amp;jkm_call_put!$F:$F,0),1),"")</f>
        <v>35.087299999999999</v>
      </c>
      <c r="AK19" s="7" cm="1">
        <f t="array" aca="1" ref="AK19" ca="1">_xlfn.IFNA(INDEX(jkm_call_put!$L:$L,MATCH($B19&amp;AK$2&amp;$A$1,jkm_call_put!$G:$G&amp;jkm_call_put!$O:$O&amp;jkm_call_put!$F:$F,0),1),"")</f>
        <v>35.059100000000001</v>
      </c>
      <c r="AL19" s="7" cm="1">
        <f t="array" aca="1" ref="AL19" ca="1">_xlfn.IFNA(INDEX(jkm_call_put!$L:$L,MATCH($B19&amp;AL$2&amp;$A$1,jkm_call_put!$G:$G&amp;jkm_call_put!$O:$O&amp;jkm_call_put!$F:$F,0),1),"")</f>
        <v>35.137</v>
      </c>
    </row>
    <row r="20" spans="2:38" x14ac:dyDescent="0.25">
      <c r="B20">
        <v>15.5</v>
      </c>
      <c r="C20" s="7" t="str" cm="1">
        <f t="array" aca="1" ref="C20" ca="1">_xlfn.IFNA(INDEX(jkm_call_put!$L:$L,MATCH($B20&amp;C$2&amp;$A$1,jkm_call_put!$G:$G&amp;jkm_call_put!$O:$O&amp;jkm_call_put!$F:$F,0),1),"")</f>
        <v/>
      </c>
      <c r="D20" s="7" t="str" cm="1">
        <f t="array" aca="1" ref="D20" ca="1">_xlfn.IFNA(INDEX(jkm_call_put!$L:$L,MATCH($B20&amp;D$2&amp;$A$1,jkm_call_put!$G:$G&amp;jkm_call_put!$O:$O&amp;jkm_call_put!$F:$F,0),1),"")</f>
        <v/>
      </c>
      <c r="E20" s="7" t="str" cm="1">
        <f t="array" aca="1" ref="E20" ca="1">_xlfn.IFNA(INDEX(jkm_call_put!$L:$L,MATCH($B20&amp;E$2&amp;$A$1,jkm_call_put!$G:$G&amp;jkm_call_put!$O:$O&amp;jkm_call_put!$F:$F,0),1),"")</f>
        <v/>
      </c>
      <c r="F20" s="7" t="str" cm="1">
        <f t="array" aca="1" ref="F20" ca="1">_xlfn.IFNA(INDEX(jkm_call_put!$L:$L,MATCH($B20&amp;F$2&amp;$A$1,jkm_call_put!$G:$G&amp;jkm_call_put!$O:$O&amp;jkm_call_put!$F:$F,0),1),"")</f>
        <v/>
      </c>
      <c r="G20" s="7" t="str" cm="1">
        <f t="array" aca="1" ref="G20" ca="1">_xlfn.IFNA(INDEX(jkm_call_put!$L:$L,MATCH($B20&amp;G$2&amp;$A$1,jkm_call_put!$G:$G&amp;jkm_call_put!$O:$O&amp;jkm_call_put!$F:$F,0),1),"")</f>
        <v/>
      </c>
      <c r="H20" s="7" t="str" cm="1">
        <f t="array" aca="1" ref="H20" ca="1">_xlfn.IFNA(INDEX(jkm_call_put!$L:$L,MATCH($B20&amp;H$2&amp;$A$1,jkm_call_put!$G:$G&amp;jkm_call_put!$O:$O&amp;jkm_call_put!$F:$F,0),1),"")</f>
        <v/>
      </c>
      <c r="I20" s="7" t="str" cm="1">
        <f t="array" aca="1" ref="I20" ca="1">_xlfn.IFNA(INDEX(jkm_call_put!$L:$L,MATCH($B20&amp;I$2&amp;$A$1,jkm_call_put!$G:$G&amp;jkm_call_put!$O:$O&amp;jkm_call_put!$F:$F,0),1),"")</f>
        <v/>
      </c>
      <c r="J20" s="7" t="str" cm="1">
        <f t="array" aca="1" ref="J20" ca="1">_xlfn.IFNA(INDEX(jkm_call_put!$L:$L,MATCH($B20&amp;J$2&amp;$A$1,jkm_call_put!$G:$G&amp;jkm_call_put!$O:$O&amp;jkm_call_put!$F:$F,0),1),"")</f>
        <v/>
      </c>
      <c r="K20" s="7" cm="1">
        <f t="array" aca="1" ref="K20" ca="1">_xlfn.IFNA(INDEX(jkm_call_put!$L:$L,MATCH($B20&amp;K$2&amp;$A$1,jkm_call_put!$G:$G&amp;jkm_call_put!$O:$O&amp;jkm_call_put!$F:$F,0),1),"")</f>
        <v>63.747900000000001</v>
      </c>
      <c r="L20" s="7" cm="1">
        <f t="array" aca="1" ref="L20" ca="1">_xlfn.IFNA(INDEX(jkm_call_put!$L:$L,MATCH($B20&amp;L$2&amp;$A$1,jkm_call_put!$G:$G&amp;jkm_call_put!$O:$O&amp;jkm_call_put!$F:$F,0),1),"")</f>
        <v>64.028300000000002</v>
      </c>
      <c r="M20" s="7" cm="1">
        <f t="array" aca="1" ref="M20" ca="1">_xlfn.IFNA(INDEX(jkm_call_put!$L:$L,MATCH($B20&amp;M$2&amp;$A$1,jkm_call_put!$G:$G&amp;jkm_call_put!$O:$O&amp;jkm_call_put!$F:$F,0),1),"")</f>
        <v>64.231300000000005</v>
      </c>
      <c r="N20" s="7" t="str" cm="1">
        <f t="array" aca="1" ref="N20" ca="1">_xlfn.IFNA(INDEX(jkm_call_put!$L:$L,MATCH($B20&amp;N$2&amp;$A$1,jkm_call_put!$G:$G&amp;jkm_call_put!$O:$O&amp;jkm_call_put!$F:$F,0),1),"")</f>
        <v/>
      </c>
      <c r="O20" s="7" t="str" cm="1">
        <f t="array" aca="1" ref="O20" ca="1">_xlfn.IFNA(INDEX(jkm_call_put!$L:$L,MATCH($B20&amp;O$2&amp;$A$1,jkm_call_put!$G:$G&amp;jkm_call_put!$O:$O&amp;jkm_call_put!$F:$F,0),1),"")</f>
        <v/>
      </c>
      <c r="P20" s="7" t="str" cm="1">
        <f t="array" aca="1" ref="P20" ca="1">_xlfn.IFNA(INDEX(jkm_call_put!$L:$L,MATCH($B20&amp;P$2&amp;$A$1,jkm_call_put!$G:$G&amp;jkm_call_put!$O:$O&amp;jkm_call_put!$F:$F,0),1),"")</f>
        <v/>
      </c>
      <c r="Q20" s="7" t="str" cm="1">
        <f t="array" aca="1" ref="Q20" ca="1">_xlfn.IFNA(INDEX(jkm_call_put!$L:$L,MATCH($B20&amp;Q$2&amp;$A$1,jkm_call_put!$G:$G&amp;jkm_call_put!$O:$O&amp;jkm_call_put!$F:$F,0),1),"")</f>
        <v/>
      </c>
      <c r="R20" s="7" t="str" cm="1">
        <f t="array" aca="1" ref="R20" ca="1">_xlfn.IFNA(INDEX(jkm_call_put!$L:$L,MATCH($B20&amp;R$2&amp;$A$1,jkm_call_put!$G:$G&amp;jkm_call_put!$O:$O&amp;jkm_call_put!$F:$F,0),1),"")</f>
        <v/>
      </c>
      <c r="S20" s="7" t="str" cm="1">
        <f t="array" aca="1" ref="S20" ca="1">_xlfn.IFNA(INDEX(jkm_call_put!$L:$L,MATCH($B20&amp;S$2&amp;$A$1,jkm_call_put!$G:$G&amp;jkm_call_put!$O:$O&amp;jkm_call_put!$F:$F,0),1),"")</f>
        <v/>
      </c>
      <c r="T20" s="7" t="str" cm="1">
        <f t="array" aca="1" ref="T20" ca="1">_xlfn.IFNA(INDEX(jkm_call_put!$L:$L,MATCH($B20&amp;T$2&amp;$A$1,jkm_call_put!$G:$G&amp;jkm_call_put!$O:$O&amp;jkm_call_put!$F:$F,0),1),"")</f>
        <v/>
      </c>
      <c r="U20" s="7" t="str" cm="1">
        <f t="array" aca="1" ref="U20" ca="1">_xlfn.IFNA(INDEX(jkm_call_put!$L:$L,MATCH($B20&amp;U$2&amp;$A$1,jkm_call_put!$G:$G&amp;jkm_call_put!$O:$O&amp;jkm_call_put!$F:$F,0),1),"")</f>
        <v/>
      </c>
      <c r="V20" s="7" t="str" cm="1">
        <f t="array" aca="1" ref="V20" ca="1">_xlfn.IFNA(INDEX(jkm_call_put!$L:$L,MATCH($B20&amp;V$2&amp;$A$1,jkm_call_put!$G:$G&amp;jkm_call_put!$O:$O&amp;jkm_call_put!$F:$F,0),1),"")</f>
        <v/>
      </c>
      <c r="W20" s="7" t="str" cm="1">
        <f t="array" aca="1" ref="W20" ca="1">_xlfn.IFNA(INDEX(jkm_call_put!$L:$L,MATCH($B20&amp;W$2&amp;$A$1,jkm_call_put!$G:$G&amp;jkm_call_put!$O:$O&amp;jkm_call_put!$F:$F,0),1),"")</f>
        <v/>
      </c>
      <c r="X20" s="7" t="str" cm="1">
        <f t="array" aca="1" ref="X20" ca="1">_xlfn.IFNA(INDEX(jkm_call_put!$L:$L,MATCH($B20&amp;X$2&amp;$A$1,jkm_call_put!$G:$G&amp;jkm_call_put!$O:$O&amp;jkm_call_put!$F:$F,0),1),"")</f>
        <v/>
      </c>
      <c r="Y20" s="7" t="str" cm="1">
        <f t="array" aca="1" ref="Y20" ca="1">_xlfn.IFNA(INDEX(jkm_call_put!$L:$L,MATCH($B20&amp;Y$2&amp;$A$1,jkm_call_put!$G:$G&amp;jkm_call_put!$O:$O&amp;jkm_call_put!$F:$F,0),1),"")</f>
        <v/>
      </c>
      <c r="Z20" s="7" t="str" cm="1">
        <f t="array" aca="1" ref="Z20" ca="1">_xlfn.IFNA(INDEX(jkm_call_put!$L:$L,MATCH($B20&amp;Z$2&amp;$A$1,jkm_call_put!$G:$G&amp;jkm_call_put!$O:$O&amp;jkm_call_put!$F:$F,0),1),"")</f>
        <v/>
      </c>
      <c r="AA20" s="7" t="str" cm="1">
        <f t="array" aca="1" ref="AA20" ca="1">_xlfn.IFNA(INDEX(jkm_call_put!$L:$L,MATCH($B20&amp;AA$2&amp;$A$1,jkm_call_put!$G:$G&amp;jkm_call_put!$O:$O&amp;jkm_call_put!$F:$F,0),1),"")</f>
        <v/>
      </c>
      <c r="AB20" s="7" t="str" cm="1">
        <f t="array" aca="1" ref="AB20" ca="1">_xlfn.IFNA(INDEX(jkm_call_put!$L:$L,MATCH($B20&amp;AB$2&amp;$A$1,jkm_call_put!$G:$G&amp;jkm_call_put!$O:$O&amp;jkm_call_put!$F:$F,0),1),"")</f>
        <v/>
      </c>
      <c r="AC20" s="7" t="str" cm="1">
        <f t="array" aca="1" ref="AC20" ca="1">_xlfn.IFNA(INDEX(jkm_call_put!$L:$L,MATCH($B20&amp;AC$2&amp;$A$1,jkm_call_put!$G:$G&amp;jkm_call_put!$O:$O&amp;jkm_call_put!$F:$F,0),1),"")</f>
        <v/>
      </c>
      <c r="AD20" s="7" t="str" cm="1">
        <f t="array" aca="1" ref="AD20" ca="1">_xlfn.IFNA(INDEX(jkm_call_put!$L:$L,MATCH($B20&amp;AD$2&amp;$A$1,jkm_call_put!$G:$G&amp;jkm_call_put!$O:$O&amp;jkm_call_put!$F:$F,0),1),"")</f>
        <v/>
      </c>
      <c r="AE20" s="7" t="str" cm="1">
        <f t="array" aca="1" ref="AE20" ca="1">_xlfn.IFNA(INDEX(jkm_call_put!$L:$L,MATCH($B20&amp;AE$2&amp;$A$1,jkm_call_put!$G:$G&amp;jkm_call_put!$O:$O&amp;jkm_call_put!$F:$F,0),1),"")</f>
        <v/>
      </c>
      <c r="AF20" s="7" t="str" cm="1">
        <f t="array" aca="1" ref="AF20" ca="1">_xlfn.IFNA(INDEX(jkm_call_put!$L:$L,MATCH($B20&amp;AF$2&amp;$A$1,jkm_call_put!$G:$G&amp;jkm_call_put!$O:$O&amp;jkm_call_put!$F:$F,0),1),"")</f>
        <v/>
      </c>
      <c r="AG20" s="7" t="str" cm="1">
        <f t="array" aca="1" ref="AG20" ca="1">_xlfn.IFNA(INDEX(jkm_call_put!$L:$L,MATCH($B20&amp;AG$2&amp;$A$1,jkm_call_put!$G:$G&amp;jkm_call_put!$O:$O&amp;jkm_call_put!$F:$F,0),1),"")</f>
        <v/>
      </c>
      <c r="AH20" s="7" t="str" cm="1">
        <f t="array" aca="1" ref="AH20" ca="1">_xlfn.IFNA(INDEX(jkm_call_put!$L:$L,MATCH($B20&amp;AH$2&amp;$A$1,jkm_call_put!$G:$G&amp;jkm_call_put!$O:$O&amp;jkm_call_put!$F:$F,0),1),"")</f>
        <v/>
      </c>
      <c r="AI20" s="7" t="str" cm="1">
        <f t="array" aca="1" ref="AI20" ca="1">_xlfn.IFNA(INDEX(jkm_call_put!$L:$L,MATCH($B20&amp;AI$2&amp;$A$1,jkm_call_put!$G:$G&amp;jkm_call_put!$O:$O&amp;jkm_call_put!$F:$F,0),1),"")</f>
        <v/>
      </c>
      <c r="AJ20" s="7" t="str" cm="1">
        <f t="array" aca="1" ref="AJ20" ca="1">_xlfn.IFNA(INDEX(jkm_call_put!$L:$L,MATCH($B20&amp;AJ$2&amp;$A$1,jkm_call_put!$G:$G&amp;jkm_call_put!$O:$O&amp;jkm_call_put!$F:$F,0),1),"")</f>
        <v/>
      </c>
      <c r="AK20" s="7" t="str" cm="1">
        <f t="array" aca="1" ref="AK20" ca="1">_xlfn.IFNA(INDEX(jkm_call_put!$L:$L,MATCH($B20&amp;AK$2&amp;$A$1,jkm_call_put!$G:$G&amp;jkm_call_put!$O:$O&amp;jkm_call_put!$F:$F,0),1),"")</f>
        <v/>
      </c>
      <c r="AL20" s="7" t="str" cm="1">
        <f t="array" aca="1" ref="AL20" ca="1">_xlfn.IFNA(INDEX(jkm_call_put!$L:$L,MATCH($B20&amp;AL$2&amp;$A$1,jkm_call_put!$G:$G&amp;jkm_call_put!$O:$O&amp;jkm_call_put!$F:$F,0),1),"")</f>
        <v/>
      </c>
    </row>
    <row r="21" spans="2:38" x14ac:dyDescent="0.25">
      <c r="B21">
        <v>16.5</v>
      </c>
      <c r="C21" s="7" t="str" cm="1">
        <f t="array" aca="1" ref="C21" ca="1">_xlfn.IFNA(INDEX(jkm_call_put!$L:$L,MATCH($B21&amp;C$2&amp;$A$1,jkm_call_put!$G:$G&amp;jkm_call_put!$O:$O&amp;jkm_call_put!$F:$F,0),1),"")</f>
        <v/>
      </c>
      <c r="D21" s="7" t="str" cm="1">
        <f t="array" aca="1" ref="D21" ca="1">_xlfn.IFNA(INDEX(jkm_call_put!$L:$L,MATCH($B21&amp;D$2&amp;$A$1,jkm_call_put!$G:$G&amp;jkm_call_put!$O:$O&amp;jkm_call_put!$F:$F,0),1),"")</f>
        <v/>
      </c>
      <c r="E21" s="7" t="str" cm="1">
        <f t="array" aca="1" ref="E21" ca="1">_xlfn.IFNA(INDEX(jkm_call_put!$L:$L,MATCH($B21&amp;E$2&amp;$A$1,jkm_call_put!$G:$G&amp;jkm_call_put!$O:$O&amp;jkm_call_put!$F:$F,0),1),"")</f>
        <v/>
      </c>
      <c r="F21" s="7" t="str" cm="1">
        <f t="array" aca="1" ref="F21" ca="1">_xlfn.IFNA(INDEX(jkm_call_put!$L:$L,MATCH($B21&amp;F$2&amp;$A$1,jkm_call_put!$G:$G&amp;jkm_call_put!$O:$O&amp;jkm_call_put!$F:$F,0),1),"")</f>
        <v/>
      </c>
      <c r="G21" s="7" t="str" cm="1">
        <f t="array" aca="1" ref="G21" ca="1">_xlfn.IFNA(INDEX(jkm_call_put!$L:$L,MATCH($B21&amp;G$2&amp;$A$1,jkm_call_put!$G:$G&amp;jkm_call_put!$O:$O&amp;jkm_call_put!$F:$F,0),1),"")</f>
        <v/>
      </c>
      <c r="H21" s="7" cm="1">
        <f t="array" aca="1" ref="H21" ca="1">_xlfn.IFNA(INDEX(jkm_call_put!$L:$L,MATCH($B21&amp;H$2&amp;$A$1,jkm_call_put!$G:$G&amp;jkm_call_put!$O:$O&amp;jkm_call_put!$F:$F,0),1),"")</f>
        <v>62.824199999999998</v>
      </c>
      <c r="I21" s="7" cm="1">
        <f t="array" aca="1" ref="I21" ca="1">_xlfn.IFNA(INDEX(jkm_call_put!$L:$L,MATCH($B21&amp;I$2&amp;$A$1,jkm_call_put!$G:$G&amp;jkm_call_put!$O:$O&amp;jkm_call_put!$F:$F,0),1),"")</f>
        <v>63.467399999999998</v>
      </c>
      <c r="J21" s="7" cm="1">
        <f t="array" aca="1" ref="J21" ca="1">_xlfn.IFNA(INDEX(jkm_call_put!$L:$L,MATCH($B21&amp;J$2&amp;$A$1,jkm_call_put!$G:$G&amp;jkm_call_put!$O:$O&amp;jkm_call_put!$F:$F,0),1),"")</f>
        <v>63.959699999999998</v>
      </c>
      <c r="K21" s="7" t="str" cm="1">
        <f t="array" aca="1" ref="K21" ca="1">_xlfn.IFNA(INDEX(jkm_call_put!$L:$L,MATCH($B21&amp;K$2&amp;$A$1,jkm_call_put!$G:$G&amp;jkm_call_put!$O:$O&amp;jkm_call_put!$F:$F,0),1),"")</f>
        <v/>
      </c>
      <c r="L21" s="7" t="str" cm="1">
        <f t="array" aca="1" ref="L21" ca="1">_xlfn.IFNA(INDEX(jkm_call_put!$L:$L,MATCH($B21&amp;L$2&amp;$A$1,jkm_call_put!$G:$G&amp;jkm_call_put!$O:$O&amp;jkm_call_put!$F:$F,0),1),"")</f>
        <v/>
      </c>
      <c r="M21" s="7" t="str" cm="1">
        <f t="array" aca="1" ref="M21" ca="1">_xlfn.IFNA(INDEX(jkm_call_put!$L:$L,MATCH($B21&amp;M$2&amp;$A$1,jkm_call_put!$G:$G&amp;jkm_call_put!$O:$O&amp;jkm_call_put!$F:$F,0),1),"")</f>
        <v/>
      </c>
      <c r="N21" s="7" t="str" cm="1">
        <f t="array" aca="1" ref="N21" ca="1">_xlfn.IFNA(INDEX(jkm_call_put!$L:$L,MATCH($B21&amp;N$2&amp;$A$1,jkm_call_put!$G:$G&amp;jkm_call_put!$O:$O&amp;jkm_call_put!$F:$F,0),1),"")</f>
        <v/>
      </c>
      <c r="O21" s="7" t="str" cm="1">
        <f t="array" aca="1" ref="O21" ca="1">_xlfn.IFNA(INDEX(jkm_call_put!$L:$L,MATCH($B21&amp;O$2&amp;$A$1,jkm_call_put!$G:$G&amp;jkm_call_put!$O:$O&amp;jkm_call_put!$F:$F,0),1),"")</f>
        <v/>
      </c>
      <c r="P21" s="7" t="str" cm="1">
        <f t="array" aca="1" ref="P21" ca="1">_xlfn.IFNA(INDEX(jkm_call_put!$L:$L,MATCH($B21&amp;P$2&amp;$A$1,jkm_call_put!$G:$G&amp;jkm_call_put!$O:$O&amp;jkm_call_put!$F:$F,0),1),"")</f>
        <v/>
      </c>
      <c r="Q21" s="7" t="str" cm="1">
        <f t="array" aca="1" ref="Q21" ca="1">_xlfn.IFNA(INDEX(jkm_call_put!$L:$L,MATCH($B21&amp;Q$2&amp;$A$1,jkm_call_put!$G:$G&amp;jkm_call_put!$O:$O&amp;jkm_call_put!$F:$F,0),1),"")</f>
        <v/>
      </c>
      <c r="R21" s="7" t="str" cm="1">
        <f t="array" aca="1" ref="R21" ca="1">_xlfn.IFNA(INDEX(jkm_call_put!$L:$L,MATCH($B21&amp;R$2&amp;$A$1,jkm_call_put!$G:$G&amp;jkm_call_put!$O:$O&amp;jkm_call_put!$F:$F,0),1),"")</f>
        <v/>
      </c>
      <c r="S21" s="7" t="str" cm="1">
        <f t="array" aca="1" ref="S21" ca="1">_xlfn.IFNA(INDEX(jkm_call_put!$L:$L,MATCH($B21&amp;S$2&amp;$A$1,jkm_call_put!$G:$G&amp;jkm_call_put!$O:$O&amp;jkm_call_put!$F:$F,0),1),"")</f>
        <v/>
      </c>
      <c r="T21" s="7" t="str" cm="1">
        <f t="array" aca="1" ref="T21" ca="1">_xlfn.IFNA(INDEX(jkm_call_put!$L:$L,MATCH($B21&amp;T$2&amp;$A$1,jkm_call_put!$G:$G&amp;jkm_call_put!$O:$O&amp;jkm_call_put!$F:$F,0),1),"")</f>
        <v/>
      </c>
      <c r="U21" s="7" t="str" cm="1">
        <f t="array" aca="1" ref="U21" ca="1">_xlfn.IFNA(INDEX(jkm_call_put!$L:$L,MATCH($B21&amp;U$2&amp;$A$1,jkm_call_put!$G:$G&amp;jkm_call_put!$O:$O&amp;jkm_call_put!$F:$F,0),1),"")</f>
        <v/>
      </c>
      <c r="V21" s="7" t="str" cm="1">
        <f t="array" aca="1" ref="V21" ca="1">_xlfn.IFNA(INDEX(jkm_call_put!$L:$L,MATCH($B21&amp;V$2&amp;$A$1,jkm_call_put!$G:$G&amp;jkm_call_put!$O:$O&amp;jkm_call_put!$F:$F,0),1),"")</f>
        <v/>
      </c>
      <c r="W21" s="7" t="str" cm="1">
        <f t="array" aca="1" ref="W21" ca="1">_xlfn.IFNA(INDEX(jkm_call_put!$L:$L,MATCH($B21&amp;W$2&amp;$A$1,jkm_call_put!$G:$G&amp;jkm_call_put!$O:$O&amp;jkm_call_put!$F:$F,0),1),"")</f>
        <v/>
      </c>
      <c r="X21" s="7" t="str" cm="1">
        <f t="array" aca="1" ref="X21" ca="1">_xlfn.IFNA(INDEX(jkm_call_put!$L:$L,MATCH($B21&amp;X$2&amp;$A$1,jkm_call_put!$G:$G&amp;jkm_call_put!$O:$O&amp;jkm_call_put!$F:$F,0),1),"")</f>
        <v/>
      </c>
      <c r="Y21" s="7" t="str" cm="1">
        <f t="array" aca="1" ref="Y21" ca="1">_xlfn.IFNA(INDEX(jkm_call_put!$L:$L,MATCH($B21&amp;Y$2&amp;$A$1,jkm_call_put!$G:$G&amp;jkm_call_put!$O:$O&amp;jkm_call_put!$F:$F,0),1),"")</f>
        <v/>
      </c>
      <c r="Z21" s="7" t="str" cm="1">
        <f t="array" aca="1" ref="Z21" ca="1">_xlfn.IFNA(INDEX(jkm_call_put!$L:$L,MATCH($B21&amp;Z$2&amp;$A$1,jkm_call_put!$G:$G&amp;jkm_call_put!$O:$O&amp;jkm_call_put!$F:$F,0),1),"")</f>
        <v/>
      </c>
      <c r="AA21" s="7" t="str" cm="1">
        <f t="array" aca="1" ref="AA21" ca="1">_xlfn.IFNA(INDEX(jkm_call_put!$L:$L,MATCH($B21&amp;AA$2&amp;$A$1,jkm_call_put!$G:$G&amp;jkm_call_put!$O:$O&amp;jkm_call_put!$F:$F,0),1),"")</f>
        <v/>
      </c>
      <c r="AB21" s="7" t="str" cm="1">
        <f t="array" aca="1" ref="AB21" ca="1">_xlfn.IFNA(INDEX(jkm_call_put!$L:$L,MATCH($B21&amp;AB$2&amp;$A$1,jkm_call_put!$G:$G&amp;jkm_call_put!$O:$O&amp;jkm_call_put!$F:$F,0),1),"")</f>
        <v/>
      </c>
      <c r="AC21" s="7" t="str" cm="1">
        <f t="array" aca="1" ref="AC21" ca="1">_xlfn.IFNA(INDEX(jkm_call_put!$L:$L,MATCH($B21&amp;AC$2&amp;$A$1,jkm_call_put!$G:$G&amp;jkm_call_put!$O:$O&amp;jkm_call_put!$F:$F,0),1),"")</f>
        <v/>
      </c>
      <c r="AD21" s="7" t="str" cm="1">
        <f t="array" aca="1" ref="AD21" ca="1">_xlfn.IFNA(INDEX(jkm_call_put!$L:$L,MATCH($B21&amp;AD$2&amp;$A$1,jkm_call_put!$G:$G&amp;jkm_call_put!$O:$O&amp;jkm_call_put!$F:$F,0),1),"")</f>
        <v/>
      </c>
      <c r="AE21" s="7" t="str" cm="1">
        <f t="array" aca="1" ref="AE21" ca="1">_xlfn.IFNA(INDEX(jkm_call_put!$L:$L,MATCH($B21&amp;AE$2&amp;$A$1,jkm_call_put!$G:$G&amp;jkm_call_put!$O:$O&amp;jkm_call_put!$F:$F,0),1),"")</f>
        <v/>
      </c>
      <c r="AF21" s="7" t="str" cm="1">
        <f t="array" aca="1" ref="AF21" ca="1">_xlfn.IFNA(INDEX(jkm_call_put!$L:$L,MATCH($B21&amp;AF$2&amp;$A$1,jkm_call_put!$G:$G&amp;jkm_call_put!$O:$O&amp;jkm_call_put!$F:$F,0),1),"")</f>
        <v/>
      </c>
      <c r="AG21" s="7" t="str" cm="1">
        <f t="array" aca="1" ref="AG21" ca="1">_xlfn.IFNA(INDEX(jkm_call_put!$L:$L,MATCH($B21&amp;AG$2&amp;$A$1,jkm_call_put!$G:$G&amp;jkm_call_put!$O:$O&amp;jkm_call_put!$F:$F,0),1),"")</f>
        <v/>
      </c>
      <c r="AH21" s="7" t="str" cm="1">
        <f t="array" aca="1" ref="AH21" ca="1">_xlfn.IFNA(INDEX(jkm_call_put!$L:$L,MATCH($B21&amp;AH$2&amp;$A$1,jkm_call_put!$G:$G&amp;jkm_call_put!$O:$O&amp;jkm_call_put!$F:$F,0),1),"")</f>
        <v/>
      </c>
      <c r="AI21" s="7" t="str" cm="1">
        <f t="array" aca="1" ref="AI21" ca="1">_xlfn.IFNA(INDEX(jkm_call_put!$L:$L,MATCH($B21&amp;AI$2&amp;$A$1,jkm_call_put!$G:$G&amp;jkm_call_put!$O:$O&amp;jkm_call_put!$F:$F,0),1),"")</f>
        <v/>
      </c>
      <c r="AJ21" s="7" t="str" cm="1">
        <f t="array" aca="1" ref="AJ21" ca="1">_xlfn.IFNA(INDEX(jkm_call_put!$L:$L,MATCH($B21&amp;AJ$2&amp;$A$1,jkm_call_put!$G:$G&amp;jkm_call_put!$O:$O&amp;jkm_call_put!$F:$F,0),1),"")</f>
        <v/>
      </c>
      <c r="AK21" s="7" t="str" cm="1">
        <f t="array" aca="1" ref="AK21" ca="1">_xlfn.IFNA(INDEX(jkm_call_put!$L:$L,MATCH($B21&amp;AK$2&amp;$A$1,jkm_call_put!$G:$G&amp;jkm_call_put!$O:$O&amp;jkm_call_put!$F:$F,0),1),"")</f>
        <v/>
      </c>
      <c r="AL21" s="7" t="str" cm="1">
        <f t="array" aca="1" ref="AL21" ca="1">_xlfn.IFNA(INDEX(jkm_call_put!$L:$L,MATCH($B21&amp;AL$2&amp;$A$1,jkm_call_put!$G:$G&amp;jkm_call_put!$O:$O&amp;jkm_call_put!$F:$F,0),1),"")</f>
        <v/>
      </c>
    </row>
    <row r="22" spans="2:38" x14ac:dyDescent="0.25">
      <c r="B22">
        <v>17</v>
      </c>
      <c r="C22" s="7" t="str" cm="1">
        <f t="array" aca="1" ref="C22" ca="1">_xlfn.IFNA(INDEX(jkm_call_put!$L:$L,MATCH($B22&amp;C$2&amp;$A$1,jkm_call_put!$G:$G&amp;jkm_call_put!$O:$O&amp;jkm_call_put!$F:$F,0),1),"")</f>
        <v/>
      </c>
      <c r="D22" s="7" t="str" cm="1">
        <f t="array" aca="1" ref="D22" ca="1">_xlfn.IFNA(INDEX(jkm_call_put!$L:$L,MATCH($B22&amp;D$2&amp;$A$1,jkm_call_put!$G:$G&amp;jkm_call_put!$O:$O&amp;jkm_call_put!$F:$F,0),1),"")</f>
        <v/>
      </c>
      <c r="E22" s="7" cm="1">
        <f t="array" aca="1" ref="E22" ca="1">_xlfn.IFNA(INDEX(jkm_call_put!$L:$L,MATCH($B22&amp;E$2&amp;$A$1,jkm_call_put!$G:$G&amp;jkm_call_put!$O:$O&amp;jkm_call_put!$F:$F,0),1),"")</f>
        <v>75.230099999999993</v>
      </c>
      <c r="F22" s="7" cm="1">
        <f t="array" aca="1" ref="F22" ca="1">_xlfn.IFNA(INDEX(jkm_call_put!$L:$L,MATCH($B22&amp;F$2&amp;$A$1,jkm_call_put!$G:$G&amp;jkm_call_put!$O:$O&amp;jkm_call_put!$F:$F,0),1),"")</f>
        <v>77.641999999999996</v>
      </c>
      <c r="G22" s="7" cm="1">
        <f t="array" aca="1" ref="G22" ca="1">_xlfn.IFNA(INDEX(jkm_call_put!$L:$L,MATCH($B22&amp;G$2&amp;$A$1,jkm_call_put!$G:$G&amp;jkm_call_put!$O:$O&amp;jkm_call_put!$F:$F,0),1),"")</f>
        <v>79.266099999999994</v>
      </c>
      <c r="H22" s="7" t="str" cm="1">
        <f t="array" aca="1" ref="H22" ca="1">_xlfn.IFNA(INDEX(jkm_call_put!$L:$L,MATCH($B22&amp;H$2&amp;$A$1,jkm_call_put!$G:$G&amp;jkm_call_put!$O:$O&amp;jkm_call_put!$F:$F,0),1),"")</f>
        <v/>
      </c>
      <c r="I22" s="7" t="str" cm="1">
        <f t="array" aca="1" ref="I22" ca="1">_xlfn.IFNA(INDEX(jkm_call_put!$L:$L,MATCH($B22&amp;I$2&amp;$A$1,jkm_call_put!$G:$G&amp;jkm_call_put!$O:$O&amp;jkm_call_put!$F:$F,0),1),"")</f>
        <v/>
      </c>
      <c r="J22" s="7" t="str" cm="1">
        <f t="array" aca="1" ref="J22" ca="1">_xlfn.IFNA(INDEX(jkm_call_put!$L:$L,MATCH($B22&amp;J$2&amp;$A$1,jkm_call_put!$G:$G&amp;jkm_call_put!$O:$O&amp;jkm_call_put!$F:$F,0),1),"")</f>
        <v/>
      </c>
      <c r="K22" s="7" t="str" cm="1">
        <f t="array" aca="1" ref="K22" ca="1">_xlfn.IFNA(INDEX(jkm_call_put!$L:$L,MATCH($B22&amp;K$2&amp;$A$1,jkm_call_put!$G:$G&amp;jkm_call_put!$O:$O&amp;jkm_call_put!$F:$F,0),1),"")</f>
        <v/>
      </c>
      <c r="L22" s="7" t="str" cm="1">
        <f t="array" aca="1" ref="L22" ca="1">_xlfn.IFNA(INDEX(jkm_call_put!$L:$L,MATCH($B22&amp;L$2&amp;$A$1,jkm_call_put!$G:$G&amp;jkm_call_put!$O:$O&amp;jkm_call_put!$F:$F,0),1),"")</f>
        <v/>
      </c>
      <c r="M22" s="7" t="str" cm="1">
        <f t="array" aca="1" ref="M22" ca="1">_xlfn.IFNA(INDEX(jkm_call_put!$L:$L,MATCH($B22&amp;M$2&amp;$A$1,jkm_call_put!$G:$G&amp;jkm_call_put!$O:$O&amp;jkm_call_put!$F:$F,0),1),"")</f>
        <v/>
      </c>
      <c r="N22" s="7" t="str" cm="1">
        <f t="array" aca="1" ref="N22" ca="1">_xlfn.IFNA(INDEX(jkm_call_put!$L:$L,MATCH($B22&amp;N$2&amp;$A$1,jkm_call_put!$G:$G&amp;jkm_call_put!$O:$O&amp;jkm_call_put!$F:$F,0),1),"")</f>
        <v/>
      </c>
      <c r="O22" s="7" t="str" cm="1">
        <f t="array" aca="1" ref="O22" ca="1">_xlfn.IFNA(INDEX(jkm_call_put!$L:$L,MATCH($B22&amp;O$2&amp;$A$1,jkm_call_put!$G:$G&amp;jkm_call_put!$O:$O&amp;jkm_call_put!$F:$F,0),1),"")</f>
        <v/>
      </c>
      <c r="P22" s="7" t="str" cm="1">
        <f t="array" aca="1" ref="P22" ca="1">_xlfn.IFNA(INDEX(jkm_call_put!$L:$L,MATCH($B22&amp;P$2&amp;$A$1,jkm_call_put!$G:$G&amp;jkm_call_put!$O:$O&amp;jkm_call_put!$F:$F,0),1),"")</f>
        <v/>
      </c>
      <c r="Q22" s="7" t="str" cm="1">
        <f t="array" aca="1" ref="Q22" ca="1">_xlfn.IFNA(INDEX(jkm_call_put!$L:$L,MATCH($B22&amp;Q$2&amp;$A$1,jkm_call_put!$G:$G&amp;jkm_call_put!$O:$O&amp;jkm_call_put!$F:$F,0),1),"")</f>
        <v/>
      </c>
      <c r="R22" s="7" t="str" cm="1">
        <f t="array" aca="1" ref="R22" ca="1">_xlfn.IFNA(INDEX(jkm_call_put!$L:$L,MATCH($B22&amp;R$2&amp;$A$1,jkm_call_put!$G:$G&amp;jkm_call_put!$O:$O&amp;jkm_call_put!$F:$F,0),1),"")</f>
        <v/>
      </c>
      <c r="S22" s="7" t="str" cm="1">
        <f t="array" aca="1" ref="S22" ca="1">_xlfn.IFNA(INDEX(jkm_call_put!$L:$L,MATCH($B22&amp;S$2&amp;$A$1,jkm_call_put!$G:$G&amp;jkm_call_put!$O:$O&amp;jkm_call_put!$F:$F,0),1),"")</f>
        <v/>
      </c>
      <c r="T22" s="7" t="str" cm="1">
        <f t="array" aca="1" ref="T22" ca="1">_xlfn.IFNA(INDEX(jkm_call_put!$L:$L,MATCH($B22&amp;T$2&amp;$A$1,jkm_call_put!$G:$G&amp;jkm_call_put!$O:$O&amp;jkm_call_put!$F:$F,0),1),"")</f>
        <v/>
      </c>
      <c r="U22" s="7" t="str" cm="1">
        <f t="array" aca="1" ref="U22" ca="1">_xlfn.IFNA(INDEX(jkm_call_put!$L:$L,MATCH($B22&amp;U$2&amp;$A$1,jkm_call_put!$G:$G&amp;jkm_call_put!$O:$O&amp;jkm_call_put!$F:$F,0),1),"")</f>
        <v/>
      </c>
      <c r="V22" s="7" t="str" cm="1">
        <f t="array" aca="1" ref="V22" ca="1">_xlfn.IFNA(INDEX(jkm_call_put!$L:$L,MATCH($B22&amp;V$2&amp;$A$1,jkm_call_put!$G:$G&amp;jkm_call_put!$O:$O&amp;jkm_call_put!$F:$F,0),1),"")</f>
        <v/>
      </c>
      <c r="W22" s="7" t="str" cm="1">
        <f t="array" aca="1" ref="W22" ca="1">_xlfn.IFNA(INDEX(jkm_call_put!$L:$L,MATCH($B22&amp;W$2&amp;$A$1,jkm_call_put!$G:$G&amp;jkm_call_put!$O:$O&amp;jkm_call_put!$F:$F,0),1),"")</f>
        <v/>
      </c>
      <c r="X22" s="7" t="str" cm="1">
        <f t="array" aca="1" ref="X22" ca="1">_xlfn.IFNA(INDEX(jkm_call_put!$L:$L,MATCH($B22&amp;X$2&amp;$A$1,jkm_call_put!$G:$G&amp;jkm_call_put!$O:$O&amp;jkm_call_put!$F:$F,0),1),"")</f>
        <v/>
      </c>
      <c r="Y22" s="7" t="str" cm="1">
        <f t="array" aca="1" ref="Y22" ca="1">_xlfn.IFNA(INDEX(jkm_call_put!$L:$L,MATCH($B22&amp;Y$2&amp;$A$1,jkm_call_put!$G:$G&amp;jkm_call_put!$O:$O&amp;jkm_call_put!$F:$F,0),1),"")</f>
        <v/>
      </c>
      <c r="Z22" s="7" t="str" cm="1">
        <f t="array" aca="1" ref="Z22" ca="1">_xlfn.IFNA(INDEX(jkm_call_put!$L:$L,MATCH($B22&amp;Z$2&amp;$A$1,jkm_call_put!$G:$G&amp;jkm_call_put!$O:$O&amp;jkm_call_put!$F:$F,0),1),"")</f>
        <v/>
      </c>
      <c r="AA22" s="7" t="str" cm="1">
        <f t="array" aca="1" ref="AA22" ca="1">_xlfn.IFNA(INDEX(jkm_call_put!$L:$L,MATCH($B22&amp;AA$2&amp;$A$1,jkm_call_put!$G:$G&amp;jkm_call_put!$O:$O&amp;jkm_call_put!$F:$F,0),1),"")</f>
        <v/>
      </c>
      <c r="AB22" s="7" t="str" cm="1">
        <f t="array" aca="1" ref="AB22" ca="1">_xlfn.IFNA(INDEX(jkm_call_put!$L:$L,MATCH($B22&amp;AB$2&amp;$A$1,jkm_call_put!$G:$G&amp;jkm_call_put!$O:$O&amp;jkm_call_put!$F:$F,0),1),"")</f>
        <v/>
      </c>
      <c r="AC22" s="7" t="str" cm="1">
        <f t="array" aca="1" ref="AC22" ca="1">_xlfn.IFNA(INDEX(jkm_call_put!$L:$L,MATCH($B22&amp;AC$2&amp;$A$1,jkm_call_put!$G:$G&amp;jkm_call_put!$O:$O&amp;jkm_call_put!$F:$F,0),1),"")</f>
        <v/>
      </c>
      <c r="AD22" s="7" t="str" cm="1">
        <f t="array" aca="1" ref="AD22" ca="1">_xlfn.IFNA(INDEX(jkm_call_put!$L:$L,MATCH($B22&amp;AD$2&amp;$A$1,jkm_call_put!$G:$G&amp;jkm_call_put!$O:$O&amp;jkm_call_put!$F:$F,0),1),"")</f>
        <v/>
      </c>
      <c r="AE22" s="7" t="str" cm="1">
        <f t="array" aca="1" ref="AE22" ca="1">_xlfn.IFNA(INDEX(jkm_call_put!$L:$L,MATCH($B22&amp;AE$2&amp;$A$1,jkm_call_put!$G:$G&amp;jkm_call_put!$O:$O&amp;jkm_call_put!$F:$F,0),1),"")</f>
        <v/>
      </c>
      <c r="AF22" s="7" t="str" cm="1">
        <f t="array" aca="1" ref="AF22" ca="1">_xlfn.IFNA(INDEX(jkm_call_put!$L:$L,MATCH($B22&amp;AF$2&amp;$A$1,jkm_call_put!$G:$G&amp;jkm_call_put!$O:$O&amp;jkm_call_put!$F:$F,0),1),"")</f>
        <v/>
      </c>
      <c r="AG22" s="7" t="str" cm="1">
        <f t="array" aca="1" ref="AG22" ca="1">_xlfn.IFNA(INDEX(jkm_call_put!$L:$L,MATCH($B22&amp;AG$2&amp;$A$1,jkm_call_put!$G:$G&amp;jkm_call_put!$O:$O&amp;jkm_call_put!$F:$F,0),1),"")</f>
        <v/>
      </c>
      <c r="AH22" s="7" t="str" cm="1">
        <f t="array" aca="1" ref="AH22" ca="1">_xlfn.IFNA(INDEX(jkm_call_put!$L:$L,MATCH($B22&amp;AH$2&amp;$A$1,jkm_call_put!$G:$G&amp;jkm_call_put!$O:$O&amp;jkm_call_put!$F:$F,0),1),"")</f>
        <v/>
      </c>
      <c r="AI22" s="7" t="str" cm="1">
        <f t="array" aca="1" ref="AI22" ca="1">_xlfn.IFNA(INDEX(jkm_call_put!$L:$L,MATCH($B22&amp;AI$2&amp;$A$1,jkm_call_put!$G:$G&amp;jkm_call_put!$O:$O&amp;jkm_call_put!$F:$F,0),1),"")</f>
        <v/>
      </c>
      <c r="AJ22" s="7" t="str" cm="1">
        <f t="array" aca="1" ref="AJ22" ca="1">_xlfn.IFNA(INDEX(jkm_call_put!$L:$L,MATCH($B22&amp;AJ$2&amp;$A$1,jkm_call_put!$G:$G&amp;jkm_call_put!$O:$O&amp;jkm_call_put!$F:$F,0),1),"")</f>
        <v/>
      </c>
      <c r="AK22" s="7" t="str" cm="1">
        <f t="array" aca="1" ref="AK22" ca="1">_xlfn.IFNA(INDEX(jkm_call_put!$L:$L,MATCH($B22&amp;AK$2&amp;$A$1,jkm_call_put!$G:$G&amp;jkm_call_put!$O:$O&amp;jkm_call_put!$F:$F,0),1),"")</f>
        <v/>
      </c>
      <c r="AL22" s="7" t="str" cm="1">
        <f t="array" aca="1" ref="AL22" ca="1">_xlfn.IFNA(INDEX(jkm_call_put!$L:$L,MATCH($B22&amp;AL$2&amp;$A$1,jkm_call_put!$G:$G&amp;jkm_call_put!$O:$O&amp;jkm_call_put!$F:$F,0),1),"")</f>
        <v/>
      </c>
    </row>
    <row r="23" spans="2:38" x14ac:dyDescent="0.25">
      <c r="B23">
        <v>20</v>
      </c>
      <c r="C23" s="7" cm="1">
        <f t="array" aca="1" ref="C23" ca="1">_xlfn.IFNA(INDEX(jkm_call_put!$L:$L,MATCH($B23&amp;C$2&amp;$A$1,jkm_call_put!$G:$G&amp;jkm_call_put!$O:$O&amp;jkm_call_put!$F:$F,0),1),"")</f>
        <v>30.907</v>
      </c>
      <c r="D23" s="7" cm="1">
        <f t="array" aca="1" ref="D23" ca="1">_xlfn.IFNA(INDEX(jkm_call_put!$L:$L,MATCH($B23&amp;D$2&amp;$A$1,jkm_call_put!$G:$G&amp;jkm_call_put!$O:$O&amp;jkm_call_put!$F:$F,0),1),"")</f>
        <v>41.802700000000002</v>
      </c>
      <c r="E23" s="7" cm="1">
        <f t="array" aca="1" ref="E23" ca="1">_xlfn.IFNA(INDEX(jkm_call_put!$L:$L,MATCH($B23&amp;E$2&amp;$A$1,jkm_call_put!$G:$G&amp;jkm_call_put!$O:$O&amp;jkm_call_put!$F:$F,0),1),"")</f>
        <v>75.380200000000002</v>
      </c>
      <c r="F23" s="7" cm="1">
        <f t="array" aca="1" ref="F23" ca="1">_xlfn.IFNA(INDEX(jkm_call_put!$L:$L,MATCH($B23&amp;F$2&amp;$A$1,jkm_call_put!$G:$G&amp;jkm_call_put!$O:$O&amp;jkm_call_put!$F:$F,0),1),"")</f>
        <v>77.863900000000001</v>
      </c>
      <c r="G23" s="7" cm="1">
        <f t="array" aca="1" ref="G23" ca="1">_xlfn.IFNA(INDEX(jkm_call_put!$L:$L,MATCH($B23&amp;G$2&amp;$A$1,jkm_call_put!$G:$G&amp;jkm_call_put!$O:$O&amp;jkm_call_put!$F:$F,0),1),"")</f>
        <v>79.925899999999999</v>
      </c>
      <c r="H23" s="7" cm="1">
        <f t="array" aca="1" ref="H23" ca="1">_xlfn.IFNA(INDEX(jkm_call_put!$L:$L,MATCH($B23&amp;H$2&amp;$A$1,jkm_call_put!$G:$G&amp;jkm_call_put!$O:$O&amp;jkm_call_put!$F:$F,0),1),"")</f>
        <v>63.792000000000002</v>
      </c>
      <c r="I23" s="7" cm="1">
        <f t="array" aca="1" ref="I23" ca="1">_xlfn.IFNA(INDEX(jkm_call_put!$L:$L,MATCH($B23&amp;I$2&amp;$A$1,jkm_call_put!$G:$G&amp;jkm_call_put!$O:$O&amp;jkm_call_put!$F:$F,0),1),"")</f>
        <v>64.445499999999996</v>
      </c>
      <c r="J23" s="7" cm="1">
        <f t="array" aca="1" ref="J23" ca="1">_xlfn.IFNA(INDEX(jkm_call_put!$L:$L,MATCH($B23&amp;J$2&amp;$A$1,jkm_call_put!$G:$G&amp;jkm_call_put!$O:$O&amp;jkm_call_put!$F:$F,0),1),"")</f>
        <v>64.945499999999996</v>
      </c>
      <c r="K23" s="7" cm="1">
        <f t="array" aca="1" ref="K23" ca="1">_xlfn.IFNA(INDEX(jkm_call_put!$L:$L,MATCH($B23&amp;K$2&amp;$A$1,jkm_call_put!$G:$G&amp;jkm_call_put!$O:$O&amp;jkm_call_put!$F:$F,0),1),"")</f>
        <v>65.056299999999993</v>
      </c>
      <c r="L23" s="7" cm="1">
        <f t="array" aca="1" ref="L23" ca="1">_xlfn.IFNA(INDEX(jkm_call_put!$L:$L,MATCH($B23&amp;L$2&amp;$A$1,jkm_call_put!$G:$G&amp;jkm_call_put!$O:$O&amp;jkm_call_put!$F:$F,0),1),"")</f>
        <v>65.342699999999994</v>
      </c>
      <c r="M23" s="7" cm="1">
        <f t="array" aca="1" ref="M23" ca="1">_xlfn.IFNA(INDEX(jkm_call_put!$L:$L,MATCH($B23&amp;M$2&amp;$A$1,jkm_call_put!$G:$G&amp;jkm_call_put!$O:$O&amp;jkm_call_put!$F:$F,0),1),"")</f>
        <v>65.538700000000006</v>
      </c>
      <c r="N23" s="7" cm="1">
        <f t="array" aca="1" ref="N23" ca="1">_xlfn.IFNA(INDEX(jkm_call_put!$L:$L,MATCH($B23&amp;N$2&amp;$A$1,jkm_call_put!$G:$G&amp;jkm_call_put!$O:$O&amp;jkm_call_put!$F:$F,0),1),"")</f>
        <v>47.473300000000002</v>
      </c>
      <c r="O23" s="7" cm="1">
        <f t="array" aca="1" ref="O23" ca="1">_xlfn.IFNA(INDEX(jkm_call_put!$L:$L,MATCH($B23&amp;O$2&amp;$A$1,jkm_call_put!$G:$G&amp;jkm_call_put!$O:$O&amp;jkm_call_put!$F:$F,0),1),"")</f>
        <v>47.5077</v>
      </c>
      <c r="P23" s="7" cm="1">
        <f t="array" aca="1" ref="P23" ca="1">_xlfn.IFNA(INDEX(jkm_call_put!$L:$L,MATCH($B23&amp;P$2&amp;$A$1,jkm_call_put!$G:$G&amp;jkm_call_put!$O:$O&amp;jkm_call_put!$F:$F,0),1),"")</f>
        <v>47.7181</v>
      </c>
      <c r="Q23" s="7" cm="1">
        <f t="array" aca="1" ref="Q23" ca="1">_xlfn.IFNA(INDEX(jkm_call_put!$L:$L,MATCH($B23&amp;Q$2&amp;$A$1,jkm_call_put!$G:$G&amp;jkm_call_put!$O:$O&amp;jkm_call_put!$F:$F,0),1),"")</f>
        <v>47.669400000000003</v>
      </c>
      <c r="R23" s="7" cm="1">
        <f t="array" aca="1" ref="R23" ca="1">_xlfn.IFNA(INDEX(jkm_call_put!$L:$L,MATCH($B23&amp;R$2&amp;$A$1,jkm_call_put!$G:$G&amp;jkm_call_put!$O:$O&amp;jkm_call_put!$F:$F,0),1),"")</f>
        <v>47.638599999999997</v>
      </c>
      <c r="S23" s="7" cm="1">
        <f t="array" aca="1" ref="S23" ca="1">_xlfn.IFNA(INDEX(jkm_call_put!$L:$L,MATCH($B23&amp;S$2&amp;$A$1,jkm_call_put!$G:$G&amp;jkm_call_put!$O:$O&amp;jkm_call_put!$F:$F,0),1),"")</f>
        <v>47.739100000000001</v>
      </c>
      <c r="T23" s="7" cm="1">
        <f t="array" aca="1" ref="T23" ca="1">_xlfn.IFNA(INDEX(jkm_call_put!$L:$L,MATCH($B23&amp;T$2&amp;$A$1,jkm_call_put!$G:$G&amp;jkm_call_put!$O:$O&amp;jkm_call_put!$F:$F,0),1),"")</f>
        <v>34.996299999999998</v>
      </c>
      <c r="U23" s="7" cm="1">
        <f t="array" aca="1" ref="U23" ca="1">_xlfn.IFNA(INDEX(jkm_call_put!$L:$L,MATCH($B23&amp;U$2&amp;$A$1,jkm_call_put!$G:$G&amp;jkm_call_put!$O:$O&amp;jkm_call_put!$F:$F,0),1),"")</f>
        <v>34.887</v>
      </c>
      <c r="V23" s="7" cm="1">
        <f t="array" aca="1" ref="V23" ca="1">_xlfn.IFNA(INDEX(jkm_call_put!$L:$L,MATCH($B23&amp;V$2&amp;$A$1,jkm_call_put!$G:$G&amp;jkm_call_put!$O:$O&amp;jkm_call_put!$F:$F,0),1),"")</f>
        <v>34.755400000000002</v>
      </c>
      <c r="W23" s="7" t="str" cm="1">
        <f t="array" aca="1" ref="W23" ca="1">_xlfn.IFNA(INDEX(jkm_call_put!$L:$L,MATCH($B23&amp;W$2&amp;$A$1,jkm_call_put!$G:$G&amp;jkm_call_put!$O:$O&amp;jkm_call_put!$F:$F,0),1),"")</f>
        <v/>
      </c>
      <c r="X23" s="7" t="str" cm="1">
        <f t="array" aca="1" ref="X23" ca="1">_xlfn.IFNA(INDEX(jkm_call_put!$L:$L,MATCH($B23&amp;X$2&amp;$A$1,jkm_call_put!$G:$G&amp;jkm_call_put!$O:$O&amp;jkm_call_put!$F:$F,0),1),"")</f>
        <v/>
      </c>
      <c r="Y23" s="7" t="str" cm="1">
        <f t="array" aca="1" ref="Y23" ca="1">_xlfn.IFNA(INDEX(jkm_call_put!$L:$L,MATCH($B23&amp;Y$2&amp;$A$1,jkm_call_put!$G:$G&amp;jkm_call_put!$O:$O&amp;jkm_call_put!$F:$F,0),1),"")</f>
        <v/>
      </c>
      <c r="Z23" s="7" t="str" cm="1">
        <f t="array" aca="1" ref="Z23" ca="1">_xlfn.IFNA(INDEX(jkm_call_put!$L:$L,MATCH($B23&amp;Z$2&amp;$A$1,jkm_call_put!$G:$G&amp;jkm_call_put!$O:$O&amp;jkm_call_put!$F:$F,0),1),"")</f>
        <v/>
      </c>
      <c r="AA23" s="7" t="str" cm="1">
        <f t="array" aca="1" ref="AA23" ca="1">_xlfn.IFNA(INDEX(jkm_call_put!$L:$L,MATCH($B23&amp;AA$2&amp;$A$1,jkm_call_put!$G:$G&amp;jkm_call_put!$O:$O&amp;jkm_call_put!$F:$F,0),1),"")</f>
        <v/>
      </c>
      <c r="AB23" s="7" t="str" cm="1">
        <f t="array" aca="1" ref="AB23" ca="1">_xlfn.IFNA(INDEX(jkm_call_put!$L:$L,MATCH($B23&amp;AB$2&amp;$A$1,jkm_call_put!$G:$G&amp;jkm_call_put!$O:$O&amp;jkm_call_put!$F:$F,0),1),"")</f>
        <v/>
      </c>
      <c r="AC23" s="7" t="str" cm="1">
        <f t="array" aca="1" ref="AC23" ca="1">_xlfn.IFNA(INDEX(jkm_call_put!$L:$L,MATCH($B23&amp;AC$2&amp;$A$1,jkm_call_put!$G:$G&amp;jkm_call_put!$O:$O&amp;jkm_call_put!$F:$F,0),1),"")</f>
        <v/>
      </c>
      <c r="AD23" s="7" t="str" cm="1">
        <f t="array" aca="1" ref="AD23" ca="1">_xlfn.IFNA(INDEX(jkm_call_put!$L:$L,MATCH($B23&amp;AD$2&amp;$A$1,jkm_call_put!$G:$G&amp;jkm_call_put!$O:$O&amp;jkm_call_put!$F:$F,0),1),"")</f>
        <v/>
      </c>
      <c r="AE23" s="7" t="str" cm="1">
        <f t="array" aca="1" ref="AE23" ca="1">_xlfn.IFNA(INDEX(jkm_call_put!$L:$L,MATCH($B23&amp;AE$2&amp;$A$1,jkm_call_put!$G:$G&amp;jkm_call_put!$O:$O&amp;jkm_call_put!$F:$F,0),1),"")</f>
        <v/>
      </c>
      <c r="AF23" s="7" t="str" cm="1">
        <f t="array" aca="1" ref="AF23" ca="1">_xlfn.IFNA(INDEX(jkm_call_put!$L:$L,MATCH($B23&amp;AF$2&amp;$A$1,jkm_call_put!$G:$G&amp;jkm_call_put!$O:$O&amp;jkm_call_put!$F:$F,0),1),"")</f>
        <v/>
      </c>
      <c r="AG23" s="7" t="str" cm="1">
        <f t="array" aca="1" ref="AG23" ca="1">_xlfn.IFNA(INDEX(jkm_call_put!$L:$L,MATCH($B23&amp;AG$2&amp;$A$1,jkm_call_put!$G:$G&amp;jkm_call_put!$O:$O&amp;jkm_call_put!$F:$F,0),1),"")</f>
        <v/>
      </c>
      <c r="AH23" s="7" t="str" cm="1">
        <f t="array" aca="1" ref="AH23" ca="1">_xlfn.IFNA(INDEX(jkm_call_put!$L:$L,MATCH($B23&amp;AH$2&amp;$A$1,jkm_call_put!$G:$G&amp;jkm_call_put!$O:$O&amp;jkm_call_put!$F:$F,0),1),"")</f>
        <v/>
      </c>
      <c r="AI23" s="7" t="str" cm="1">
        <f t="array" aca="1" ref="AI23" ca="1">_xlfn.IFNA(INDEX(jkm_call_put!$L:$L,MATCH($B23&amp;AI$2&amp;$A$1,jkm_call_put!$G:$G&amp;jkm_call_put!$O:$O&amp;jkm_call_put!$F:$F,0),1),"")</f>
        <v/>
      </c>
      <c r="AJ23" s="7" t="str" cm="1">
        <f t="array" aca="1" ref="AJ23" ca="1">_xlfn.IFNA(INDEX(jkm_call_put!$L:$L,MATCH($B23&amp;AJ$2&amp;$A$1,jkm_call_put!$G:$G&amp;jkm_call_put!$O:$O&amp;jkm_call_put!$F:$F,0),1),"")</f>
        <v/>
      </c>
      <c r="AK23" s="7" t="str" cm="1">
        <f t="array" aca="1" ref="AK23" ca="1">_xlfn.IFNA(INDEX(jkm_call_put!$L:$L,MATCH($B23&amp;AK$2&amp;$A$1,jkm_call_put!$G:$G&amp;jkm_call_put!$O:$O&amp;jkm_call_put!$F:$F,0),1),"")</f>
        <v/>
      </c>
      <c r="AL23" s="7" t="str" cm="1">
        <f t="array" aca="1" ref="AL23" ca="1">_xlfn.IFNA(INDEX(jkm_call_put!$L:$L,MATCH($B23&amp;AL$2&amp;$A$1,jkm_call_put!$G:$G&amp;jkm_call_put!$O:$O&amp;jkm_call_put!$F:$F,0),1),"")</f>
        <v/>
      </c>
    </row>
    <row r="24" spans="2:38" x14ac:dyDescent="0.25">
      <c r="B24">
        <v>25</v>
      </c>
      <c r="C24" s="7" cm="1">
        <f t="array" aca="1" ref="C24" ca="1">_xlfn.IFNA(INDEX(jkm_call_put!$L:$L,MATCH($B24&amp;C$2&amp;$A$1,jkm_call_put!$G:$G&amp;jkm_call_put!$O:$O&amp;jkm_call_put!$F:$F,0),1),"")</f>
        <v>31.616099999999999</v>
      </c>
      <c r="D24" s="7" cm="1">
        <f t="array" aca="1" ref="D24" ca="1">_xlfn.IFNA(INDEX(jkm_call_put!$L:$L,MATCH($B24&amp;D$2&amp;$A$1,jkm_call_put!$G:$G&amp;jkm_call_put!$O:$O&amp;jkm_call_put!$F:$F,0),1),"")</f>
        <v>41.1952</v>
      </c>
      <c r="E24" s="7" cm="1">
        <f t="array" aca="1" ref="E24" ca="1">_xlfn.IFNA(INDEX(jkm_call_put!$L:$L,MATCH($B24&amp;E$2&amp;$A$1,jkm_call_put!$G:$G&amp;jkm_call_put!$O:$O&amp;jkm_call_put!$F:$F,0),1),"")</f>
        <v>75.823800000000006</v>
      </c>
      <c r="F24" s="7" cm="1">
        <f t="array" aca="1" ref="F24" ca="1">_xlfn.IFNA(INDEX(jkm_call_put!$L:$L,MATCH($B24&amp;F$2&amp;$A$1,jkm_call_put!$G:$G&amp;jkm_call_put!$O:$O&amp;jkm_call_put!$F:$F,0),1),"")</f>
        <v>78.393100000000004</v>
      </c>
      <c r="G24" s="7" cm="1">
        <f t="array" aca="1" ref="G24" ca="1">_xlfn.IFNA(INDEX(jkm_call_put!$L:$L,MATCH($B24&amp;G$2&amp;$A$1,jkm_call_put!$G:$G&amp;jkm_call_put!$O:$O&amp;jkm_call_put!$F:$F,0),1),"")</f>
        <v>81.280500000000004</v>
      </c>
      <c r="H24" s="7" cm="1">
        <f t="array" aca="1" ref="H24" ca="1">_xlfn.IFNA(INDEX(jkm_call_put!$L:$L,MATCH($B24&amp;H$2&amp;$A$1,jkm_call_put!$G:$G&amp;jkm_call_put!$O:$O&amp;jkm_call_put!$F:$F,0),1),"")</f>
        <v>63.9026</v>
      </c>
      <c r="I24" s="7" cm="1">
        <f t="array" aca="1" ref="I24" ca="1">_xlfn.IFNA(INDEX(jkm_call_put!$L:$L,MATCH($B24&amp;I$2&amp;$A$1,jkm_call_put!$G:$G&amp;jkm_call_put!$O:$O&amp;jkm_call_put!$F:$F,0),1),"")</f>
        <v>64.578800000000001</v>
      </c>
      <c r="J24" s="7" cm="1">
        <f t="array" aca="1" ref="J24" ca="1">_xlfn.IFNA(INDEX(jkm_call_put!$L:$L,MATCH($B24&amp;J$2&amp;$A$1,jkm_call_put!$G:$G&amp;jkm_call_put!$O:$O&amp;jkm_call_put!$F:$F,0),1),"")</f>
        <v>65.1066</v>
      </c>
      <c r="K24" s="7" cm="1">
        <f t="array" aca="1" ref="K24" ca="1">_xlfn.IFNA(INDEX(jkm_call_put!$L:$L,MATCH($B24&amp;K$2&amp;$A$1,jkm_call_put!$G:$G&amp;jkm_call_put!$O:$O&amp;jkm_call_put!$F:$F,0),1),"")</f>
        <v>65.212800000000001</v>
      </c>
      <c r="L24" s="7" t="str" cm="1">
        <f t="array" aca="1" ref="L24" ca="1">_xlfn.IFNA(INDEX(jkm_call_put!$L:$L,MATCH($B24&amp;L$2&amp;$A$1,jkm_call_put!$G:$G&amp;jkm_call_put!$O:$O&amp;jkm_call_put!$F:$F,0),1),"")</f>
        <v/>
      </c>
      <c r="M24" s="7" t="str" cm="1">
        <f t="array" aca="1" ref="M24" ca="1">_xlfn.IFNA(INDEX(jkm_call_put!$L:$L,MATCH($B24&amp;M$2&amp;$A$1,jkm_call_put!$G:$G&amp;jkm_call_put!$O:$O&amp;jkm_call_put!$F:$F,0),1),"")</f>
        <v/>
      </c>
      <c r="N24" s="7" t="str" cm="1">
        <f t="array" aca="1" ref="N24" ca="1">_xlfn.IFNA(INDEX(jkm_call_put!$L:$L,MATCH($B24&amp;N$2&amp;$A$1,jkm_call_put!$G:$G&amp;jkm_call_put!$O:$O&amp;jkm_call_put!$F:$F,0),1),"")</f>
        <v/>
      </c>
      <c r="O24" s="7" t="str" cm="1">
        <f t="array" aca="1" ref="O24" ca="1">_xlfn.IFNA(INDEX(jkm_call_put!$L:$L,MATCH($B24&amp;O$2&amp;$A$1,jkm_call_put!$G:$G&amp;jkm_call_put!$O:$O&amp;jkm_call_put!$F:$F,0),1),"")</f>
        <v/>
      </c>
      <c r="P24" s="7" t="str" cm="1">
        <f t="array" aca="1" ref="P24" ca="1">_xlfn.IFNA(INDEX(jkm_call_put!$L:$L,MATCH($B24&amp;P$2&amp;$A$1,jkm_call_put!$G:$G&amp;jkm_call_put!$O:$O&amp;jkm_call_put!$F:$F,0),1),"")</f>
        <v/>
      </c>
      <c r="Q24" s="7" t="str" cm="1">
        <f t="array" aca="1" ref="Q24" ca="1">_xlfn.IFNA(INDEX(jkm_call_put!$L:$L,MATCH($B24&amp;Q$2&amp;$A$1,jkm_call_put!$G:$G&amp;jkm_call_put!$O:$O&amp;jkm_call_put!$F:$F,0),1),"")</f>
        <v/>
      </c>
      <c r="R24" s="7" t="str" cm="1">
        <f t="array" aca="1" ref="R24" ca="1">_xlfn.IFNA(INDEX(jkm_call_put!$L:$L,MATCH($B24&amp;R$2&amp;$A$1,jkm_call_put!$G:$G&amp;jkm_call_put!$O:$O&amp;jkm_call_put!$F:$F,0),1),"")</f>
        <v/>
      </c>
      <c r="S24" s="7" t="str" cm="1">
        <f t="array" aca="1" ref="S24" ca="1">_xlfn.IFNA(INDEX(jkm_call_put!$L:$L,MATCH($B24&amp;S$2&amp;$A$1,jkm_call_put!$G:$G&amp;jkm_call_put!$O:$O&amp;jkm_call_put!$F:$F,0),1),"")</f>
        <v/>
      </c>
      <c r="T24" s="7" t="str" cm="1">
        <f t="array" aca="1" ref="T24" ca="1">_xlfn.IFNA(INDEX(jkm_call_put!$L:$L,MATCH($B24&amp;T$2&amp;$A$1,jkm_call_put!$G:$G&amp;jkm_call_put!$O:$O&amp;jkm_call_put!$F:$F,0),1),"")</f>
        <v/>
      </c>
      <c r="U24" s="7" t="str" cm="1">
        <f t="array" aca="1" ref="U24" ca="1">_xlfn.IFNA(INDEX(jkm_call_put!$L:$L,MATCH($B24&amp;U$2&amp;$A$1,jkm_call_put!$G:$G&amp;jkm_call_put!$O:$O&amp;jkm_call_put!$F:$F,0),1),"")</f>
        <v/>
      </c>
      <c r="V24" s="7" t="str" cm="1">
        <f t="array" aca="1" ref="V24" ca="1">_xlfn.IFNA(INDEX(jkm_call_put!$L:$L,MATCH($B24&amp;V$2&amp;$A$1,jkm_call_put!$G:$G&amp;jkm_call_put!$O:$O&amp;jkm_call_put!$F:$F,0),1),"")</f>
        <v/>
      </c>
      <c r="W24" s="7" t="str" cm="1">
        <f t="array" aca="1" ref="W24" ca="1">_xlfn.IFNA(INDEX(jkm_call_put!$L:$L,MATCH($B24&amp;W$2&amp;$A$1,jkm_call_put!$G:$G&amp;jkm_call_put!$O:$O&amp;jkm_call_put!$F:$F,0),1),"")</f>
        <v/>
      </c>
      <c r="X24" s="7" t="str" cm="1">
        <f t="array" aca="1" ref="X24" ca="1">_xlfn.IFNA(INDEX(jkm_call_put!$L:$L,MATCH($B24&amp;X$2&amp;$A$1,jkm_call_put!$G:$G&amp;jkm_call_put!$O:$O&amp;jkm_call_put!$F:$F,0),1),"")</f>
        <v/>
      </c>
      <c r="Y24" s="7" t="str" cm="1">
        <f t="array" aca="1" ref="Y24" ca="1">_xlfn.IFNA(INDEX(jkm_call_put!$L:$L,MATCH($B24&amp;Y$2&amp;$A$1,jkm_call_put!$G:$G&amp;jkm_call_put!$O:$O&amp;jkm_call_put!$F:$F,0),1),"")</f>
        <v/>
      </c>
      <c r="Z24" s="7" t="str" cm="1">
        <f t="array" aca="1" ref="Z24" ca="1">_xlfn.IFNA(INDEX(jkm_call_put!$L:$L,MATCH($B24&amp;Z$2&amp;$A$1,jkm_call_put!$G:$G&amp;jkm_call_put!$O:$O&amp;jkm_call_put!$F:$F,0),1),"")</f>
        <v/>
      </c>
      <c r="AA24" s="7" t="str" cm="1">
        <f t="array" aca="1" ref="AA24" ca="1">_xlfn.IFNA(INDEX(jkm_call_put!$L:$L,MATCH($B24&amp;AA$2&amp;$A$1,jkm_call_put!$G:$G&amp;jkm_call_put!$O:$O&amp;jkm_call_put!$F:$F,0),1),"")</f>
        <v/>
      </c>
      <c r="AB24" s="7" t="str" cm="1">
        <f t="array" aca="1" ref="AB24" ca="1">_xlfn.IFNA(INDEX(jkm_call_put!$L:$L,MATCH($B24&amp;AB$2&amp;$A$1,jkm_call_put!$G:$G&amp;jkm_call_put!$O:$O&amp;jkm_call_put!$F:$F,0),1),"")</f>
        <v/>
      </c>
      <c r="AC24" s="7" t="str" cm="1">
        <f t="array" aca="1" ref="AC24" ca="1">_xlfn.IFNA(INDEX(jkm_call_put!$L:$L,MATCH($B24&amp;AC$2&amp;$A$1,jkm_call_put!$G:$G&amp;jkm_call_put!$O:$O&amp;jkm_call_put!$F:$F,0),1),"")</f>
        <v/>
      </c>
      <c r="AD24" s="7" t="str" cm="1">
        <f t="array" aca="1" ref="AD24" ca="1">_xlfn.IFNA(INDEX(jkm_call_put!$L:$L,MATCH($B24&amp;AD$2&amp;$A$1,jkm_call_put!$G:$G&amp;jkm_call_put!$O:$O&amp;jkm_call_put!$F:$F,0),1),"")</f>
        <v/>
      </c>
      <c r="AE24" s="7" t="str" cm="1">
        <f t="array" aca="1" ref="AE24" ca="1">_xlfn.IFNA(INDEX(jkm_call_put!$L:$L,MATCH($B24&amp;AE$2&amp;$A$1,jkm_call_put!$G:$G&amp;jkm_call_put!$O:$O&amp;jkm_call_put!$F:$F,0),1),"")</f>
        <v/>
      </c>
      <c r="AF24" s="7" t="str" cm="1">
        <f t="array" aca="1" ref="AF24" ca="1">_xlfn.IFNA(INDEX(jkm_call_put!$L:$L,MATCH($B24&amp;AF$2&amp;$A$1,jkm_call_put!$G:$G&amp;jkm_call_put!$O:$O&amp;jkm_call_put!$F:$F,0),1),"")</f>
        <v/>
      </c>
      <c r="AG24" s="7" t="str" cm="1">
        <f t="array" aca="1" ref="AG24" ca="1">_xlfn.IFNA(INDEX(jkm_call_put!$L:$L,MATCH($B24&amp;AG$2&amp;$A$1,jkm_call_put!$G:$G&amp;jkm_call_put!$O:$O&amp;jkm_call_put!$F:$F,0),1),"")</f>
        <v/>
      </c>
      <c r="AH24" s="7" t="str" cm="1">
        <f t="array" aca="1" ref="AH24" ca="1">_xlfn.IFNA(INDEX(jkm_call_put!$L:$L,MATCH($B24&amp;AH$2&amp;$A$1,jkm_call_put!$G:$G&amp;jkm_call_put!$O:$O&amp;jkm_call_put!$F:$F,0),1),"")</f>
        <v/>
      </c>
      <c r="AI24" s="7" t="str" cm="1">
        <f t="array" aca="1" ref="AI24" ca="1">_xlfn.IFNA(INDEX(jkm_call_put!$L:$L,MATCH($B24&amp;AI$2&amp;$A$1,jkm_call_put!$G:$G&amp;jkm_call_put!$O:$O&amp;jkm_call_put!$F:$F,0),1),"")</f>
        <v/>
      </c>
      <c r="AJ24" s="7" t="str" cm="1">
        <f t="array" aca="1" ref="AJ24" ca="1">_xlfn.IFNA(INDEX(jkm_call_put!$L:$L,MATCH($B24&amp;AJ$2&amp;$A$1,jkm_call_put!$G:$G&amp;jkm_call_put!$O:$O&amp;jkm_call_put!$F:$F,0),1),"")</f>
        <v/>
      </c>
      <c r="AK24" s="7" t="str" cm="1">
        <f t="array" aca="1" ref="AK24" ca="1">_xlfn.IFNA(INDEX(jkm_call_put!$L:$L,MATCH($B24&amp;AK$2&amp;$A$1,jkm_call_put!$G:$G&amp;jkm_call_put!$O:$O&amp;jkm_call_put!$F:$F,0),1),"")</f>
        <v/>
      </c>
      <c r="AL24" s="7" t="str" cm="1">
        <f t="array" aca="1" ref="AL24" ca="1">_xlfn.IFNA(INDEX(jkm_call_put!$L:$L,MATCH($B24&amp;AL$2&amp;$A$1,jkm_call_put!$G:$G&amp;jkm_call_put!$O:$O&amp;jkm_call_put!$F:$F,0),1),"")</f>
        <v/>
      </c>
    </row>
    <row r="25" spans="2:38" x14ac:dyDescent="0.25">
      <c r="B25">
        <v>0</v>
      </c>
      <c r="C25" s="7" t="str" cm="1">
        <f t="array" aca="1" ref="C25" ca="1">_xlfn.IFNA(INDEX(jkm_call_put!$L:$L,MATCH($B25&amp;C$2&amp;$A$1,jkm_call_put!$G:$G&amp;jkm_call_put!$O:$O&amp;jkm_call_put!$F:$F,0),1),"")</f>
        <v/>
      </c>
      <c r="D25" s="7" t="str" cm="1">
        <f t="array" aca="1" ref="D25" ca="1">_xlfn.IFNA(INDEX(jkm_call_put!$L:$L,MATCH($B25&amp;D$2&amp;$A$1,jkm_call_put!$G:$G&amp;jkm_call_put!$O:$O&amp;jkm_call_put!$F:$F,0),1),"")</f>
        <v/>
      </c>
      <c r="E25" s="7" t="str" cm="1">
        <f t="array" aca="1" ref="E25" ca="1">_xlfn.IFNA(INDEX(jkm_call_put!$L:$L,MATCH($B25&amp;E$2&amp;$A$1,jkm_call_put!$G:$G&amp;jkm_call_put!$O:$O&amp;jkm_call_put!$F:$F,0),1),"")</f>
        <v/>
      </c>
      <c r="F25" s="7" t="str" cm="1">
        <f t="array" aca="1" ref="F25" ca="1">_xlfn.IFNA(INDEX(jkm_call_put!$L:$L,MATCH($B25&amp;F$2&amp;$A$1,jkm_call_put!$G:$G&amp;jkm_call_put!$O:$O&amp;jkm_call_put!$F:$F,0),1),"")</f>
        <v/>
      </c>
      <c r="G25" s="7" t="str" cm="1">
        <f t="array" aca="1" ref="G25" ca="1">_xlfn.IFNA(INDEX(jkm_call_put!$L:$L,MATCH($B25&amp;G$2&amp;$A$1,jkm_call_put!$G:$G&amp;jkm_call_put!$O:$O&amp;jkm_call_put!$F:$F,0),1),"")</f>
        <v/>
      </c>
      <c r="H25" s="7" t="str" cm="1">
        <f t="array" aca="1" ref="H25" ca="1">_xlfn.IFNA(INDEX(jkm_call_put!$L:$L,MATCH($B25&amp;H$2&amp;$A$1,jkm_call_put!$G:$G&amp;jkm_call_put!$O:$O&amp;jkm_call_put!$F:$F,0),1),"")</f>
        <v/>
      </c>
      <c r="I25" s="7" t="str" cm="1">
        <f t="array" aca="1" ref="I25" ca="1">_xlfn.IFNA(INDEX(jkm_call_put!$L:$L,MATCH($B25&amp;I$2&amp;$A$1,jkm_call_put!$G:$G&amp;jkm_call_put!$O:$O&amp;jkm_call_put!$F:$F,0),1),"")</f>
        <v/>
      </c>
      <c r="J25" s="7" t="str" cm="1">
        <f t="array" aca="1" ref="J25" ca="1">_xlfn.IFNA(INDEX(jkm_call_put!$L:$L,MATCH($B25&amp;J$2&amp;$A$1,jkm_call_put!$G:$G&amp;jkm_call_put!$O:$O&amp;jkm_call_put!$F:$F,0),1),"")</f>
        <v/>
      </c>
      <c r="K25" s="7" t="str" cm="1">
        <f t="array" aca="1" ref="K25" ca="1">_xlfn.IFNA(INDEX(jkm_call_put!$L:$L,MATCH($B25&amp;K$2&amp;$A$1,jkm_call_put!$G:$G&amp;jkm_call_put!$O:$O&amp;jkm_call_put!$F:$F,0),1),"")</f>
        <v/>
      </c>
      <c r="L25" s="7" t="str" cm="1">
        <f t="array" aca="1" ref="L25" ca="1">_xlfn.IFNA(INDEX(jkm_call_put!$L:$L,MATCH($B25&amp;L$2&amp;$A$1,jkm_call_put!$G:$G&amp;jkm_call_put!$O:$O&amp;jkm_call_put!$F:$F,0),1),"")</f>
        <v/>
      </c>
      <c r="M25" s="7" t="str" cm="1">
        <f t="array" aca="1" ref="M25" ca="1">_xlfn.IFNA(INDEX(jkm_call_put!$L:$L,MATCH($B25&amp;M$2&amp;$A$1,jkm_call_put!$G:$G&amp;jkm_call_put!$O:$O&amp;jkm_call_put!$F:$F,0),1),"")</f>
        <v/>
      </c>
      <c r="N25" s="7" t="str" cm="1">
        <f t="array" aca="1" ref="N25" ca="1">_xlfn.IFNA(INDEX(jkm_call_put!$L:$L,MATCH($B25&amp;N$2&amp;$A$1,jkm_call_put!$G:$G&amp;jkm_call_put!$O:$O&amp;jkm_call_put!$F:$F,0),1),"")</f>
        <v/>
      </c>
      <c r="O25" s="7" t="str" cm="1">
        <f t="array" aca="1" ref="O25" ca="1">_xlfn.IFNA(INDEX(jkm_call_put!$L:$L,MATCH($B25&amp;O$2&amp;$A$1,jkm_call_put!$G:$G&amp;jkm_call_put!$O:$O&amp;jkm_call_put!$F:$F,0),1),"")</f>
        <v/>
      </c>
      <c r="P25" s="7" t="str" cm="1">
        <f t="array" aca="1" ref="P25" ca="1">_xlfn.IFNA(INDEX(jkm_call_put!$L:$L,MATCH($B25&amp;P$2&amp;$A$1,jkm_call_put!$G:$G&amp;jkm_call_put!$O:$O&amp;jkm_call_put!$F:$F,0),1),"")</f>
        <v/>
      </c>
      <c r="Q25" s="7" t="str" cm="1">
        <f t="array" aca="1" ref="Q25" ca="1">_xlfn.IFNA(INDEX(jkm_call_put!$L:$L,MATCH($B25&amp;Q$2&amp;$A$1,jkm_call_put!$G:$G&amp;jkm_call_put!$O:$O&amp;jkm_call_put!$F:$F,0),1),"")</f>
        <v/>
      </c>
      <c r="R25" s="7" t="str" cm="1">
        <f t="array" aca="1" ref="R25" ca="1">_xlfn.IFNA(INDEX(jkm_call_put!$L:$L,MATCH($B25&amp;R$2&amp;$A$1,jkm_call_put!$G:$G&amp;jkm_call_put!$O:$O&amp;jkm_call_put!$F:$F,0),1),"")</f>
        <v/>
      </c>
      <c r="S25" s="7" t="str" cm="1">
        <f t="array" aca="1" ref="S25" ca="1">_xlfn.IFNA(INDEX(jkm_call_put!$L:$L,MATCH($B25&amp;S$2&amp;$A$1,jkm_call_put!$G:$G&amp;jkm_call_put!$O:$O&amp;jkm_call_put!$F:$F,0),1),"")</f>
        <v/>
      </c>
      <c r="T25" s="7" t="str" cm="1">
        <f t="array" aca="1" ref="T25" ca="1">_xlfn.IFNA(INDEX(jkm_call_put!$L:$L,MATCH($B25&amp;T$2&amp;$A$1,jkm_call_put!$G:$G&amp;jkm_call_put!$O:$O&amp;jkm_call_put!$F:$F,0),1),"")</f>
        <v/>
      </c>
      <c r="U25" s="7" t="str" cm="1">
        <f t="array" aca="1" ref="U25" ca="1">_xlfn.IFNA(INDEX(jkm_call_put!$L:$L,MATCH($B25&amp;U$2&amp;$A$1,jkm_call_put!$G:$G&amp;jkm_call_put!$O:$O&amp;jkm_call_put!$F:$F,0),1),"")</f>
        <v/>
      </c>
      <c r="V25" s="7" t="str" cm="1">
        <f t="array" aca="1" ref="V25" ca="1">_xlfn.IFNA(INDEX(jkm_call_put!$L:$L,MATCH($B25&amp;V$2&amp;$A$1,jkm_call_put!$G:$G&amp;jkm_call_put!$O:$O&amp;jkm_call_put!$F:$F,0),1),"")</f>
        <v/>
      </c>
      <c r="W25" s="7" t="str" cm="1">
        <f t="array" aca="1" ref="W25" ca="1">_xlfn.IFNA(INDEX(jkm_call_put!$L:$L,MATCH($B25&amp;W$2&amp;$A$1,jkm_call_put!$G:$G&amp;jkm_call_put!$O:$O&amp;jkm_call_put!$F:$F,0),1),"")</f>
        <v/>
      </c>
      <c r="X25" s="7" t="str" cm="1">
        <f t="array" aca="1" ref="X25" ca="1">_xlfn.IFNA(INDEX(jkm_call_put!$L:$L,MATCH($B25&amp;X$2&amp;$A$1,jkm_call_put!$G:$G&amp;jkm_call_put!$O:$O&amp;jkm_call_put!$F:$F,0),1),"")</f>
        <v/>
      </c>
      <c r="Y25" s="7" t="str" cm="1">
        <f t="array" aca="1" ref="Y25" ca="1">_xlfn.IFNA(INDEX(jkm_call_put!$L:$L,MATCH($B25&amp;Y$2&amp;$A$1,jkm_call_put!$G:$G&amp;jkm_call_put!$O:$O&amp;jkm_call_put!$F:$F,0),1),"")</f>
        <v/>
      </c>
      <c r="Z25" s="7" t="str" cm="1">
        <f t="array" aca="1" ref="Z25" ca="1">_xlfn.IFNA(INDEX(jkm_call_put!$L:$L,MATCH($B25&amp;Z$2&amp;$A$1,jkm_call_put!$G:$G&amp;jkm_call_put!$O:$O&amp;jkm_call_put!$F:$F,0),1),"")</f>
        <v/>
      </c>
      <c r="AA25" s="7" t="str" cm="1">
        <f t="array" aca="1" ref="AA25" ca="1">_xlfn.IFNA(INDEX(jkm_call_put!$L:$L,MATCH($B25&amp;AA$2&amp;$A$1,jkm_call_put!$G:$G&amp;jkm_call_put!$O:$O&amp;jkm_call_put!$F:$F,0),1),"")</f>
        <v/>
      </c>
      <c r="AB25" s="7" t="str" cm="1">
        <f t="array" aca="1" ref="AB25" ca="1">_xlfn.IFNA(INDEX(jkm_call_put!$L:$L,MATCH($B25&amp;AB$2&amp;$A$1,jkm_call_put!$G:$G&amp;jkm_call_put!$O:$O&amp;jkm_call_put!$F:$F,0),1),"")</f>
        <v/>
      </c>
      <c r="AC25" s="7" t="str" cm="1">
        <f t="array" aca="1" ref="AC25" ca="1">_xlfn.IFNA(INDEX(jkm_call_put!$L:$L,MATCH($B25&amp;AC$2&amp;$A$1,jkm_call_put!$G:$G&amp;jkm_call_put!$O:$O&amp;jkm_call_put!$F:$F,0),1),"")</f>
        <v/>
      </c>
      <c r="AD25" s="7" t="str" cm="1">
        <f t="array" aca="1" ref="AD25" ca="1">_xlfn.IFNA(INDEX(jkm_call_put!$L:$L,MATCH($B25&amp;AD$2&amp;$A$1,jkm_call_put!$G:$G&amp;jkm_call_put!$O:$O&amp;jkm_call_put!$F:$F,0),1),"")</f>
        <v/>
      </c>
      <c r="AE25" s="7" t="str" cm="1">
        <f t="array" aca="1" ref="AE25" ca="1">_xlfn.IFNA(INDEX(jkm_call_put!$L:$L,MATCH($B25&amp;AE$2&amp;$A$1,jkm_call_put!$G:$G&amp;jkm_call_put!$O:$O&amp;jkm_call_put!$F:$F,0),1),"")</f>
        <v/>
      </c>
      <c r="AF25" s="7" t="str" cm="1">
        <f t="array" aca="1" ref="AF25" ca="1">_xlfn.IFNA(INDEX(jkm_call_put!$L:$L,MATCH($B25&amp;AF$2&amp;$A$1,jkm_call_put!$G:$G&amp;jkm_call_put!$O:$O&amp;jkm_call_put!$F:$F,0),1),"")</f>
        <v/>
      </c>
      <c r="AG25" s="7" t="str" cm="1">
        <f t="array" aca="1" ref="AG25" ca="1">_xlfn.IFNA(INDEX(jkm_call_put!$L:$L,MATCH($B25&amp;AG$2&amp;$A$1,jkm_call_put!$G:$G&amp;jkm_call_put!$O:$O&amp;jkm_call_put!$F:$F,0),1),"")</f>
        <v/>
      </c>
      <c r="AH25" s="7" t="str" cm="1">
        <f t="array" aca="1" ref="AH25" ca="1">_xlfn.IFNA(INDEX(jkm_call_put!$L:$L,MATCH($B25&amp;AH$2&amp;$A$1,jkm_call_put!$G:$G&amp;jkm_call_put!$O:$O&amp;jkm_call_put!$F:$F,0),1),"")</f>
        <v/>
      </c>
      <c r="AI25" s="7" t="str" cm="1">
        <f t="array" aca="1" ref="AI25" ca="1">_xlfn.IFNA(INDEX(jkm_call_put!$L:$L,MATCH($B25&amp;AI$2&amp;$A$1,jkm_call_put!$G:$G&amp;jkm_call_put!$O:$O&amp;jkm_call_put!$F:$F,0),1),"")</f>
        <v/>
      </c>
      <c r="AJ25" s="7" t="str" cm="1">
        <f t="array" aca="1" ref="AJ25" ca="1">_xlfn.IFNA(INDEX(jkm_call_put!$L:$L,MATCH($B25&amp;AJ$2&amp;$A$1,jkm_call_put!$G:$G&amp;jkm_call_put!$O:$O&amp;jkm_call_put!$F:$F,0),1),"")</f>
        <v/>
      </c>
      <c r="AK25" s="7" t="str" cm="1">
        <f t="array" aca="1" ref="AK25" ca="1">_xlfn.IFNA(INDEX(jkm_call_put!$L:$L,MATCH($B25&amp;AK$2&amp;$A$1,jkm_call_put!$G:$G&amp;jkm_call_put!$O:$O&amp;jkm_call_put!$F:$F,0),1),"")</f>
        <v/>
      </c>
      <c r="AL25" s="7" t="str" cm="1">
        <f t="array" aca="1" ref="AL25" ca="1">_xlfn.IFNA(INDEX(jkm_call_put!$L:$L,MATCH($B25&amp;AL$2&amp;$A$1,jkm_call_put!$G:$G&amp;jkm_call_put!$O:$O&amp;jkm_call_put!$F:$F,0),1),"")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64A55-6B13-485F-A416-A20949485131}">
  <dimension ref="A1:AL25"/>
  <sheetViews>
    <sheetView topLeftCell="A16" workbookViewId="0">
      <selection activeCell="C28" sqref="C28"/>
    </sheetView>
  </sheetViews>
  <sheetFormatPr defaultRowHeight="15" x14ac:dyDescent="0.25"/>
  <sheetData>
    <row r="1" spans="1:38" x14ac:dyDescent="0.25">
      <c r="A1" t="s">
        <v>109</v>
      </c>
      <c r="C1" t="s">
        <v>56</v>
      </c>
    </row>
    <row r="2" spans="1:38" x14ac:dyDescent="0.25">
      <c r="C2">
        <f t="array" aca="1" ref="C2:AL2" ca="1">TRANSPOSE(_xlfn._xlws.SORT(Unique!B2:B37))</f>
        <v>27</v>
      </c>
      <c r="D2">
        <f ca="1"/>
        <v>57</v>
      </c>
      <c r="E2">
        <f ca="1"/>
        <v>88</v>
      </c>
      <c r="F2">
        <f ca="1"/>
        <v>118</v>
      </c>
      <c r="G2">
        <f ca="1"/>
        <v>148</v>
      </c>
      <c r="H2">
        <f ca="1"/>
        <v>180</v>
      </c>
      <c r="I2">
        <f ca="1"/>
        <v>210</v>
      </c>
      <c r="J2">
        <f ca="1"/>
        <v>239</v>
      </c>
      <c r="K2">
        <f ca="1"/>
        <v>271</v>
      </c>
      <c r="L2">
        <f ca="1"/>
        <v>302</v>
      </c>
      <c r="M2">
        <f ca="1"/>
        <v>333</v>
      </c>
      <c r="N2">
        <f ca="1"/>
        <v>361</v>
      </c>
      <c r="O2">
        <f ca="1"/>
        <v>392</v>
      </c>
      <c r="P2">
        <f ca="1"/>
        <v>421</v>
      </c>
      <c r="Q2">
        <f ca="1"/>
        <v>453</v>
      </c>
      <c r="R2">
        <f ca="1"/>
        <v>483</v>
      </c>
      <c r="S2">
        <f ca="1"/>
        <v>512</v>
      </c>
      <c r="T2">
        <f ca="1"/>
        <v>545</v>
      </c>
      <c r="U2">
        <f ca="1"/>
        <v>575</v>
      </c>
      <c r="V2">
        <f ca="1"/>
        <v>606</v>
      </c>
      <c r="W2">
        <f ca="1"/>
        <v>636</v>
      </c>
      <c r="X2">
        <f ca="1"/>
        <v>666</v>
      </c>
      <c r="Y2">
        <f ca="1"/>
        <v>698</v>
      </c>
      <c r="Z2">
        <f ca="1"/>
        <v>727</v>
      </c>
      <c r="AA2">
        <f ca="1"/>
        <v>756</v>
      </c>
      <c r="AB2">
        <f ca="1"/>
        <v>788</v>
      </c>
      <c r="AC2">
        <f ca="1"/>
        <v>819</v>
      </c>
      <c r="AD2">
        <f ca="1"/>
        <v>848</v>
      </c>
      <c r="AE2">
        <f ca="1"/>
        <v>880</v>
      </c>
      <c r="AF2">
        <f ca="1"/>
        <v>911</v>
      </c>
      <c r="AG2">
        <f ca="1"/>
        <v>939</v>
      </c>
      <c r="AH2">
        <f ca="1"/>
        <v>972</v>
      </c>
      <c r="AI2">
        <f ca="1"/>
        <v>1002</v>
      </c>
      <c r="AJ2">
        <f ca="1"/>
        <v>1033</v>
      </c>
      <c r="AK2">
        <f ca="1"/>
        <v>1064</v>
      </c>
      <c r="AL2">
        <f ca="1"/>
        <v>1092</v>
      </c>
    </row>
    <row r="3" spans="1:38" x14ac:dyDescent="0.25">
      <c r="A3" t="s">
        <v>45</v>
      </c>
      <c r="B3" cm="1">
        <f t="array" ref="B3:B25">_xlfn._xlws.SORT(Unique!A2:A24)</f>
        <v>5</v>
      </c>
      <c r="C3" s="7" cm="1">
        <f t="array" aca="1" ref="C3" ca="1">_xlfn.IFNA(INDEX(jkm_call_put!$M:$M,MATCH($B3&amp;C$2&amp;$A$1,jkm_call_put!$G:$G&amp;jkm_call_put!$O:$O&amp;jkm_call_put!$F:$F,0),1),"")</f>
        <v>1</v>
      </c>
      <c r="D3" s="7" cm="1">
        <f t="array" aca="1" ref="D3" ca="1">_xlfn.IFNA(INDEX(jkm_call_put!$M:$M,MATCH($B3&amp;D$2&amp;$A$1,jkm_call_put!$G:$G&amp;jkm_call_put!$O:$O&amp;jkm_call_put!$F:$F,0),1),"")</f>
        <v>1</v>
      </c>
      <c r="E3" s="7" cm="1">
        <f t="array" aca="1" ref="E3" ca="1">_xlfn.IFNA(INDEX(jkm_call_put!$M:$M,MATCH($B3&amp;E$2&amp;$A$1,jkm_call_put!$G:$G&amp;jkm_call_put!$O:$O&amp;jkm_call_put!$F:$F,0),1),"")</f>
        <v>0.99988999999999995</v>
      </c>
      <c r="F3" s="7" cm="1">
        <f t="array" aca="1" ref="F3" ca="1">_xlfn.IFNA(INDEX(jkm_call_put!$M:$M,MATCH($B3&amp;F$2&amp;$A$1,jkm_call_put!$G:$G&amp;jkm_call_put!$O:$O&amp;jkm_call_put!$F:$F,0),1),"")</f>
        <v>0.99907000000000001</v>
      </c>
      <c r="G3" s="7" cm="1">
        <f t="array" aca="1" ref="G3" ca="1">_xlfn.IFNA(INDEX(jkm_call_put!$M:$M,MATCH($B3&amp;G$2&amp;$A$1,jkm_call_put!$G:$G&amp;jkm_call_put!$O:$O&amp;jkm_call_put!$F:$F,0),1),"")</f>
        <v>0.99705999999999995</v>
      </c>
      <c r="H3" s="7" cm="1">
        <f t="array" aca="1" ref="H3" ca="1">_xlfn.IFNA(INDEX(jkm_call_put!$M:$M,MATCH($B3&amp;H$2&amp;$A$1,jkm_call_put!$G:$G&amp;jkm_call_put!$O:$O&amp;jkm_call_put!$F:$F,0),1),"")</f>
        <v>0.99892000000000003</v>
      </c>
      <c r="I3" s="7" cm="1">
        <f t="array" aca="1" ref="I3" ca="1">_xlfn.IFNA(INDEX(jkm_call_put!$M:$M,MATCH($B3&amp;I$2&amp;$A$1,jkm_call_put!$G:$G&amp;jkm_call_put!$O:$O&amp;jkm_call_put!$F:$F,0),1),"")</f>
        <v>0.99778</v>
      </c>
      <c r="J3" s="7" cm="1">
        <f t="array" aca="1" ref="J3" ca="1">_xlfn.IFNA(INDEX(jkm_call_put!$M:$M,MATCH($B3&amp;J$2&amp;$A$1,jkm_call_put!$G:$G&amp;jkm_call_put!$O:$O&amp;jkm_call_put!$F:$F,0),1),"")</f>
        <v>0.99651999999999996</v>
      </c>
      <c r="K3" s="7" cm="1">
        <f t="array" aca="1" ref="K3" ca="1">_xlfn.IFNA(INDEX(jkm_call_put!$M:$M,MATCH($B3&amp;K$2&amp;$A$1,jkm_call_put!$G:$G&amp;jkm_call_put!$O:$O&amp;jkm_call_put!$F:$F,0),1),"")</f>
        <v>0.99467000000000005</v>
      </c>
      <c r="L3" s="7" cm="1">
        <f t="array" aca="1" ref="L3" ca="1">_xlfn.IFNA(INDEX(jkm_call_put!$M:$M,MATCH($B3&amp;L$2&amp;$A$1,jkm_call_put!$G:$G&amp;jkm_call_put!$O:$O&amp;jkm_call_put!$F:$F,0),1),"")</f>
        <v>0.99199000000000004</v>
      </c>
      <c r="M3" s="7" cm="1">
        <f t="array" aca="1" ref="M3" ca="1">_xlfn.IFNA(INDEX(jkm_call_put!$M:$M,MATCH($B3&amp;M$2&amp;$A$1,jkm_call_put!$G:$G&amp;jkm_call_put!$O:$O&amp;jkm_call_put!$F:$F,0),1),"")</f>
        <v>0.98548000000000002</v>
      </c>
      <c r="N3" s="7" cm="1">
        <f t="array" aca="1" ref="N3" ca="1">_xlfn.IFNA(INDEX(jkm_call_put!$M:$M,MATCH($B3&amp;N$2&amp;$A$1,jkm_call_put!$G:$G&amp;jkm_call_put!$O:$O&amp;jkm_call_put!$F:$F,0),1),"")</f>
        <v>0.99111000000000005</v>
      </c>
      <c r="O3" s="7" cm="1">
        <f t="array" aca="1" ref="O3" ca="1">_xlfn.IFNA(INDEX(jkm_call_put!$M:$M,MATCH($B3&amp;O$2&amp;$A$1,jkm_call_put!$G:$G&amp;jkm_call_put!$O:$O&amp;jkm_call_put!$F:$F,0),1),"")</f>
        <v>0.98392000000000002</v>
      </c>
      <c r="P3" s="7" cm="1">
        <f t="array" aca="1" ref="P3" ca="1">_xlfn.IFNA(INDEX(jkm_call_put!$M:$M,MATCH($B3&amp;P$2&amp;$A$1,jkm_call_put!$G:$G&amp;jkm_call_put!$O:$O&amp;jkm_call_put!$F:$F,0),1),"")</f>
        <v>0.97865000000000002</v>
      </c>
      <c r="Q3" s="7" cm="1">
        <f t="array" aca="1" ref="Q3" ca="1">_xlfn.IFNA(INDEX(jkm_call_put!$M:$M,MATCH($B3&amp;Q$2&amp;$A$1,jkm_call_put!$G:$G&amp;jkm_call_put!$O:$O&amp;jkm_call_put!$F:$F,0),1),"")</f>
        <v>0.97563999999999995</v>
      </c>
      <c r="R3" s="7" cm="1">
        <f t="array" aca="1" ref="R3" ca="1">_xlfn.IFNA(INDEX(jkm_call_put!$M:$M,MATCH($B3&amp;R$2&amp;$A$1,jkm_call_put!$G:$G&amp;jkm_call_put!$O:$O&amp;jkm_call_put!$F:$F,0),1),"")</f>
        <v>0.97448000000000001</v>
      </c>
      <c r="S3" s="7" cm="1">
        <f t="array" aca="1" ref="S3" ca="1">_xlfn.IFNA(INDEX(jkm_call_put!$M:$M,MATCH($B3&amp;S$2&amp;$A$1,jkm_call_put!$G:$G&amp;jkm_call_put!$O:$O&amp;jkm_call_put!$F:$F,0),1),"")</f>
        <v>0.96960000000000002</v>
      </c>
      <c r="T3" s="7" cm="1">
        <f t="array" aca="1" ref="T3" ca="1">_xlfn.IFNA(INDEX(jkm_call_put!$M:$M,MATCH($B3&amp;T$2&amp;$A$1,jkm_call_put!$G:$G&amp;jkm_call_put!$O:$O&amp;jkm_call_put!$F:$F,0),1),"")</f>
        <v>0.98890999999999996</v>
      </c>
      <c r="U3" s="7" cm="1">
        <f t="array" aca="1" ref="U3" ca="1">_xlfn.IFNA(INDEX(jkm_call_put!$M:$M,MATCH($B3&amp;U$2&amp;$A$1,jkm_call_put!$G:$G&amp;jkm_call_put!$O:$O&amp;jkm_call_put!$F:$F,0),1),"")</f>
        <v>0.98821999999999999</v>
      </c>
      <c r="V3" s="7" cm="1">
        <f t="array" aca="1" ref="V3" ca="1">_xlfn.IFNA(INDEX(jkm_call_put!$M:$M,MATCH($B3&amp;V$2&amp;$A$1,jkm_call_put!$G:$G&amp;jkm_call_put!$O:$O&amp;jkm_call_put!$F:$F,0),1),"")</f>
        <v>0.98877999999999999</v>
      </c>
      <c r="W3" s="7" cm="1">
        <f t="array" aca="1" ref="W3" ca="1">_xlfn.IFNA(INDEX(jkm_call_put!$M:$M,MATCH($B3&amp;W$2&amp;$A$1,jkm_call_put!$G:$G&amp;jkm_call_put!$O:$O&amp;jkm_call_put!$F:$F,0),1),"")</f>
        <v>0.98560999999999999</v>
      </c>
      <c r="X3" s="7" cm="1">
        <f t="array" aca="1" ref="X3" ca="1">_xlfn.IFNA(INDEX(jkm_call_put!$M:$M,MATCH($B3&amp;X$2&amp;$A$1,jkm_call_put!$G:$G&amp;jkm_call_put!$O:$O&amp;jkm_call_put!$F:$F,0),1),"")</f>
        <v>0.98409999999999997</v>
      </c>
      <c r="Y3" s="7" cm="1">
        <f t="array" aca="1" ref="Y3" ca="1">_xlfn.IFNA(INDEX(jkm_call_put!$M:$M,MATCH($B3&amp;Y$2&amp;$A$1,jkm_call_put!$G:$G&amp;jkm_call_put!$O:$O&amp;jkm_call_put!$F:$F,0),1),"")</f>
        <v>0.97848999999999997</v>
      </c>
      <c r="Z3" s="7" cm="1">
        <f t="array" aca="1" ref="Z3" ca="1">_xlfn.IFNA(INDEX(jkm_call_put!$M:$M,MATCH($B3&amp;Z$2&amp;$A$1,jkm_call_put!$G:$G&amp;jkm_call_put!$O:$O&amp;jkm_call_put!$F:$F,0),1),"")</f>
        <v>0.95130999999999999</v>
      </c>
      <c r="AA3" s="7" cm="1">
        <f t="array" aca="1" ref="AA3" ca="1">_xlfn.IFNA(INDEX(jkm_call_put!$M:$M,MATCH($B3&amp;AA$2&amp;$A$1,jkm_call_put!$G:$G&amp;jkm_call_put!$O:$O&amp;jkm_call_put!$F:$F,0),1),"")</f>
        <v>0.94120000000000004</v>
      </c>
      <c r="AB3" s="7" cm="1">
        <f t="array" aca="1" ref="AB3" ca="1">_xlfn.IFNA(INDEX(jkm_call_put!$M:$M,MATCH($B3&amp;AB$2&amp;$A$1,jkm_call_put!$G:$G&amp;jkm_call_put!$O:$O&amp;jkm_call_put!$F:$F,0),1),"")</f>
        <v>0.93567999999999996</v>
      </c>
      <c r="AC3" s="7" cm="1">
        <f t="array" aca="1" ref="AC3" ca="1">_xlfn.IFNA(INDEX(jkm_call_put!$M:$M,MATCH($B3&amp;AC$2&amp;$A$1,jkm_call_put!$G:$G&amp;jkm_call_put!$O:$O&amp;jkm_call_put!$F:$F,0),1),"")</f>
        <v>0.93408000000000002</v>
      </c>
      <c r="AD3" s="7" cm="1">
        <f t="array" aca="1" ref="AD3" ca="1">_xlfn.IFNA(INDEX(jkm_call_put!$M:$M,MATCH($B3&amp;AD$2&amp;$A$1,jkm_call_put!$G:$G&amp;jkm_call_put!$O:$O&amp;jkm_call_put!$F:$F,0),1),"")</f>
        <v>0.93169999999999997</v>
      </c>
      <c r="AE3" s="7" cm="1">
        <f t="array" aca="1" ref="AE3" ca="1">_xlfn.IFNA(INDEX(jkm_call_put!$M:$M,MATCH($B3&amp;AE$2&amp;$A$1,jkm_call_put!$G:$G&amp;jkm_call_put!$O:$O&amp;jkm_call_put!$F:$F,0),1),"")</f>
        <v>0.93103000000000002</v>
      </c>
      <c r="AF3" s="7" cm="1">
        <f t="array" aca="1" ref="AF3" ca="1">_xlfn.IFNA(INDEX(jkm_call_put!$M:$M,MATCH($B3&amp;AF$2&amp;$A$1,jkm_call_put!$G:$G&amp;jkm_call_put!$O:$O&amp;jkm_call_put!$F:$F,0),1),"")</f>
        <v>0.91108</v>
      </c>
      <c r="AG3" s="7" cm="1">
        <f t="array" aca="1" ref="AG3" ca="1">_xlfn.IFNA(INDEX(jkm_call_put!$M:$M,MATCH($B3&amp;AG$2&amp;$A$1,jkm_call_put!$G:$G&amp;jkm_call_put!$O:$O&amp;jkm_call_put!$F:$F,0),1),"")</f>
        <v>0.91378999999999999</v>
      </c>
      <c r="AH3" s="7" cm="1">
        <f t="array" aca="1" ref="AH3" ca="1">_xlfn.IFNA(INDEX(jkm_call_put!$M:$M,MATCH($B3&amp;AH$2&amp;$A$1,jkm_call_put!$G:$G&amp;jkm_call_put!$O:$O&amp;jkm_call_put!$F:$F,0),1),"")</f>
        <v>0.91520000000000001</v>
      </c>
      <c r="AI3" s="7" cm="1">
        <f t="array" aca="1" ref="AI3" ca="1">_xlfn.IFNA(INDEX(jkm_call_put!$M:$M,MATCH($B3&amp;AI$2&amp;$A$1,jkm_call_put!$G:$G&amp;jkm_call_put!$O:$O&amp;jkm_call_put!$F:$F,0),1),"")</f>
        <v>0.91632999999999998</v>
      </c>
      <c r="AJ3" s="7" cm="1">
        <f t="array" aca="1" ref="AJ3" ca="1">_xlfn.IFNA(INDEX(jkm_call_put!$M:$M,MATCH($B3&amp;AJ$2&amp;$A$1,jkm_call_put!$G:$G&amp;jkm_call_put!$O:$O&amp;jkm_call_put!$F:$F,0),1),"")</f>
        <v>0.91539999999999999</v>
      </c>
      <c r="AK3" s="7" cm="1">
        <f t="array" aca="1" ref="AK3" ca="1">_xlfn.IFNA(INDEX(jkm_call_put!$M:$M,MATCH($B3&amp;AK$2&amp;$A$1,jkm_call_put!$G:$G&amp;jkm_call_put!$O:$O&amp;jkm_call_put!$F:$F,0),1),"")</f>
        <v>0.91180000000000005</v>
      </c>
      <c r="AL3" s="7" cm="1">
        <f t="array" aca="1" ref="AL3" ca="1">_xlfn.IFNA(INDEX(jkm_call_put!$M:$M,MATCH($B3&amp;AL$2&amp;$A$1,jkm_call_put!$G:$G&amp;jkm_call_put!$O:$O&amp;jkm_call_put!$F:$F,0),1),"")</f>
        <v>0.87802000000000002</v>
      </c>
    </row>
    <row r="4" spans="1:38" x14ac:dyDescent="0.25">
      <c r="B4">
        <v>6</v>
      </c>
      <c r="C4" s="7" t="str" cm="1">
        <f t="array" aca="1" ref="C4" ca="1">_xlfn.IFNA(INDEX(jkm_call_put!$M:$M,MATCH($B4&amp;C$2&amp;$A$1,jkm_call_put!$G:$G&amp;jkm_call_put!$O:$O&amp;jkm_call_put!$F:$F,0),1),"")</f>
        <v/>
      </c>
      <c r="D4" s="7" t="str" cm="1">
        <f t="array" aca="1" ref="D4" ca="1">_xlfn.IFNA(INDEX(jkm_call_put!$M:$M,MATCH($B4&amp;D$2&amp;$A$1,jkm_call_put!$G:$G&amp;jkm_call_put!$O:$O&amp;jkm_call_put!$F:$F,0),1),"")</f>
        <v/>
      </c>
      <c r="E4" s="7" t="str" cm="1">
        <f t="array" aca="1" ref="E4" ca="1">_xlfn.IFNA(INDEX(jkm_call_put!$M:$M,MATCH($B4&amp;E$2&amp;$A$1,jkm_call_put!$G:$G&amp;jkm_call_put!$O:$O&amp;jkm_call_put!$F:$F,0),1),"")</f>
        <v/>
      </c>
      <c r="F4" s="7" t="str" cm="1">
        <f t="array" aca="1" ref="F4" ca="1">_xlfn.IFNA(INDEX(jkm_call_put!$M:$M,MATCH($B4&amp;F$2&amp;$A$1,jkm_call_put!$G:$G&amp;jkm_call_put!$O:$O&amp;jkm_call_put!$F:$F,0),1),"")</f>
        <v/>
      </c>
      <c r="G4" s="7" t="str" cm="1">
        <f t="array" aca="1" ref="G4" ca="1">_xlfn.IFNA(INDEX(jkm_call_put!$M:$M,MATCH($B4&amp;G$2&amp;$A$1,jkm_call_put!$G:$G&amp;jkm_call_put!$O:$O&amp;jkm_call_put!$F:$F,0),1),"")</f>
        <v/>
      </c>
      <c r="H4" s="7" t="str" cm="1">
        <f t="array" aca="1" ref="H4" ca="1">_xlfn.IFNA(INDEX(jkm_call_put!$M:$M,MATCH($B4&amp;H$2&amp;$A$1,jkm_call_put!$G:$G&amp;jkm_call_put!$O:$O&amp;jkm_call_put!$F:$F,0),1),"")</f>
        <v/>
      </c>
      <c r="I4" s="7" t="str" cm="1">
        <f t="array" aca="1" ref="I4" ca="1">_xlfn.IFNA(INDEX(jkm_call_put!$M:$M,MATCH($B4&amp;I$2&amp;$A$1,jkm_call_put!$G:$G&amp;jkm_call_put!$O:$O&amp;jkm_call_put!$F:$F,0),1),"")</f>
        <v/>
      </c>
      <c r="J4" s="7" t="str" cm="1">
        <f t="array" aca="1" ref="J4" ca="1">_xlfn.IFNA(INDEX(jkm_call_put!$M:$M,MATCH($B4&amp;J$2&amp;$A$1,jkm_call_put!$G:$G&amp;jkm_call_put!$O:$O&amp;jkm_call_put!$F:$F,0),1),"")</f>
        <v/>
      </c>
      <c r="K4" s="7" cm="1">
        <f t="array" aca="1" ref="K4" ca="1">_xlfn.IFNA(INDEX(jkm_call_put!$M:$M,MATCH($B4&amp;K$2&amp;$A$1,jkm_call_put!$G:$G&amp;jkm_call_put!$O:$O&amp;jkm_call_put!$F:$F,0),1),"")</f>
        <v>0.98668</v>
      </c>
      <c r="L4" s="7" t="str" cm="1">
        <f t="array" aca="1" ref="L4" ca="1">_xlfn.IFNA(INDEX(jkm_call_put!$M:$M,MATCH($B4&amp;L$2&amp;$A$1,jkm_call_put!$G:$G&amp;jkm_call_put!$O:$O&amp;jkm_call_put!$F:$F,0),1),"")</f>
        <v/>
      </c>
      <c r="M4" s="7" t="str" cm="1">
        <f t="array" aca="1" ref="M4" ca="1">_xlfn.IFNA(INDEX(jkm_call_put!$M:$M,MATCH($B4&amp;M$2&amp;$A$1,jkm_call_put!$G:$G&amp;jkm_call_put!$O:$O&amp;jkm_call_put!$F:$F,0),1),"")</f>
        <v/>
      </c>
      <c r="N4" s="7" t="str" cm="1">
        <f t="array" aca="1" ref="N4" ca="1">_xlfn.IFNA(INDEX(jkm_call_put!$M:$M,MATCH($B4&amp;N$2&amp;$A$1,jkm_call_put!$G:$G&amp;jkm_call_put!$O:$O&amp;jkm_call_put!$F:$F,0),1),"")</f>
        <v/>
      </c>
      <c r="O4" s="7" t="str" cm="1">
        <f t="array" aca="1" ref="O4" ca="1">_xlfn.IFNA(INDEX(jkm_call_put!$M:$M,MATCH($B4&amp;O$2&amp;$A$1,jkm_call_put!$G:$G&amp;jkm_call_put!$O:$O&amp;jkm_call_put!$F:$F,0),1),"")</f>
        <v/>
      </c>
      <c r="P4" s="7" t="str" cm="1">
        <f t="array" aca="1" ref="P4" ca="1">_xlfn.IFNA(INDEX(jkm_call_put!$M:$M,MATCH($B4&amp;P$2&amp;$A$1,jkm_call_put!$G:$G&amp;jkm_call_put!$O:$O&amp;jkm_call_put!$F:$F,0),1),"")</f>
        <v/>
      </c>
      <c r="Q4" s="7" t="str" cm="1">
        <f t="array" aca="1" ref="Q4" ca="1">_xlfn.IFNA(INDEX(jkm_call_put!$M:$M,MATCH($B4&amp;Q$2&amp;$A$1,jkm_call_put!$G:$G&amp;jkm_call_put!$O:$O&amp;jkm_call_put!$F:$F,0),1),"")</f>
        <v/>
      </c>
      <c r="R4" s="7" t="str" cm="1">
        <f t="array" aca="1" ref="R4" ca="1">_xlfn.IFNA(INDEX(jkm_call_put!$M:$M,MATCH($B4&amp;R$2&amp;$A$1,jkm_call_put!$G:$G&amp;jkm_call_put!$O:$O&amp;jkm_call_put!$F:$F,0),1),"")</f>
        <v/>
      </c>
      <c r="S4" s="7" t="str" cm="1">
        <f t="array" aca="1" ref="S4" ca="1">_xlfn.IFNA(INDEX(jkm_call_put!$M:$M,MATCH($B4&amp;S$2&amp;$A$1,jkm_call_put!$G:$G&amp;jkm_call_put!$O:$O&amp;jkm_call_put!$F:$F,0),1),"")</f>
        <v/>
      </c>
      <c r="T4" s="7" t="str" cm="1">
        <f t="array" aca="1" ref="T4" ca="1">_xlfn.IFNA(INDEX(jkm_call_put!$M:$M,MATCH($B4&amp;T$2&amp;$A$1,jkm_call_put!$G:$G&amp;jkm_call_put!$O:$O&amp;jkm_call_put!$F:$F,0),1),"")</f>
        <v/>
      </c>
      <c r="U4" s="7" t="str" cm="1">
        <f t="array" aca="1" ref="U4" ca="1">_xlfn.IFNA(INDEX(jkm_call_put!$M:$M,MATCH($B4&amp;U$2&amp;$A$1,jkm_call_put!$G:$G&amp;jkm_call_put!$O:$O&amp;jkm_call_put!$F:$F,0),1),"")</f>
        <v/>
      </c>
      <c r="V4" s="7" t="str" cm="1">
        <f t="array" aca="1" ref="V4" ca="1">_xlfn.IFNA(INDEX(jkm_call_put!$M:$M,MATCH($B4&amp;V$2&amp;$A$1,jkm_call_put!$G:$G&amp;jkm_call_put!$O:$O&amp;jkm_call_put!$F:$F,0),1),"")</f>
        <v/>
      </c>
      <c r="W4" s="7" t="str" cm="1">
        <f t="array" aca="1" ref="W4" ca="1">_xlfn.IFNA(INDEX(jkm_call_put!$M:$M,MATCH($B4&amp;W$2&amp;$A$1,jkm_call_put!$G:$G&amp;jkm_call_put!$O:$O&amp;jkm_call_put!$F:$F,0),1),"")</f>
        <v/>
      </c>
      <c r="X4" s="7" t="str" cm="1">
        <f t="array" aca="1" ref="X4" ca="1">_xlfn.IFNA(INDEX(jkm_call_put!$M:$M,MATCH($B4&amp;X$2&amp;$A$1,jkm_call_put!$G:$G&amp;jkm_call_put!$O:$O&amp;jkm_call_put!$F:$F,0),1),"")</f>
        <v/>
      </c>
      <c r="Y4" s="7" t="str" cm="1">
        <f t="array" aca="1" ref="Y4" ca="1">_xlfn.IFNA(INDEX(jkm_call_put!$M:$M,MATCH($B4&amp;Y$2&amp;$A$1,jkm_call_put!$G:$G&amp;jkm_call_put!$O:$O&amp;jkm_call_put!$F:$F,0),1),"")</f>
        <v/>
      </c>
      <c r="Z4" s="7" t="str" cm="1">
        <f t="array" aca="1" ref="Z4" ca="1">_xlfn.IFNA(INDEX(jkm_call_put!$M:$M,MATCH($B4&amp;Z$2&amp;$A$1,jkm_call_put!$G:$G&amp;jkm_call_put!$O:$O&amp;jkm_call_put!$F:$F,0),1),"")</f>
        <v/>
      </c>
      <c r="AA4" s="7" t="str" cm="1">
        <f t="array" aca="1" ref="AA4" ca="1">_xlfn.IFNA(INDEX(jkm_call_put!$M:$M,MATCH($B4&amp;AA$2&amp;$A$1,jkm_call_put!$G:$G&amp;jkm_call_put!$O:$O&amp;jkm_call_put!$F:$F,0),1),"")</f>
        <v/>
      </c>
      <c r="AB4" s="7" t="str" cm="1">
        <f t="array" aca="1" ref="AB4" ca="1">_xlfn.IFNA(INDEX(jkm_call_put!$M:$M,MATCH($B4&amp;AB$2&amp;$A$1,jkm_call_put!$G:$G&amp;jkm_call_put!$O:$O&amp;jkm_call_put!$F:$F,0),1),"")</f>
        <v/>
      </c>
      <c r="AC4" s="7" t="str" cm="1">
        <f t="array" aca="1" ref="AC4" ca="1">_xlfn.IFNA(INDEX(jkm_call_put!$M:$M,MATCH($B4&amp;AC$2&amp;$A$1,jkm_call_put!$G:$G&amp;jkm_call_put!$O:$O&amp;jkm_call_put!$F:$F,0),1),"")</f>
        <v/>
      </c>
      <c r="AD4" s="7" t="str" cm="1">
        <f t="array" aca="1" ref="AD4" ca="1">_xlfn.IFNA(INDEX(jkm_call_put!$M:$M,MATCH($B4&amp;AD$2&amp;$A$1,jkm_call_put!$G:$G&amp;jkm_call_put!$O:$O&amp;jkm_call_put!$F:$F,0),1),"")</f>
        <v/>
      </c>
      <c r="AE4" s="7" t="str" cm="1">
        <f t="array" aca="1" ref="AE4" ca="1">_xlfn.IFNA(INDEX(jkm_call_put!$M:$M,MATCH($B4&amp;AE$2&amp;$A$1,jkm_call_put!$G:$G&amp;jkm_call_put!$O:$O&amp;jkm_call_put!$F:$F,0),1),"")</f>
        <v/>
      </c>
      <c r="AF4" s="7" t="str" cm="1">
        <f t="array" aca="1" ref="AF4" ca="1">_xlfn.IFNA(INDEX(jkm_call_put!$M:$M,MATCH($B4&amp;AF$2&amp;$A$1,jkm_call_put!$G:$G&amp;jkm_call_put!$O:$O&amp;jkm_call_put!$F:$F,0),1),"")</f>
        <v/>
      </c>
      <c r="AG4" s="7" t="str" cm="1">
        <f t="array" aca="1" ref="AG4" ca="1">_xlfn.IFNA(INDEX(jkm_call_put!$M:$M,MATCH($B4&amp;AG$2&amp;$A$1,jkm_call_put!$G:$G&amp;jkm_call_put!$O:$O&amp;jkm_call_put!$F:$F,0),1),"")</f>
        <v/>
      </c>
      <c r="AH4" s="7" t="str" cm="1">
        <f t="array" aca="1" ref="AH4" ca="1">_xlfn.IFNA(INDEX(jkm_call_put!$M:$M,MATCH($B4&amp;AH$2&amp;$A$1,jkm_call_put!$G:$G&amp;jkm_call_put!$O:$O&amp;jkm_call_put!$F:$F,0),1),"")</f>
        <v/>
      </c>
      <c r="AI4" s="7" t="str" cm="1">
        <f t="array" aca="1" ref="AI4" ca="1">_xlfn.IFNA(INDEX(jkm_call_put!$M:$M,MATCH($B4&amp;AI$2&amp;$A$1,jkm_call_put!$G:$G&amp;jkm_call_put!$O:$O&amp;jkm_call_put!$F:$F,0),1),"")</f>
        <v/>
      </c>
      <c r="AJ4" s="7" t="str" cm="1">
        <f t="array" aca="1" ref="AJ4" ca="1">_xlfn.IFNA(INDEX(jkm_call_put!$M:$M,MATCH($B4&amp;AJ$2&amp;$A$1,jkm_call_put!$G:$G&amp;jkm_call_put!$O:$O&amp;jkm_call_put!$F:$F,0),1),"")</f>
        <v/>
      </c>
      <c r="AK4" s="7" t="str" cm="1">
        <f t="array" aca="1" ref="AK4" ca="1">_xlfn.IFNA(INDEX(jkm_call_put!$M:$M,MATCH($B4&amp;AK$2&amp;$A$1,jkm_call_put!$G:$G&amp;jkm_call_put!$O:$O&amp;jkm_call_put!$F:$F,0),1),"")</f>
        <v/>
      </c>
      <c r="AL4" s="7" t="str" cm="1">
        <f t="array" aca="1" ref="AL4" ca="1">_xlfn.IFNA(INDEX(jkm_call_put!$M:$M,MATCH($B4&amp;AL$2&amp;$A$1,jkm_call_put!$G:$G&amp;jkm_call_put!$O:$O&amp;jkm_call_put!$F:$F,0),1),"")</f>
        <v/>
      </c>
    </row>
    <row r="5" spans="1:38" x14ac:dyDescent="0.25">
      <c r="B5">
        <v>7</v>
      </c>
      <c r="C5" s="7" t="str" cm="1">
        <f t="array" aca="1" ref="C5" ca="1">_xlfn.IFNA(INDEX(jkm_call_put!$M:$M,MATCH($B5&amp;C$2&amp;$A$1,jkm_call_put!$G:$G&amp;jkm_call_put!$O:$O&amp;jkm_call_put!$F:$F,0),1),"")</f>
        <v/>
      </c>
      <c r="D5" s="7" t="str" cm="1">
        <f t="array" aca="1" ref="D5" ca="1">_xlfn.IFNA(INDEX(jkm_call_put!$M:$M,MATCH($B5&amp;D$2&amp;$A$1,jkm_call_put!$G:$G&amp;jkm_call_put!$O:$O&amp;jkm_call_put!$F:$F,0),1),"")</f>
        <v/>
      </c>
      <c r="E5" s="7" t="str" cm="1">
        <f t="array" aca="1" ref="E5" ca="1">_xlfn.IFNA(INDEX(jkm_call_put!$M:$M,MATCH($B5&amp;E$2&amp;$A$1,jkm_call_put!$G:$G&amp;jkm_call_put!$O:$O&amp;jkm_call_put!$F:$F,0),1),"")</f>
        <v/>
      </c>
      <c r="F5" s="7" t="str" cm="1">
        <f t="array" aca="1" ref="F5" ca="1">_xlfn.IFNA(INDEX(jkm_call_put!$M:$M,MATCH($B5&amp;F$2&amp;$A$1,jkm_call_put!$G:$G&amp;jkm_call_put!$O:$O&amp;jkm_call_put!$F:$F,0),1),"")</f>
        <v/>
      </c>
      <c r="G5" s="7" t="str" cm="1">
        <f t="array" aca="1" ref="G5" ca="1">_xlfn.IFNA(INDEX(jkm_call_put!$M:$M,MATCH($B5&amp;G$2&amp;$A$1,jkm_call_put!$G:$G&amp;jkm_call_put!$O:$O&amp;jkm_call_put!$F:$F,0),1),"")</f>
        <v/>
      </c>
      <c r="H5" s="7" t="str" cm="1">
        <f t="array" aca="1" ref="H5" ca="1">_xlfn.IFNA(INDEX(jkm_call_put!$M:$M,MATCH($B5&amp;H$2&amp;$A$1,jkm_call_put!$G:$G&amp;jkm_call_put!$O:$O&amp;jkm_call_put!$F:$F,0),1),"")</f>
        <v/>
      </c>
      <c r="I5" s="7" t="str" cm="1">
        <f t="array" aca="1" ref="I5" ca="1">_xlfn.IFNA(INDEX(jkm_call_put!$M:$M,MATCH($B5&amp;I$2&amp;$A$1,jkm_call_put!$G:$G&amp;jkm_call_put!$O:$O&amp;jkm_call_put!$F:$F,0),1),"")</f>
        <v/>
      </c>
      <c r="J5" s="7" t="str" cm="1">
        <f t="array" aca="1" ref="J5" ca="1">_xlfn.IFNA(INDEX(jkm_call_put!$M:$M,MATCH($B5&amp;J$2&amp;$A$1,jkm_call_put!$G:$G&amp;jkm_call_put!$O:$O&amp;jkm_call_put!$F:$F,0),1),"")</f>
        <v/>
      </c>
      <c r="K5" s="7" cm="1">
        <f t="array" aca="1" ref="K5" ca="1">_xlfn.IFNA(INDEX(jkm_call_put!$M:$M,MATCH($B5&amp;K$2&amp;$A$1,jkm_call_put!$G:$G&amp;jkm_call_put!$O:$O&amp;jkm_call_put!$F:$F,0),1),"")</f>
        <v>0.97333999999999998</v>
      </c>
      <c r="L5" s="7" t="str" cm="1">
        <f t="array" aca="1" ref="L5" ca="1">_xlfn.IFNA(INDEX(jkm_call_put!$M:$M,MATCH($B5&amp;L$2&amp;$A$1,jkm_call_put!$G:$G&amp;jkm_call_put!$O:$O&amp;jkm_call_put!$F:$F,0),1),"")</f>
        <v/>
      </c>
      <c r="M5" s="7" t="str" cm="1">
        <f t="array" aca="1" ref="M5" ca="1">_xlfn.IFNA(INDEX(jkm_call_put!$M:$M,MATCH($B5&amp;M$2&amp;$A$1,jkm_call_put!$G:$G&amp;jkm_call_put!$O:$O&amp;jkm_call_put!$F:$F,0),1),"")</f>
        <v/>
      </c>
      <c r="N5" s="7" t="str" cm="1">
        <f t="array" aca="1" ref="N5" ca="1">_xlfn.IFNA(INDEX(jkm_call_put!$M:$M,MATCH($B5&amp;N$2&amp;$A$1,jkm_call_put!$G:$G&amp;jkm_call_put!$O:$O&amp;jkm_call_put!$F:$F,0),1),"")</f>
        <v/>
      </c>
      <c r="O5" s="7" t="str" cm="1">
        <f t="array" aca="1" ref="O5" ca="1">_xlfn.IFNA(INDEX(jkm_call_put!$M:$M,MATCH($B5&amp;O$2&amp;$A$1,jkm_call_put!$G:$G&amp;jkm_call_put!$O:$O&amp;jkm_call_put!$F:$F,0),1),"")</f>
        <v/>
      </c>
      <c r="P5" s="7" t="str" cm="1">
        <f t="array" aca="1" ref="P5" ca="1">_xlfn.IFNA(INDEX(jkm_call_put!$M:$M,MATCH($B5&amp;P$2&amp;$A$1,jkm_call_put!$G:$G&amp;jkm_call_put!$O:$O&amp;jkm_call_put!$F:$F,0),1),"")</f>
        <v/>
      </c>
      <c r="Q5" s="7" t="str" cm="1">
        <f t="array" aca="1" ref="Q5" ca="1">_xlfn.IFNA(INDEX(jkm_call_put!$M:$M,MATCH($B5&amp;Q$2&amp;$A$1,jkm_call_put!$G:$G&amp;jkm_call_put!$O:$O&amp;jkm_call_put!$F:$F,0),1),"")</f>
        <v/>
      </c>
      <c r="R5" s="7" t="str" cm="1">
        <f t="array" aca="1" ref="R5" ca="1">_xlfn.IFNA(INDEX(jkm_call_put!$M:$M,MATCH($B5&amp;R$2&amp;$A$1,jkm_call_put!$G:$G&amp;jkm_call_put!$O:$O&amp;jkm_call_put!$F:$F,0),1),"")</f>
        <v/>
      </c>
      <c r="S5" s="7" t="str" cm="1">
        <f t="array" aca="1" ref="S5" ca="1">_xlfn.IFNA(INDEX(jkm_call_put!$M:$M,MATCH($B5&amp;S$2&amp;$A$1,jkm_call_put!$G:$G&amp;jkm_call_put!$O:$O&amp;jkm_call_put!$F:$F,0),1),"")</f>
        <v/>
      </c>
      <c r="T5" s="7" t="str" cm="1">
        <f t="array" aca="1" ref="T5" ca="1">_xlfn.IFNA(INDEX(jkm_call_put!$M:$M,MATCH($B5&amp;T$2&amp;$A$1,jkm_call_put!$G:$G&amp;jkm_call_put!$O:$O&amp;jkm_call_put!$F:$F,0),1),"")</f>
        <v/>
      </c>
      <c r="U5" s="7" t="str" cm="1">
        <f t="array" aca="1" ref="U5" ca="1">_xlfn.IFNA(INDEX(jkm_call_put!$M:$M,MATCH($B5&amp;U$2&amp;$A$1,jkm_call_put!$G:$G&amp;jkm_call_put!$O:$O&amp;jkm_call_put!$F:$F,0),1),"")</f>
        <v/>
      </c>
      <c r="V5" s="7" t="str" cm="1">
        <f t="array" aca="1" ref="V5" ca="1">_xlfn.IFNA(INDEX(jkm_call_put!$M:$M,MATCH($B5&amp;V$2&amp;$A$1,jkm_call_put!$G:$G&amp;jkm_call_put!$O:$O&amp;jkm_call_put!$F:$F,0),1),"")</f>
        <v/>
      </c>
      <c r="W5" s="7" t="str" cm="1">
        <f t="array" aca="1" ref="W5" ca="1">_xlfn.IFNA(INDEX(jkm_call_put!$M:$M,MATCH($B5&amp;W$2&amp;$A$1,jkm_call_put!$G:$G&amp;jkm_call_put!$O:$O&amp;jkm_call_put!$F:$F,0),1),"")</f>
        <v/>
      </c>
      <c r="X5" s="7" t="str" cm="1">
        <f t="array" aca="1" ref="X5" ca="1">_xlfn.IFNA(INDEX(jkm_call_put!$M:$M,MATCH($B5&amp;X$2&amp;$A$1,jkm_call_put!$G:$G&amp;jkm_call_put!$O:$O&amp;jkm_call_put!$F:$F,0),1),"")</f>
        <v/>
      </c>
      <c r="Y5" s="7" t="str" cm="1">
        <f t="array" aca="1" ref="Y5" ca="1">_xlfn.IFNA(INDEX(jkm_call_put!$M:$M,MATCH($B5&amp;Y$2&amp;$A$1,jkm_call_put!$G:$G&amp;jkm_call_put!$O:$O&amp;jkm_call_put!$F:$F,0),1),"")</f>
        <v/>
      </c>
      <c r="Z5" s="7" cm="1">
        <f t="array" aca="1" ref="Z5" ca="1">_xlfn.IFNA(INDEX(jkm_call_put!$M:$M,MATCH($B5&amp;Z$2&amp;$A$1,jkm_call_put!$G:$G&amp;jkm_call_put!$O:$O&amp;jkm_call_put!$F:$F,0),1),"")</f>
        <v>0.81089999999999995</v>
      </c>
      <c r="AA5" s="7" cm="1">
        <f t="array" aca="1" ref="AA5" ca="1">_xlfn.IFNA(INDEX(jkm_call_put!$M:$M,MATCH($B5&amp;AA$2&amp;$A$1,jkm_call_put!$G:$G&amp;jkm_call_put!$O:$O&amp;jkm_call_put!$F:$F,0),1),"")</f>
        <v>0.78913999999999995</v>
      </c>
      <c r="AB5" s="7" cm="1">
        <f t="array" aca="1" ref="AB5" ca="1">_xlfn.IFNA(INDEX(jkm_call_put!$M:$M,MATCH($B5&amp;AB$2&amp;$A$1,jkm_call_put!$G:$G&amp;jkm_call_put!$O:$O&amp;jkm_call_put!$F:$F,0),1),"")</f>
        <v>0.78019000000000005</v>
      </c>
      <c r="AC5" s="7" cm="1">
        <f t="array" aca="1" ref="AC5" ca="1">_xlfn.IFNA(INDEX(jkm_call_put!$M:$M,MATCH($B5&amp;AC$2&amp;$A$1,jkm_call_put!$G:$G&amp;jkm_call_put!$O:$O&amp;jkm_call_put!$F:$F,0),1),"")</f>
        <v>0.78078000000000003</v>
      </c>
      <c r="AD5" s="7" cm="1">
        <f t="array" aca="1" ref="AD5" ca="1">_xlfn.IFNA(INDEX(jkm_call_put!$M:$M,MATCH($B5&amp;AD$2&amp;$A$1,jkm_call_put!$G:$G&amp;jkm_call_put!$O:$O&amp;jkm_call_put!$F:$F,0),1),"")</f>
        <v>0.77944000000000002</v>
      </c>
      <c r="AE5" s="7" cm="1">
        <f t="array" aca="1" ref="AE5" ca="1">_xlfn.IFNA(INDEX(jkm_call_put!$M:$M,MATCH($B5&amp;AE$2&amp;$A$1,jkm_call_put!$G:$G&amp;jkm_call_put!$O:$O&amp;jkm_call_put!$F:$F,0),1),"")</f>
        <v>0.78158000000000005</v>
      </c>
      <c r="AF5" s="7" t="str" cm="1">
        <f t="array" aca="1" ref="AF5" ca="1">_xlfn.IFNA(INDEX(jkm_call_put!$M:$M,MATCH($B5&amp;AF$2&amp;$A$1,jkm_call_put!$G:$G&amp;jkm_call_put!$O:$O&amp;jkm_call_put!$F:$F,0),1),"")</f>
        <v/>
      </c>
      <c r="AG5" s="7" t="str" cm="1">
        <f t="array" aca="1" ref="AG5" ca="1">_xlfn.IFNA(INDEX(jkm_call_put!$M:$M,MATCH($B5&amp;AG$2&amp;$A$1,jkm_call_put!$G:$G&amp;jkm_call_put!$O:$O&amp;jkm_call_put!$F:$F,0),1),"")</f>
        <v/>
      </c>
      <c r="AH5" s="7" t="str" cm="1">
        <f t="array" aca="1" ref="AH5" ca="1">_xlfn.IFNA(INDEX(jkm_call_put!$M:$M,MATCH($B5&amp;AH$2&amp;$A$1,jkm_call_put!$G:$G&amp;jkm_call_put!$O:$O&amp;jkm_call_put!$F:$F,0),1),"")</f>
        <v/>
      </c>
      <c r="AI5" s="7" t="str" cm="1">
        <f t="array" aca="1" ref="AI5" ca="1">_xlfn.IFNA(INDEX(jkm_call_put!$M:$M,MATCH($B5&amp;AI$2&amp;$A$1,jkm_call_put!$G:$G&amp;jkm_call_put!$O:$O&amp;jkm_call_put!$F:$F,0),1),"")</f>
        <v/>
      </c>
      <c r="AJ5" s="7" t="str" cm="1">
        <f t="array" aca="1" ref="AJ5" ca="1">_xlfn.IFNA(INDEX(jkm_call_put!$M:$M,MATCH($B5&amp;AJ$2&amp;$A$1,jkm_call_put!$G:$G&amp;jkm_call_put!$O:$O&amp;jkm_call_put!$F:$F,0),1),"")</f>
        <v/>
      </c>
      <c r="AK5" s="7" t="str" cm="1">
        <f t="array" aca="1" ref="AK5" ca="1">_xlfn.IFNA(INDEX(jkm_call_put!$M:$M,MATCH($B5&amp;AK$2&amp;$A$1,jkm_call_put!$G:$G&amp;jkm_call_put!$O:$O&amp;jkm_call_put!$F:$F,0),1),"")</f>
        <v/>
      </c>
      <c r="AL5" s="7" t="str" cm="1">
        <f t="array" aca="1" ref="AL5" ca="1">_xlfn.IFNA(INDEX(jkm_call_put!$M:$M,MATCH($B5&amp;AL$2&amp;$A$1,jkm_call_put!$G:$G&amp;jkm_call_put!$O:$O&amp;jkm_call_put!$F:$F,0),1),"")</f>
        <v/>
      </c>
    </row>
    <row r="6" spans="1:38" x14ac:dyDescent="0.25">
      <c r="B6">
        <v>7.6</v>
      </c>
      <c r="C6" s="7" t="str" cm="1">
        <f t="array" aca="1" ref="C6" ca="1">_xlfn.IFNA(INDEX(jkm_call_put!$M:$M,MATCH($B6&amp;C$2&amp;$A$1,jkm_call_put!$G:$G&amp;jkm_call_put!$O:$O&amp;jkm_call_put!$F:$F,0),1),"")</f>
        <v/>
      </c>
      <c r="D6" s="7" t="str" cm="1">
        <f t="array" aca="1" ref="D6" ca="1">_xlfn.IFNA(INDEX(jkm_call_put!$M:$M,MATCH($B6&amp;D$2&amp;$A$1,jkm_call_put!$G:$G&amp;jkm_call_put!$O:$O&amp;jkm_call_put!$F:$F,0),1),"")</f>
        <v/>
      </c>
      <c r="E6" s="7" t="str" cm="1">
        <f t="array" aca="1" ref="E6" ca="1">_xlfn.IFNA(INDEX(jkm_call_put!$M:$M,MATCH($B6&amp;E$2&amp;$A$1,jkm_call_put!$G:$G&amp;jkm_call_put!$O:$O&amp;jkm_call_put!$F:$F,0),1),"")</f>
        <v/>
      </c>
      <c r="F6" s="7" t="str" cm="1">
        <f t="array" aca="1" ref="F6" ca="1">_xlfn.IFNA(INDEX(jkm_call_put!$M:$M,MATCH($B6&amp;F$2&amp;$A$1,jkm_call_put!$G:$G&amp;jkm_call_put!$O:$O&amp;jkm_call_put!$F:$F,0),1),"")</f>
        <v/>
      </c>
      <c r="G6" s="7" t="str" cm="1">
        <f t="array" aca="1" ref="G6" ca="1">_xlfn.IFNA(INDEX(jkm_call_put!$M:$M,MATCH($B6&amp;G$2&amp;$A$1,jkm_call_put!$G:$G&amp;jkm_call_put!$O:$O&amp;jkm_call_put!$F:$F,0),1),"")</f>
        <v/>
      </c>
      <c r="H6" s="7" t="str" cm="1">
        <f t="array" aca="1" ref="H6" ca="1">_xlfn.IFNA(INDEX(jkm_call_put!$M:$M,MATCH($B6&amp;H$2&amp;$A$1,jkm_call_put!$G:$G&amp;jkm_call_put!$O:$O&amp;jkm_call_put!$F:$F,0),1),"")</f>
        <v/>
      </c>
      <c r="I6" s="7" t="str" cm="1">
        <f t="array" aca="1" ref="I6" ca="1">_xlfn.IFNA(INDEX(jkm_call_put!$M:$M,MATCH($B6&amp;I$2&amp;$A$1,jkm_call_put!$G:$G&amp;jkm_call_put!$O:$O&amp;jkm_call_put!$F:$F,0),1),"")</f>
        <v/>
      </c>
      <c r="J6" s="7" t="str" cm="1">
        <f t="array" aca="1" ref="J6" ca="1">_xlfn.IFNA(INDEX(jkm_call_put!$M:$M,MATCH($B6&amp;J$2&amp;$A$1,jkm_call_put!$G:$G&amp;jkm_call_put!$O:$O&amp;jkm_call_put!$F:$F,0),1),"")</f>
        <v/>
      </c>
      <c r="K6" s="7" t="str" cm="1">
        <f t="array" aca="1" ref="K6" ca="1">_xlfn.IFNA(INDEX(jkm_call_put!$M:$M,MATCH($B6&amp;K$2&amp;$A$1,jkm_call_put!$G:$G&amp;jkm_call_put!$O:$O&amp;jkm_call_put!$F:$F,0),1),"")</f>
        <v/>
      </c>
      <c r="L6" s="7" t="str" cm="1">
        <f t="array" aca="1" ref="L6" ca="1">_xlfn.IFNA(INDEX(jkm_call_put!$M:$M,MATCH($B6&amp;L$2&amp;$A$1,jkm_call_put!$G:$G&amp;jkm_call_put!$O:$O&amp;jkm_call_put!$F:$F,0),1),"")</f>
        <v/>
      </c>
      <c r="M6" s="7" t="str" cm="1">
        <f t="array" aca="1" ref="M6" ca="1">_xlfn.IFNA(INDEX(jkm_call_put!$M:$M,MATCH($B6&amp;M$2&amp;$A$1,jkm_call_put!$G:$G&amp;jkm_call_put!$O:$O&amp;jkm_call_put!$F:$F,0),1),"")</f>
        <v/>
      </c>
      <c r="N6" s="7" t="str" cm="1">
        <f t="array" aca="1" ref="N6" ca="1">_xlfn.IFNA(INDEX(jkm_call_put!$M:$M,MATCH($B6&amp;N$2&amp;$A$1,jkm_call_put!$G:$G&amp;jkm_call_put!$O:$O&amp;jkm_call_put!$F:$F,0),1),"")</f>
        <v/>
      </c>
      <c r="O6" s="7" t="str" cm="1">
        <f t="array" aca="1" ref="O6" ca="1">_xlfn.IFNA(INDEX(jkm_call_put!$M:$M,MATCH($B6&amp;O$2&amp;$A$1,jkm_call_put!$G:$G&amp;jkm_call_put!$O:$O&amp;jkm_call_put!$F:$F,0),1),"")</f>
        <v/>
      </c>
      <c r="P6" s="7" t="str" cm="1">
        <f t="array" aca="1" ref="P6" ca="1">_xlfn.IFNA(INDEX(jkm_call_put!$M:$M,MATCH($B6&amp;P$2&amp;$A$1,jkm_call_put!$G:$G&amp;jkm_call_put!$O:$O&amp;jkm_call_put!$F:$F,0),1),"")</f>
        <v/>
      </c>
      <c r="Q6" s="7" t="str" cm="1">
        <f t="array" aca="1" ref="Q6" ca="1">_xlfn.IFNA(INDEX(jkm_call_put!$M:$M,MATCH($B6&amp;Q$2&amp;$A$1,jkm_call_put!$G:$G&amp;jkm_call_put!$O:$O&amp;jkm_call_put!$F:$F,0),1),"")</f>
        <v/>
      </c>
      <c r="R6" s="7" t="str" cm="1">
        <f t="array" aca="1" ref="R6" ca="1">_xlfn.IFNA(INDEX(jkm_call_put!$M:$M,MATCH($B6&amp;R$2&amp;$A$1,jkm_call_put!$G:$G&amp;jkm_call_put!$O:$O&amp;jkm_call_put!$F:$F,0),1),"")</f>
        <v/>
      </c>
      <c r="S6" s="7" t="str" cm="1">
        <f t="array" aca="1" ref="S6" ca="1">_xlfn.IFNA(INDEX(jkm_call_put!$M:$M,MATCH($B6&amp;S$2&amp;$A$1,jkm_call_put!$G:$G&amp;jkm_call_put!$O:$O&amp;jkm_call_put!$F:$F,0),1),"")</f>
        <v/>
      </c>
      <c r="T6" s="7" t="str" cm="1">
        <f t="array" aca="1" ref="T6" ca="1">_xlfn.IFNA(INDEX(jkm_call_put!$M:$M,MATCH($B6&amp;T$2&amp;$A$1,jkm_call_put!$G:$G&amp;jkm_call_put!$O:$O&amp;jkm_call_put!$F:$F,0),1),"")</f>
        <v/>
      </c>
      <c r="U6" s="7" t="str" cm="1">
        <f t="array" aca="1" ref="U6" ca="1">_xlfn.IFNA(INDEX(jkm_call_put!$M:$M,MATCH($B6&amp;U$2&amp;$A$1,jkm_call_put!$G:$G&amp;jkm_call_put!$O:$O&amp;jkm_call_put!$F:$F,0),1),"")</f>
        <v/>
      </c>
      <c r="V6" s="7" t="str" cm="1">
        <f t="array" aca="1" ref="V6" ca="1">_xlfn.IFNA(INDEX(jkm_call_put!$M:$M,MATCH($B6&amp;V$2&amp;$A$1,jkm_call_put!$G:$G&amp;jkm_call_put!$O:$O&amp;jkm_call_put!$F:$F,0),1),"")</f>
        <v/>
      </c>
      <c r="W6" s="7" t="str" cm="1">
        <f t="array" aca="1" ref="W6" ca="1">_xlfn.IFNA(INDEX(jkm_call_put!$M:$M,MATCH($B6&amp;W$2&amp;$A$1,jkm_call_put!$G:$G&amp;jkm_call_put!$O:$O&amp;jkm_call_put!$F:$F,0),1),"")</f>
        <v/>
      </c>
      <c r="X6" s="7" t="str" cm="1">
        <f t="array" aca="1" ref="X6" ca="1">_xlfn.IFNA(INDEX(jkm_call_put!$M:$M,MATCH($B6&amp;X$2&amp;$A$1,jkm_call_put!$G:$G&amp;jkm_call_put!$O:$O&amp;jkm_call_put!$F:$F,0),1),"")</f>
        <v/>
      </c>
      <c r="Y6" s="7" t="str" cm="1">
        <f t="array" aca="1" ref="Y6" ca="1">_xlfn.IFNA(INDEX(jkm_call_put!$M:$M,MATCH($B6&amp;Y$2&amp;$A$1,jkm_call_put!$G:$G&amp;jkm_call_put!$O:$O&amp;jkm_call_put!$F:$F,0),1),"")</f>
        <v/>
      </c>
      <c r="Z6" s="7" t="str" cm="1">
        <f t="array" aca="1" ref="Z6" ca="1">_xlfn.IFNA(INDEX(jkm_call_put!$M:$M,MATCH($B6&amp;Z$2&amp;$A$1,jkm_call_put!$G:$G&amp;jkm_call_put!$O:$O&amp;jkm_call_put!$F:$F,0),1),"")</f>
        <v/>
      </c>
      <c r="AA6" s="7" t="str" cm="1">
        <f t="array" aca="1" ref="AA6" ca="1">_xlfn.IFNA(INDEX(jkm_call_put!$M:$M,MATCH($B6&amp;AA$2&amp;$A$1,jkm_call_put!$G:$G&amp;jkm_call_put!$O:$O&amp;jkm_call_put!$F:$F,0),1),"")</f>
        <v/>
      </c>
      <c r="AB6" s="7" t="str" cm="1">
        <f t="array" aca="1" ref="AB6" ca="1">_xlfn.IFNA(INDEX(jkm_call_put!$M:$M,MATCH($B6&amp;AB$2&amp;$A$1,jkm_call_put!$G:$G&amp;jkm_call_put!$O:$O&amp;jkm_call_put!$F:$F,0),1),"")</f>
        <v/>
      </c>
      <c r="AC6" s="7" t="str" cm="1">
        <f t="array" aca="1" ref="AC6" ca="1">_xlfn.IFNA(INDEX(jkm_call_put!$M:$M,MATCH($B6&amp;AC$2&amp;$A$1,jkm_call_put!$G:$G&amp;jkm_call_put!$O:$O&amp;jkm_call_put!$F:$F,0),1),"")</f>
        <v/>
      </c>
      <c r="AD6" s="7" t="str" cm="1">
        <f t="array" aca="1" ref="AD6" ca="1">_xlfn.IFNA(INDEX(jkm_call_put!$M:$M,MATCH($B6&amp;AD$2&amp;$A$1,jkm_call_put!$G:$G&amp;jkm_call_put!$O:$O&amp;jkm_call_put!$F:$F,0),1),"")</f>
        <v/>
      </c>
      <c r="AE6" s="7" cm="1">
        <f t="array" aca="1" ref="AE6" ca="1">_xlfn.IFNA(INDEX(jkm_call_put!$M:$M,MATCH($B6&amp;AE$2&amp;$A$1,jkm_call_put!$G:$G&amp;jkm_call_put!$O:$O&amp;jkm_call_put!$F:$F,0),1),"")</f>
        <v>0.72696000000000005</v>
      </c>
      <c r="AF6" s="7" t="str" cm="1">
        <f t="array" aca="1" ref="AF6" ca="1">_xlfn.IFNA(INDEX(jkm_call_put!$M:$M,MATCH($B6&amp;AF$2&amp;$A$1,jkm_call_put!$G:$G&amp;jkm_call_put!$O:$O&amp;jkm_call_put!$F:$F,0),1),"")</f>
        <v/>
      </c>
      <c r="AG6" s="7" t="str" cm="1">
        <f t="array" aca="1" ref="AG6" ca="1">_xlfn.IFNA(INDEX(jkm_call_put!$M:$M,MATCH($B6&amp;AG$2&amp;$A$1,jkm_call_put!$G:$G&amp;jkm_call_put!$O:$O&amp;jkm_call_put!$F:$F,0),1),"")</f>
        <v/>
      </c>
      <c r="AH6" s="7" t="str" cm="1">
        <f t="array" aca="1" ref="AH6" ca="1">_xlfn.IFNA(INDEX(jkm_call_put!$M:$M,MATCH($B6&amp;AH$2&amp;$A$1,jkm_call_put!$G:$G&amp;jkm_call_put!$O:$O&amp;jkm_call_put!$F:$F,0),1),"")</f>
        <v/>
      </c>
      <c r="AI6" s="7" t="str" cm="1">
        <f t="array" aca="1" ref="AI6" ca="1">_xlfn.IFNA(INDEX(jkm_call_put!$M:$M,MATCH($B6&amp;AI$2&amp;$A$1,jkm_call_put!$G:$G&amp;jkm_call_put!$O:$O&amp;jkm_call_put!$F:$F,0),1),"")</f>
        <v/>
      </c>
      <c r="AJ6" s="7" t="str" cm="1">
        <f t="array" aca="1" ref="AJ6" ca="1">_xlfn.IFNA(INDEX(jkm_call_put!$M:$M,MATCH($B6&amp;AJ$2&amp;$A$1,jkm_call_put!$G:$G&amp;jkm_call_put!$O:$O&amp;jkm_call_put!$F:$F,0),1),"")</f>
        <v/>
      </c>
      <c r="AK6" s="7" t="str" cm="1">
        <f t="array" aca="1" ref="AK6" ca="1">_xlfn.IFNA(INDEX(jkm_call_put!$M:$M,MATCH($B6&amp;AK$2&amp;$A$1,jkm_call_put!$G:$G&amp;jkm_call_put!$O:$O&amp;jkm_call_put!$F:$F,0),1),"")</f>
        <v/>
      </c>
      <c r="AL6" s="7" t="str" cm="1">
        <f t="array" aca="1" ref="AL6" ca="1">_xlfn.IFNA(INDEX(jkm_call_put!$M:$M,MATCH($B6&amp;AL$2&amp;$A$1,jkm_call_put!$G:$G&amp;jkm_call_put!$O:$O&amp;jkm_call_put!$F:$F,0),1),"")</f>
        <v/>
      </c>
    </row>
    <row r="7" spans="1:38" x14ac:dyDescent="0.25">
      <c r="B7">
        <v>8</v>
      </c>
      <c r="C7" s="7" cm="1">
        <f t="array" aca="1" ref="C7" ca="1">_xlfn.IFNA(INDEX(jkm_call_put!$M:$M,MATCH($B7&amp;C$2&amp;$A$1,jkm_call_put!$G:$G&amp;jkm_call_put!$O:$O&amp;jkm_call_put!$F:$F,0),1),"")</f>
        <v>1</v>
      </c>
      <c r="D7" s="7" cm="1">
        <f t="array" aca="1" ref="D7" ca="1">_xlfn.IFNA(INDEX(jkm_call_put!$M:$M,MATCH($B7&amp;D$2&amp;$A$1,jkm_call_put!$G:$G&amp;jkm_call_put!$O:$O&amp;jkm_call_put!$F:$F,0),1),"")</f>
        <v>1</v>
      </c>
      <c r="E7" s="7" cm="1">
        <f t="array" aca="1" ref="E7" ca="1">_xlfn.IFNA(INDEX(jkm_call_put!$M:$M,MATCH($B7&amp;E$2&amp;$A$1,jkm_call_put!$G:$G&amp;jkm_call_put!$O:$O&amp;jkm_call_put!$F:$F,0),1),"")</f>
        <v>0.99251</v>
      </c>
      <c r="F7" s="7" cm="1">
        <f t="array" aca="1" ref="F7" ca="1">_xlfn.IFNA(INDEX(jkm_call_put!$M:$M,MATCH($B7&amp;F$2&amp;$A$1,jkm_call_put!$G:$G&amp;jkm_call_put!$O:$O&amp;jkm_call_put!$F:$F,0),1),"")</f>
        <v>0.98011000000000004</v>
      </c>
      <c r="G7" s="7" cm="1">
        <f t="array" aca="1" ref="G7" ca="1">_xlfn.IFNA(INDEX(jkm_call_put!$M:$M,MATCH($B7&amp;G$2&amp;$A$1,jkm_call_put!$G:$G&amp;jkm_call_put!$O:$O&amp;jkm_call_put!$F:$F,0),1),"")</f>
        <v>0.96626999999999996</v>
      </c>
      <c r="H7" s="7" t="str" cm="1">
        <f t="array" aca="1" ref="H7" ca="1">_xlfn.IFNA(INDEX(jkm_call_put!$M:$M,MATCH($B7&amp;H$2&amp;$A$1,jkm_call_put!$G:$G&amp;jkm_call_put!$O:$O&amp;jkm_call_put!$F:$F,0),1),"")</f>
        <v/>
      </c>
      <c r="I7" s="7" t="str" cm="1">
        <f t="array" aca="1" ref="I7" ca="1">_xlfn.IFNA(INDEX(jkm_call_put!$M:$M,MATCH($B7&amp;I$2&amp;$A$1,jkm_call_put!$G:$G&amp;jkm_call_put!$O:$O&amp;jkm_call_put!$F:$F,0),1),"")</f>
        <v/>
      </c>
      <c r="J7" s="7" cm="1">
        <f t="array" aca="1" ref="J7" ca="1">_xlfn.IFNA(INDEX(jkm_call_put!$M:$M,MATCH($B7&amp;J$2&amp;$A$1,jkm_call_put!$G:$G&amp;jkm_call_put!$O:$O&amp;jkm_call_put!$F:$F,0),1),"")</f>
        <v>0.96196000000000004</v>
      </c>
      <c r="K7" s="7" cm="1">
        <f t="array" aca="1" ref="K7" ca="1">_xlfn.IFNA(INDEX(jkm_call_put!$M:$M,MATCH($B7&amp;K$2&amp;$A$1,jkm_call_put!$G:$G&amp;jkm_call_put!$O:$O&amp;jkm_call_put!$F:$F,0),1),"")</f>
        <v>0.95413000000000003</v>
      </c>
      <c r="L7" s="7" cm="1">
        <f t="array" aca="1" ref="L7" ca="1">_xlfn.IFNA(INDEX(jkm_call_put!$M:$M,MATCH($B7&amp;L$2&amp;$A$1,jkm_call_put!$G:$G&amp;jkm_call_put!$O:$O&amp;jkm_call_put!$F:$F,0),1),"")</f>
        <v>0.94416</v>
      </c>
      <c r="M7" s="7" cm="1">
        <f t="array" aca="1" ref="M7" ca="1">_xlfn.IFNA(INDEX(jkm_call_put!$M:$M,MATCH($B7&amp;M$2&amp;$A$1,jkm_call_put!$G:$G&amp;jkm_call_put!$O:$O&amp;jkm_call_put!$F:$F,0),1),"")</f>
        <v>0.92022000000000004</v>
      </c>
      <c r="N7" s="7" t="str" cm="1">
        <f t="array" aca="1" ref="N7" ca="1">_xlfn.IFNA(INDEX(jkm_call_put!$M:$M,MATCH($B7&amp;N$2&amp;$A$1,jkm_call_put!$G:$G&amp;jkm_call_put!$O:$O&amp;jkm_call_put!$F:$F,0),1),"")</f>
        <v/>
      </c>
      <c r="O7" s="7" cm="1">
        <f t="array" aca="1" ref="O7" ca="1">_xlfn.IFNA(INDEX(jkm_call_put!$M:$M,MATCH($B7&amp;O$2&amp;$A$1,jkm_call_put!$G:$G&amp;jkm_call_put!$O:$O&amp;jkm_call_put!$F:$F,0),1),"")</f>
        <v>0.88558999999999999</v>
      </c>
      <c r="P7" s="7" cm="1">
        <f t="array" aca="1" ref="P7" ca="1">_xlfn.IFNA(INDEX(jkm_call_put!$M:$M,MATCH($B7&amp;P$2&amp;$A$1,jkm_call_put!$G:$G&amp;jkm_call_put!$O:$O&amp;jkm_call_put!$F:$F,0),1),"")</f>
        <v>0.86955000000000005</v>
      </c>
      <c r="Q7" s="7" t="str" cm="1">
        <f t="array" aca="1" ref="Q7" ca="1">_xlfn.IFNA(INDEX(jkm_call_put!$M:$M,MATCH($B7&amp;Q$2&amp;$A$1,jkm_call_put!$G:$G&amp;jkm_call_put!$O:$O&amp;jkm_call_put!$F:$F,0),1),"")</f>
        <v/>
      </c>
      <c r="R7" s="7" t="str" cm="1">
        <f t="array" aca="1" ref="R7" ca="1">_xlfn.IFNA(INDEX(jkm_call_put!$M:$M,MATCH($B7&amp;R$2&amp;$A$1,jkm_call_put!$G:$G&amp;jkm_call_put!$O:$O&amp;jkm_call_put!$F:$F,0),1),"")</f>
        <v/>
      </c>
      <c r="S7" s="7" t="str" cm="1">
        <f t="array" aca="1" ref="S7" ca="1">_xlfn.IFNA(INDEX(jkm_call_put!$M:$M,MATCH($B7&amp;S$2&amp;$A$1,jkm_call_put!$G:$G&amp;jkm_call_put!$O:$O&amp;jkm_call_put!$F:$F,0),1),"")</f>
        <v/>
      </c>
      <c r="T7" s="7" t="str" cm="1">
        <f t="array" aca="1" ref="T7" ca="1">_xlfn.IFNA(INDEX(jkm_call_put!$M:$M,MATCH($B7&amp;T$2&amp;$A$1,jkm_call_put!$G:$G&amp;jkm_call_put!$O:$O&amp;jkm_call_put!$F:$F,0),1),"")</f>
        <v/>
      </c>
      <c r="U7" s="7" t="str" cm="1">
        <f t="array" aca="1" ref="U7" ca="1">_xlfn.IFNA(INDEX(jkm_call_put!$M:$M,MATCH($B7&amp;U$2&amp;$A$1,jkm_call_put!$G:$G&amp;jkm_call_put!$O:$O&amp;jkm_call_put!$F:$F,0),1),"")</f>
        <v/>
      </c>
      <c r="V7" s="7" t="str" cm="1">
        <f t="array" aca="1" ref="V7" ca="1">_xlfn.IFNA(INDEX(jkm_call_put!$M:$M,MATCH($B7&amp;V$2&amp;$A$1,jkm_call_put!$G:$G&amp;jkm_call_put!$O:$O&amp;jkm_call_put!$F:$F,0),1),"")</f>
        <v/>
      </c>
      <c r="W7" s="7" cm="1">
        <f t="array" aca="1" ref="W7" ca="1">_xlfn.IFNA(INDEX(jkm_call_put!$M:$M,MATCH($B7&amp;W$2&amp;$A$1,jkm_call_put!$G:$G&amp;jkm_call_put!$O:$O&amp;jkm_call_put!$F:$F,0),1),"")</f>
        <v>0.88154999999999994</v>
      </c>
      <c r="X7" s="7" cm="1">
        <f t="array" aca="1" ref="X7" ca="1">_xlfn.IFNA(INDEX(jkm_call_put!$M:$M,MATCH($B7&amp;X$2&amp;$A$1,jkm_call_put!$G:$G&amp;jkm_call_put!$O:$O&amp;jkm_call_put!$F:$F,0),1),"")</f>
        <v>0.87844999999999995</v>
      </c>
      <c r="Y7" s="7" cm="1">
        <f t="array" aca="1" ref="Y7" ca="1">_xlfn.IFNA(INDEX(jkm_call_put!$M:$M,MATCH($B7&amp;Y$2&amp;$A$1,jkm_call_put!$G:$G&amp;jkm_call_put!$O:$O&amp;jkm_call_put!$F:$F,0),1),"")</f>
        <v>0.85684000000000005</v>
      </c>
      <c r="Z7" s="7" cm="1">
        <f t="array" aca="1" ref="Z7" ca="1">_xlfn.IFNA(INDEX(jkm_call_put!$M:$M,MATCH($B7&amp;Z$2&amp;$A$1,jkm_call_put!$G:$G&amp;jkm_call_put!$O:$O&amp;jkm_call_put!$F:$F,0),1),"")</f>
        <v>0.71557000000000004</v>
      </c>
      <c r="AA7" s="7" cm="1">
        <f t="array" aca="1" ref="AA7" ca="1">_xlfn.IFNA(INDEX(jkm_call_put!$M:$M,MATCH($B7&amp;AA$2&amp;$A$1,jkm_call_put!$G:$G&amp;jkm_call_put!$O:$O&amp;jkm_call_put!$F:$F,0),1),"")</f>
        <v>0.69072</v>
      </c>
      <c r="AB7" s="7" cm="1">
        <f t="array" aca="1" ref="AB7" ca="1">_xlfn.IFNA(INDEX(jkm_call_put!$M:$M,MATCH($B7&amp;AB$2&amp;$A$1,jkm_call_put!$G:$G&amp;jkm_call_put!$O:$O&amp;jkm_call_put!$F:$F,0),1),"")</f>
        <v>0.68196999999999997</v>
      </c>
      <c r="AC7" s="7" cm="1">
        <f t="array" aca="1" ref="AC7" ca="1">_xlfn.IFNA(INDEX(jkm_call_put!$M:$M,MATCH($B7&amp;AC$2&amp;$A$1,jkm_call_put!$G:$G&amp;jkm_call_put!$O:$O&amp;jkm_call_put!$F:$F,0),1),"")</f>
        <v>0.68478000000000006</v>
      </c>
      <c r="AD7" s="7" cm="1">
        <f t="array" aca="1" ref="AD7" ca="1">_xlfn.IFNA(INDEX(jkm_call_put!$M:$M,MATCH($B7&amp;AD$2&amp;$A$1,jkm_call_put!$G:$G&amp;jkm_call_put!$O:$O&amp;jkm_call_put!$F:$F,0),1),"")</f>
        <v>0.68513000000000002</v>
      </c>
      <c r="AE7" s="7" cm="1">
        <f t="array" aca="1" ref="AE7" ca="1">_xlfn.IFNA(INDEX(jkm_call_put!$M:$M,MATCH($B7&amp;AE$2&amp;$A$1,jkm_call_put!$G:$G&amp;jkm_call_put!$O:$O&amp;jkm_call_put!$F:$F,0),1),"")</f>
        <v>0.68962000000000001</v>
      </c>
      <c r="AF7" s="7" cm="1">
        <f t="array" aca="1" ref="AF7" ca="1">_xlfn.IFNA(INDEX(jkm_call_put!$M:$M,MATCH($B7&amp;AF$2&amp;$A$1,jkm_call_put!$G:$G&amp;jkm_call_put!$O:$O&amp;jkm_call_put!$F:$F,0),1),"")</f>
        <v>0.69516999999999995</v>
      </c>
      <c r="AG7" s="7" cm="1">
        <f t="array" aca="1" ref="AG7" ca="1">_xlfn.IFNA(INDEX(jkm_call_put!$M:$M,MATCH($B7&amp;AG$2&amp;$A$1,jkm_call_put!$G:$G&amp;jkm_call_put!$O:$O&amp;jkm_call_put!$F:$F,0),1),"")</f>
        <v>0.70616000000000001</v>
      </c>
      <c r="AH7" s="7" cm="1">
        <f t="array" aca="1" ref="AH7" ca="1">_xlfn.IFNA(INDEX(jkm_call_put!$M:$M,MATCH($B7&amp;AH$2&amp;$A$1,jkm_call_put!$G:$G&amp;jkm_call_put!$O:$O&amp;jkm_call_put!$F:$F,0),1),"")</f>
        <v>0.71384000000000003</v>
      </c>
      <c r="AI7" s="7" t="str" cm="1">
        <f t="array" aca="1" ref="AI7" ca="1">_xlfn.IFNA(INDEX(jkm_call_put!$M:$M,MATCH($B7&amp;AI$2&amp;$A$1,jkm_call_put!$G:$G&amp;jkm_call_put!$O:$O&amp;jkm_call_put!$F:$F,0),1),"")</f>
        <v/>
      </c>
      <c r="AJ7" s="7" t="str" cm="1">
        <f t="array" aca="1" ref="AJ7" ca="1">_xlfn.IFNA(INDEX(jkm_call_put!$M:$M,MATCH($B7&amp;AJ$2&amp;$A$1,jkm_call_put!$G:$G&amp;jkm_call_put!$O:$O&amp;jkm_call_put!$F:$F,0),1),"")</f>
        <v/>
      </c>
      <c r="AK7" s="7" t="str" cm="1">
        <f t="array" aca="1" ref="AK7" ca="1">_xlfn.IFNA(INDEX(jkm_call_put!$M:$M,MATCH($B7&amp;AK$2&amp;$A$1,jkm_call_put!$G:$G&amp;jkm_call_put!$O:$O&amp;jkm_call_put!$F:$F,0),1),"")</f>
        <v/>
      </c>
      <c r="AL7" s="7" t="str" cm="1">
        <f t="array" aca="1" ref="AL7" ca="1">_xlfn.IFNA(INDEX(jkm_call_put!$M:$M,MATCH($B7&amp;AL$2&amp;$A$1,jkm_call_put!$G:$G&amp;jkm_call_put!$O:$O&amp;jkm_call_put!$F:$F,0),1),"")</f>
        <v/>
      </c>
    </row>
    <row r="8" spans="1:38" x14ac:dyDescent="0.25">
      <c r="B8">
        <v>8.5</v>
      </c>
      <c r="C8" s="7" t="str" cm="1">
        <f t="array" aca="1" ref="C8" ca="1">_xlfn.IFNA(INDEX(jkm_call_put!$M:$M,MATCH($B8&amp;C$2&amp;$A$1,jkm_call_put!$G:$G&amp;jkm_call_put!$O:$O&amp;jkm_call_put!$F:$F,0),1),"")</f>
        <v/>
      </c>
      <c r="D8" s="7" cm="1">
        <f t="array" aca="1" ref="D8" ca="1">_xlfn.IFNA(INDEX(jkm_call_put!$M:$M,MATCH($B8&amp;D$2&amp;$A$1,jkm_call_put!$G:$G&amp;jkm_call_put!$O:$O&amp;jkm_call_put!$F:$F,0),1),"")</f>
        <v>1</v>
      </c>
      <c r="E8" s="7" cm="1">
        <f t="array" aca="1" ref="E8" ca="1">_xlfn.IFNA(INDEX(jkm_call_put!$M:$M,MATCH($B8&amp;E$2&amp;$A$1,jkm_call_put!$G:$G&amp;jkm_call_put!$O:$O&amp;jkm_call_put!$F:$F,0),1),"")</f>
        <v>0.98841000000000001</v>
      </c>
      <c r="F8" s="7" t="str" cm="1">
        <f t="array" aca="1" ref="F8" ca="1">_xlfn.IFNA(INDEX(jkm_call_put!$M:$M,MATCH($B8&amp;F$2&amp;$A$1,jkm_call_put!$G:$G&amp;jkm_call_put!$O:$O&amp;jkm_call_put!$F:$F,0),1),"")</f>
        <v/>
      </c>
      <c r="G8" s="7" t="str" cm="1">
        <f t="array" aca="1" ref="G8" ca="1">_xlfn.IFNA(INDEX(jkm_call_put!$M:$M,MATCH($B8&amp;G$2&amp;$A$1,jkm_call_put!$G:$G&amp;jkm_call_put!$O:$O&amp;jkm_call_put!$F:$F,0),1),"")</f>
        <v/>
      </c>
      <c r="H8" s="7" cm="1">
        <f t="array" aca="1" ref="H8" ca="1">_xlfn.IFNA(INDEX(jkm_call_put!$M:$M,MATCH($B8&amp;H$2&amp;$A$1,jkm_call_put!$G:$G&amp;jkm_call_put!$O:$O&amp;jkm_call_put!$F:$F,0),1),"")</f>
        <v>0.96747000000000005</v>
      </c>
      <c r="I8" s="7" cm="1">
        <f t="array" aca="1" ref="I8" ca="1">_xlfn.IFNA(INDEX(jkm_call_put!$M:$M,MATCH($B8&amp;I$2&amp;$A$1,jkm_call_put!$G:$G&amp;jkm_call_put!$O:$O&amp;jkm_call_put!$F:$F,0),1),"")</f>
        <v>0.95752999999999999</v>
      </c>
      <c r="J8" s="7" t="str" cm="1">
        <f t="array" aca="1" ref="J8" ca="1">_xlfn.IFNA(INDEX(jkm_call_put!$M:$M,MATCH($B8&amp;J$2&amp;$A$1,jkm_call_put!$G:$G&amp;jkm_call_put!$O:$O&amp;jkm_call_put!$F:$F,0),1),"")</f>
        <v/>
      </c>
      <c r="K8" s="7" cm="1">
        <f t="array" aca="1" ref="K8" ca="1">_xlfn.IFNA(INDEX(jkm_call_put!$M:$M,MATCH($B8&amp;K$2&amp;$A$1,jkm_call_put!$G:$G&amp;jkm_call_put!$O:$O&amp;jkm_call_put!$F:$F,0),1),"")</f>
        <v>0.94233</v>
      </c>
      <c r="L8" s="7" t="str" cm="1">
        <f t="array" aca="1" ref="L8" ca="1">_xlfn.IFNA(INDEX(jkm_call_put!$M:$M,MATCH($B8&amp;L$2&amp;$A$1,jkm_call_put!$G:$G&amp;jkm_call_put!$O:$O&amp;jkm_call_put!$F:$F,0),1),"")</f>
        <v/>
      </c>
      <c r="M8" s="7" t="str" cm="1">
        <f t="array" aca="1" ref="M8" ca="1">_xlfn.IFNA(INDEX(jkm_call_put!$M:$M,MATCH($B8&amp;M$2&amp;$A$1,jkm_call_put!$G:$G&amp;jkm_call_put!$O:$O&amp;jkm_call_put!$F:$F,0),1),"")</f>
        <v/>
      </c>
      <c r="N8" s="7" t="str" cm="1">
        <f t="array" aca="1" ref="N8" ca="1">_xlfn.IFNA(INDEX(jkm_call_put!$M:$M,MATCH($B8&amp;N$2&amp;$A$1,jkm_call_put!$G:$G&amp;jkm_call_put!$O:$O&amp;jkm_call_put!$F:$F,0),1),"")</f>
        <v/>
      </c>
      <c r="O8" s="7" t="str" cm="1">
        <f t="array" aca="1" ref="O8" ca="1">_xlfn.IFNA(INDEX(jkm_call_put!$M:$M,MATCH($B8&amp;O$2&amp;$A$1,jkm_call_put!$G:$G&amp;jkm_call_put!$O:$O&amp;jkm_call_put!$F:$F,0),1),"")</f>
        <v/>
      </c>
      <c r="P8" s="7" t="str" cm="1">
        <f t="array" aca="1" ref="P8" ca="1">_xlfn.IFNA(INDEX(jkm_call_put!$M:$M,MATCH($B8&amp;P$2&amp;$A$1,jkm_call_put!$G:$G&amp;jkm_call_put!$O:$O&amp;jkm_call_put!$F:$F,0),1),"")</f>
        <v/>
      </c>
      <c r="Q8" s="7" t="str" cm="1">
        <f t="array" aca="1" ref="Q8" ca="1">_xlfn.IFNA(INDEX(jkm_call_put!$M:$M,MATCH($B8&amp;Q$2&amp;$A$1,jkm_call_put!$G:$G&amp;jkm_call_put!$O:$O&amp;jkm_call_put!$F:$F,0),1),"")</f>
        <v/>
      </c>
      <c r="R8" s="7" t="str" cm="1">
        <f t="array" aca="1" ref="R8" ca="1">_xlfn.IFNA(INDEX(jkm_call_put!$M:$M,MATCH($B8&amp;R$2&amp;$A$1,jkm_call_put!$G:$G&amp;jkm_call_put!$O:$O&amp;jkm_call_put!$F:$F,0),1),"")</f>
        <v/>
      </c>
      <c r="S8" s="7" t="str" cm="1">
        <f t="array" aca="1" ref="S8" ca="1">_xlfn.IFNA(INDEX(jkm_call_put!$M:$M,MATCH($B8&amp;S$2&amp;$A$1,jkm_call_put!$G:$G&amp;jkm_call_put!$O:$O&amp;jkm_call_put!$F:$F,0),1),"")</f>
        <v/>
      </c>
      <c r="T8" s="7" t="str" cm="1">
        <f t="array" aca="1" ref="T8" ca="1">_xlfn.IFNA(INDEX(jkm_call_put!$M:$M,MATCH($B8&amp;T$2&amp;$A$1,jkm_call_put!$G:$G&amp;jkm_call_put!$O:$O&amp;jkm_call_put!$F:$F,0),1),"")</f>
        <v/>
      </c>
      <c r="U8" s="7" t="str" cm="1">
        <f t="array" aca="1" ref="U8" ca="1">_xlfn.IFNA(INDEX(jkm_call_put!$M:$M,MATCH($B8&amp;U$2&amp;$A$1,jkm_call_put!$G:$G&amp;jkm_call_put!$O:$O&amp;jkm_call_put!$F:$F,0),1),"")</f>
        <v/>
      </c>
      <c r="V8" s="7" t="str" cm="1">
        <f t="array" aca="1" ref="V8" ca="1">_xlfn.IFNA(INDEX(jkm_call_put!$M:$M,MATCH($B8&amp;V$2&amp;$A$1,jkm_call_put!$G:$G&amp;jkm_call_put!$O:$O&amp;jkm_call_put!$F:$F,0),1),"")</f>
        <v/>
      </c>
      <c r="W8" s="7" t="str" cm="1">
        <f t="array" aca="1" ref="W8" ca="1">_xlfn.IFNA(INDEX(jkm_call_put!$M:$M,MATCH($B8&amp;W$2&amp;$A$1,jkm_call_put!$G:$G&amp;jkm_call_put!$O:$O&amp;jkm_call_put!$F:$F,0),1),"")</f>
        <v/>
      </c>
      <c r="X8" s="7" t="str" cm="1">
        <f t="array" aca="1" ref="X8" ca="1">_xlfn.IFNA(INDEX(jkm_call_put!$M:$M,MATCH($B8&amp;X$2&amp;$A$1,jkm_call_put!$G:$G&amp;jkm_call_put!$O:$O&amp;jkm_call_put!$F:$F,0),1),"")</f>
        <v/>
      </c>
      <c r="Y8" s="7" t="str" cm="1">
        <f t="array" aca="1" ref="Y8" ca="1">_xlfn.IFNA(INDEX(jkm_call_put!$M:$M,MATCH($B8&amp;Y$2&amp;$A$1,jkm_call_put!$G:$G&amp;jkm_call_put!$O:$O&amp;jkm_call_put!$F:$F,0),1),"")</f>
        <v/>
      </c>
      <c r="Z8" s="7" t="str" cm="1">
        <f t="array" aca="1" ref="Z8" ca="1">_xlfn.IFNA(INDEX(jkm_call_put!$M:$M,MATCH($B8&amp;Z$2&amp;$A$1,jkm_call_put!$G:$G&amp;jkm_call_put!$O:$O&amp;jkm_call_put!$F:$F,0),1),"")</f>
        <v/>
      </c>
      <c r="AA8" s="7" t="str" cm="1">
        <f t="array" aca="1" ref="AA8" ca="1">_xlfn.IFNA(INDEX(jkm_call_put!$M:$M,MATCH($B8&amp;AA$2&amp;$A$1,jkm_call_put!$G:$G&amp;jkm_call_put!$O:$O&amp;jkm_call_put!$F:$F,0),1),"")</f>
        <v/>
      </c>
      <c r="AB8" s="7" t="str" cm="1">
        <f t="array" aca="1" ref="AB8" ca="1">_xlfn.IFNA(INDEX(jkm_call_put!$M:$M,MATCH($B8&amp;AB$2&amp;$A$1,jkm_call_put!$G:$G&amp;jkm_call_put!$O:$O&amp;jkm_call_put!$F:$F,0),1),"")</f>
        <v/>
      </c>
      <c r="AC8" s="7" t="str" cm="1">
        <f t="array" aca="1" ref="AC8" ca="1">_xlfn.IFNA(INDEX(jkm_call_put!$M:$M,MATCH($B8&amp;AC$2&amp;$A$1,jkm_call_put!$G:$G&amp;jkm_call_put!$O:$O&amp;jkm_call_put!$F:$F,0),1),"")</f>
        <v/>
      </c>
      <c r="AD8" s="7" t="str" cm="1">
        <f t="array" aca="1" ref="AD8" ca="1">_xlfn.IFNA(INDEX(jkm_call_put!$M:$M,MATCH($B8&amp;AD$2&amp;$A$1,jkm_call_put!$G:$G&amp;jkm_call_put!$O:$O&amp;jkm_call_put!$F:$F,0),1),"")</f>
        <v/>
      </c>
      <c r="AE8" s="7" t="str" cm="1">
        <f t="array" aca="1" ref="AE8" ca="1">_xlfn.IFNA(INDEX(jkm_call_put!$M:$M,MATCH($B8&amp;AE$2&amp;$A$1,jkm_call_put!$G:$G&amp;jkm_call_put!$O:$O&amp;jkm_call_put!$F:$F,0),1),"")</f>
        <v/>
      </c>
      <c r="AF8" s="7" t="str" cm="1">
        <f t="array" aca="1" ref="AF8" ca="1">_xlfn.IFNA(INDEX(jkm_call_put!$M:$M,MATCH($B8&amp;AF$2&amp;$A$1,jkm_call_put!$G:$G&amp;jkm_call_put!$O:$O&amp;jkm_call_put!$F:$F,0),1),"")</f>
        <v/>
      </c>
      <c r="AG8" s="7" t="str" cm="1">
        <f t="array" aca="1" ref="AG8" ca="1">_xlfn.IFNA(INDEX(jkm_call_put!$M:$M,MATCH($B8&amp;AG$2&amp;$A$1,jkm_call_put!$G:$G&amp;jkm_call_put!$O:$O&amp;jkm_call_put!$F:$F,0),1),"")</f>
        <v/>
      </c>
      <c r="AH8" s="7" t="str" cm="1">
        <f t="array" aca="1" ref="AH8" ca="1">_xlfn.IFNA(INDEX(jkm_call_put!$M:$M,MATCH($B8&amp;AH$2&amp;$A$1,jkm_call_put!$G:$G&amp;jkm_call_put!$O:$O&amp;jkm_call_put!$F:$F,0),1),"")</f>
        <v/>
      </c>
      <c r="AI8" s="7" t="str" cm="1">
        <f t="array" aca="1" ref="AI8" ca="1">_xlfn.IFNA(INDEX(jkm_call_put!$M:$M,MATCH($B8&amp;AI$2&amp;$A$1,jkm_call_put!$G:$G&amp;jkm_call_put!$O:$O&amp;jkm_call_put!$F:$F,0),1),"")</f>
        <v/>
      </c>
      <c r="AJ8" s="7" t="str" cm="1">
        <f t="array" aca="1" ref="AJ8" ca="1">_xlfn.IFNA(INDEX(jkm_call_put!$M:$M,MATCH($B8&amp;AJ$2&amp;$A$1,jkm_call_put!$G:$G&amp;jkm_call_put!$O:$O&amp;jkm_call_put!$F:$F,0),1),"")</f>
        <v/>
      </c>
      <c r="AK8" s="7" t="str" cm="1">
        <f t="array" aca="1" ref="AK8" ca="1">_xlfn.IFNA(INDEX(jkm_call_put!$M:$M,MATCH($B8&amp;AK$2&amp;$A$1,jkm_call_put!$G:$G&amp;jkm_call_put!$O:$O&amp;jkm_call_put!$F:$F,0),1),"")</f>
        <v/>
      </c>
      <c r="AL8" s="7" t="str" cm="1">
        <f t="array" aca="1" ref="AL8" ca="1">_xlfn.IFNA(INDEX(jkm_call_put!$M:$M,MATCH($B8&amp;AL$2&amp;$A$1,jkm_call_put!$G:$G&amp;jkm_call_put!$O:$O&amp;jkm_call_put!$F:$F,0),1),"")</f>
        <v/>
      </c>
    </row>
    <row r="9" spans="1:38" x14ac:dyDescent="0.25">
      <c r="B9">
        <v>9</v>
      </c>
      <c r="C9" s="7" cm="1">
        <f t="array" aca="1" ref="C9" ca="1">_xlfn.IFNA(INDEX(jkm_call_put!$M:$M,MATCH($B9&amp;C$2&amp;$A$1,jkm_call_put!$G:$G&amp;jkm_call_put!$O:$O&amp;jkm_call_put!$F:$F,0),1),"")</f>
        <v>1</v>
      </c>
      <c r="D9" s="7" cm="1">
        <f t="array" aca="1" ref="D9" ca="1">_xlfn.IFNA(INDEX(jkm_call_put!$M:$M,MATCH($B9&amp;D$2&amp;$A$1,jkm_call_put!$G:$G&amp;jkm_call_put!$O:$O&amp;jkm_call_put!$F:$F,0),1),"")</f>
        <v>0.99999000000000005</v>
      </c>
      <c r="E9" s="7" cm="1">
        <f t="array" aca="1" ref="E9" ca="1">_xlfn.IFNA(INDEX(jkm_call_put!$M:$M,MATCH($B9&amp;E$2&amp;$A$1,jkm_call_put!$G:$G&amp;jkm_call_put!$O:$O&amp;jkm_call_put!$F:$F,0),1),"")</f>
        <v>0.98287999999999998</v>
      </c>
      <c r="F9" s="7" cm="1">
        <f t="array" aca="1" ref="F9" ca="1">_xlfn.IFNA(INDEX(jkm_call_put!$M:$M,MATCH($B9&amp;F$2&amp;$A$1,jkm_call_put!$G:$G&amp;jkm_call_put!$O:$O&amp;jkm_call_put!$F:$F,0),1),"")</f>
        <v>0.96338000000000001</v>
      </c>
      <c r="G9" s="7" cm="1">
        <f t="array" aca="1" ref="G9" ca="1">_xlfn.IFNA(INDEX(jkm_call_put!$M:$M,MATCH($B9&amp;G$2&amp;$A$1,jkm_call_put!$G:$G&amp;jkm_call_put!$O:$O&amp;jkm_call_put!$F:$F,0),1),"")</f>
        <v>0.94484000000000001</v>
      </c>
      <c r="H9" s="7" cm="1">
        <f t="array" aca="1" ref="H9" ca="1">_xlfn.IFNA(INDEX(jkm_call_put!$M:$M,MATCH($B9&amp;H$2&amp;$A$1,jkm_call_put!$G:$G&amp;jkm_call_put!$O:$O&amp;jkm_call_put!$F:$F,0),1),"")</f>
        <v>0.95667000000000002</v>
      </c>
      <c r="I9" s="7" cm="1">
        <f t="array" aca="1" ref="I9" ca="1">_xlfn.IFNA(INDEX(jkm_call_put!$M:$M,MATCH($B9&amp;I$2&amp;$A$1,jkm_call_put!$G:$G&amp;jkm_call_put!$O:$O&amp;jkm_call_put!$F:$F,0),1),"")</f>
        <v>0.94543999999999995</v>
      </c>
      <c r="J9" s="7" cm="1">
        <f t="array" aca="1" ref="J9" ca="1">_xlfn.IFNA(INDEX(jkm_call_put!$M:$M,MATCH($B9&amp;J$2&amp;$A$1,jkm_call_put!$G:$G&amp;jkm_call_put!$O:$O&amp;jkm_call_put!$F:$F,0),1),"")</f>
        <v>0.93855999999999995</v>
      </c>
      <c r="K9" s="7" cm="1">
        <f t="array" aca="1" ref="K9" ca="1">_xlfn.IFNA(INDEX(jkm_call_put!$M:$M,MATCH($B9&amp;K$2&amp;$A$1,jkm_call_put!$G:$G&amp;jkm_call_put!$O:$O&amp;jkm_call_put!$F:$F,0),1),"")</f>
        <v>0.92915000000000003</v>
      </c>
      <c r="L9" s="7" cm="1">
        <f t="array" aca="1" ref="L9" ca="1">_xlfn.IFNA(INDEX(jkm_call_put!$M:$M,MATCH($B9&amp;L$2&amp;$A$1,jkm_call_put!$G:$G&amp;jkm_call_put!$O:$O&amp;jkm_call_put!$F:$F,0),1),"")</f>
        <v>0.91715000000000002</v>
      </c>
      <c r="M9" s="7" cm="1">
        <f t="array" aca="1" ref="M9" ca="1">_xlfn.IFNA(INDEX(jkm_call_put!$M:$M,MATCH($B9&amp;M$2&amp;$A$1,jkm_call_put!$G:$G&amp;jkm_call_put!$O:$O&amp;jkm_call_put!$F:$F,0),1),"")</f>
        <v>0.88734000000000002</v>
      </c>
      <c r="N9" s="7" t="str" cm="1">
        <f t="array" aca="1" ref="N9" ca="1">_xlfn.IFNA(INDEX(jkm_call_put!$M:$M,MATCH($B9&amp;N$2&amp;$A$1,jkm_call_put!$G:$G&amp;jkm_call_put!$O:$O&amp;jkm_call_put!$F:$F,0),1),"")</f>
        <v/>
      </c>
      <c r="O9" s="7" t="str" cm="1">
        <f t="array" aca="1" ref="O9" ca="1">_xlfn.IFNA(INDEX(jkm_call_put!$M:$M,MATCH($B9&amp;O$2&amp;$A$1,jkm_call_put!$G:$G&amp;jkm_call_put!$O:$O&amp;jkm_call_put!$F:$F,0),1),"")</f>
        <v/>
      </c>
      <c r="P9" s="7" t="str" cm="1">
        <f t="array" aca="1" ref="P9" ca="1">_xlfn.IFNA(INDEX(jkm_call_put!$M:$M,MATCH($B9&amp;P$2&amp;$A$1,jkm_call_put!$G:$G&amp;jkm_call_put!$O:$O&amp;jkm_call_put!$F:$F,0),1),"")</f>
        <v/>
      </c>
      <c r="Q9" s="7" t="str" cm="1">
        <f t="array" aca="1" ref="Q9" ca="1">_xlfn.IFNA(INDEX(jkm_call_put!$M:$M,MATCH($B9&amp;Q$2&amp;$A$1,jkm_call_put!$G:$G&amp;jkm_call_put!$O:$O&amp;jkm_call_put!$F:$F,0),1),"")</f>
        <v/>
      </c>
      <c r="R9" s="7" t="str" cm="1">
        <f t="array" aca="1" ref="R9" ca="1">_xlfn.IFNA(INDEX(jkm_call_put!$M:$M,MATCH($B9&amp;R$2&amp;$A$1,jkm_call_put!$G:$G&amp;jkm_call_put!$O:$O&amp;jkm_call_put!$F:$F,0),1),"")</f>
        <v/>
      </c>
      <c r="S9" s="7" t="str" cm="1">
        <f t="array" aca="1" ref="S9" ca="1">_xlfn.IFNA(INDEX(jkm_call_put!$M:$M,MATCH($B9&amp;S$2&amp;$A$1,jkm_call_put!$G:$G&amp;jkm_call_put!$O:$O&amp;jkm_call_put!$F:$F,0),1),"")</f>
        <v/>
      </c>
      <c r="T9" s="7" t="str" cm="1">
        <f t="array" aca="1" ref="T9" ca="1">_xlfn.IFNA(INDEX(jkm_call_put!$M:$M,MATCH($B9&amp;T$2&amp;$A$1,jkm_call_put!$G:$G&amp;jkm_call_put!$O:$O&amp;jkm_call_put!$F:$F,0),1),"")</f>
        <v/>
      </c>
      <c r="U9" s="7" t="str" cm="1">
        <f t="array" aca="1" ref="U9" ca="1">_xlfn.IFNA(INDEX(jkm_call_put!$M:$M,MATCH($B9&amp;U$2&amp;$A$1,jkm_call_put!$G:$G&amp;jkm_call_put!$O:$O&amp;jkm_call_put!$F:$F,0),1),"")</f>
        <v/>
      </c>
      <c r="V9" s="7" t="str" cm="1">
        <f t="array" aca="1" ref="V9" ca="1">_xlfn.IFNA(INDEX(jkm_call_put!$M:$M,MATCH($B9&amp;V$2&amp;$A$1,jkm_call_put!$G:$G&amp;jkm_call_put!$O:$O&amp;jkm_call_put!$F:$F,0),1),"")</f>
        <v/>
      </c>
      <c r="W9" s="7" t="str" cm="1">
        <f t="array" aca="1" ref="W9" ca="1">_xlfn.IFNA(INDEX(jkm_call_put!$M:$M,MATCH($B9&amp;W$2&amp;$A$1,jkm_call_put!$G:$G&amp;jkm_call_put!$O:$O&amp;jkm_call_put!$F:$F,0),1),"")</f>
        <v/>
      </c>
      <c r="X9" s="7" t="str" cm="1">
        <f t="array" aca="1" ref="X9" ca="1">_xlfn.IFNA(INDEX(jkm_call_put!$M:$M,MATCH($B9&amp;X$2&amp;$A$1,jkm_call_put!$G:$G&amp;jkm_call_put!$O:$O&amp;jkm_call_put!$F:$F,0),1),"")</f>
        <v/>
      </c>
      <c r="Y9" s="7" t="str" cm="1">
        <f t="array" aca="1" ref="Y9" ca="1">_xlfn.IFNA(INDEX(jkm_call_put!$M:$M,MATCH($B9&amp;Y$2&amp;$A$1,jkm_call_put!$G:$G&amp;jkm_call_put!$O:$O&amp;jkm_call_put!$F:$F,0),1),"")</f>
        <v/>
      </c>
      <c r="Z9" s="7" t="str" cm="1">
        <f t="array" aca="1" ref="Z9" ca="1">_xlfn.IFNA(INDEX(jkm_call_put!$M:$M,MATCH($B9&amp;Z$2&amp;$A$1,jkm_call_put!$G:$G&amp;jkm_call_put!$O:$O&amp;jkm_call_put!$F:$F,0),1),"")</f>
        <v/>
      </c>
      <c r="AA9" s="7" t="str" cm="1">
        <f t="array" aca="1" ref="AA9" ca="1">_xlfn.IFNA(INDEX(jkm_call_put!$M:$M,MATCH($B9&amp;AA$2&amp;$A$1,jkm_call_put!$G:$G&amp;jkm_call_put!$O:$O&amp;jkm_call_put!$F:$F,0),1),"")</f>
        <v/>
      </c>
      <c r="AB9" s="7" t="str" cm="1">
        <f t="array" aca="1" ref="AB9" ca="1">_xlfn.IFNA(INDEX(jkm_call_put!$M:$M,MATCH($B9&amp;AB$2&amp;$A$1,jkm_call_put!$G:$G&amp;jkm_call_put!$O:$O&amp;jkm_call_put!$F:$F,0),1),"")</f>
        <v/>
      </c>
      <c r="AC9" s="7" t="str" cm="1">
        <f t="array" aca="1" ref="AC9" ca="1">_xlfn.IFNA(INDEX(jkm_call_put!$M:$M,MATCH($B9&amp;AC$2&amp;$A$1,jkm_call_put!$G:$G&amp;jkm_call_put!$O:$O&amp;jkm_call_put!$F:$F,0),1),"")</f>
        <v/>
      </c>
      <c r="AD9" s="7" t="str" cm="1">
        <f t="array" aca="1" ref="AD9" ca="1">_xlfn.IFNA(INDEX(jkm_call_put!$M:$M,MATCH($B9&amp;AD$2&amp;$A$1,jkm_call_put!$G:$G&amp;jkm_call_put!$O:$O&amp;jkm_call_put!$F:$F,0),1),"")</f>
        <v/>
      </c>
      <c r="AE9" s="7" t="str" cm="1">
        <f t="array" aca="1" ref="AE9" ca="1">_xlfn.IFNA(INDEX(jkm_call_put!$M:$M,MATCH($B9&amp;AE$2&amp;$A$1,jkm_call_put!$G:$G&amp;jkm_call_put!$O:$O&amp;jkm_call_put!$F:$F,0),1),"")</f>
        <v/>
      </c>
      <c r="AF9" s="7" t="str" cm="1">
        <f t="array" aca="1" ref="AF9" ca="1">_xlfn.IFNA(INDEX(jkm_call_put!$M:$M,MATCH($B9&amp;AF$2&amp;$A$1,jkm_call_put!$G:$G&amp;jkm_call_put!$O:$O&amp;jkm_call_put!$F:$F,0),1),"")</f>
        <v/>
      </c>
      <c r="AG9" s="7" t="str" cm="1">
        <f t="array" aca="1" ref="AG9" ca="1">_xlfn.IFNA(INDEX(jkm_call_put!$M:$M,MATCH($B9&amp;AG$2&amp;$A$1,jkm_call_put!$G:$G&amp;jkm_call_put!$O:$O&amp;jkm_call_put!$F:$F,0),1),"")</f>
        <v/>
      </c>
      <c r="AH9" s="7" t="str" cm="1">
        <f t="array" aca="1" ref="AH9" ca="1">_xlfn.IFNA(INDEX(jkm_call_put!$M:$M,MATCH($B9&amp;AH$2&amp;$A$1,jkm_call_put!$G:$G&amp;jkm_call_put!$O:$O&amp;jkm_call_put!$F:$F,0),1),"")</f>
        <v/>
      </c>
      <c r="AI9" s="7" t="str" cm="1">
        <f t="array" aca="1" ref="AI9" ca="1">_xlfn.IFNA(INDEX(jkm_call_put!$M:$M,MATCH($B9&amp;AI$2&amp;$A$1,jkm_call_put!$G:$G&amp;jkm_call_put!$O:$O&amp;jkm_call_put!$F:$F,0),1),"")</f>
        <v/>
      </c>
      <c r="AJ9" s="7" t="str" cm="1">
        <f t="array" aca="1" ref="AJ9" ca="1">_xlfn.IFNA(INDEX(jkm_call_put!$M:$M,MATCH($B9&amp;AJ$2&amp;$A$1,jkm_call_put!$G:$G&amp;jkm_call_put!$O:$O&amp;jkm_call_put!$F:$F,0),1),"")</f>
        <v/>
      </c>
      <c r="AK9" s="7" t="str" cm="1">
        <f t="array" aca="1" ref="AK9" ca="1">_xlfn.IFNA(INDEX(jkm_call_put!$M:$M,MATCH($B9&amp;AK$2&amp;$A$1,jkm_call_put!$G:$G&amp;jkm_call_put!$O:$O&amp;jkm_call_put!$F:$F,0),1),"")</f>
        <v/>
      </c>
      <c r="AL9" s="7" t="str" cm="1">
        <f t="array" aca="1" ref="AL9" ca="1">_xlfn.IFNA(INDEX(jkm_call_put!$M:$M,MATCH($B9&amp;AL$2&amp;$A$1,jkm_call_put!$G:$G&amp;jkm_call_put!$O:$O&amp;jkm_call_put!$F:$F,0),1),"")</f>
        <v/>
      </c>
    </row>
    <row r="10" spans="1:38" x14ac:dyDescent="0.25">
      <c r="B10">
        <v>9.5</v>
      </c>
      <c r="C10" s="7" t="str" cm="1">
        <f t="array" aca="1" ref="C10" ca="1">_xlfn.IFNA(INDEX(jkm_call_put!$M:$M,MATCH($B10&amp;C$2&amp;$A$1,jkm_call_put!$G:$G&amp;jkm_call_put!$O:$O&amp;jkm_call_put!$F:$F,0),1),"")</f>
        <v/>
      </c>
      <c r="D10" s="7" t="str" cm="1">
        <f t="array" aca="1" ref="D10" ca="1">_xlfn.IFNA(INDEX(jkm_call_put!$M:$M,MATCH($B10&amp;D$2&amp;$A$1,jkm_call_put!$G:$G&amp;jkm_call_put!$O:$O&amp;jkm_call_put!$F:$F,0),1),"")</f>
        <v/>
      </c>
      <c r="E10" s="7" cm="1">
        <f t="array" aca="1" ref="E10" ca="1">_xlfn.IFNA(INDEX(jkm_call_put!$M:$M,MATCH($B10&amp;E$2&amp;$A$1,jkm_call_put!$G:$G&amp;jkm_call_put!$O:$O&amp;jkm_call_put!$F:$F,0),1),"")</f>
        <v>0.97572000000000003</v>
      </c>
      <c r="F10" s="7" t="str" cm="1">
        <f t="array" aca="1" ref="F10" ca="1">_xlfn.IFNA(INDEX(jkm_call_put!$M:$M,MATCH($B10&amp;F$2&amp;$A$1,jkm_call_put!$G:$G&amp;jkm_call_put!$O:$O&amp;jkm_call_put!$F:$F,0),1),"")</f>
        <v/>
      </c>
      <c r="G10" s="7" t="str" cm="1">
        <f t="array" aca="1" ref="G10" ca="1">_xlfn.IFNA(INDEX(jkm_call_put!$M:$M,MATCH($B10&amp;G$2&amp;$A$1,jkm_call_put!$G:$G&amp;jkm_call_put!$O:$O&amp;jkm_call_put!$F:$F,0),1),"")</f>
        <v/>
      </c>
      <c r="H10" s="7" cm="1">
        <f t="array" aca="1" ref="H10" ca="1">_xlfn.IFNA(INDEX(jkm_call_put!$M:$M,MATCH($B10&amp;H$2&amp;$A$1,jkm_call_put!$G:$G&amp;jkm_call_put!$O:$O&amp;jkm_call_put!$F:$F,0),1),"")</f>
        <v>0.94396999999999998</v>
      </c>
      <c r="I10" s="7" cm="1">
        <f t="array" aca="1" ref="I10" ca="1">_xlfn.IFNA(INDEX(jkm_call_put!$M:$M,MATCH($B10&amp;I$2&amp;$A$1,jkm_call_put!$G:$G&amp;jkm_call_put!$O:$O&amp;jkm_call_put!$F:$F,0),1),"")</f>
        <v>0.93164999999999998</v>
      </c>
      <c r="J10" s="7" cm="1">
        <f t="array" aca="1" ref="J10" ca="1">_xlfn.IFNA(INDEX(jkm_call_put!$M:$M,MATCH($B10&amp;J$2&amp;$A$1,jkm_call_put!$G:$G&amp;jkm_call_put!$O:$O&amp;jkm_call_put!$F:$F,0),1),"")</f>
        <v>0.92459999999999998</v>
      </c>
      <c r="K10" s="7" cm="1">
        <f t="array" aca="1" ref="K10" ca="1">_xlfn.IFNA(INDEX(jkm_call_put!$M:$M,MATCH($B10&amp;K$2&amp;$A$1,jkm_call_put!$G:$G&amp;jkm_call_put!$O:$O&amp;jkm_call_put!$F:$F,0),1),"")</f>
        <v>0.91466000000000003</v>
      </c>
      <c r="L10" s="7" cm="1">
        <f t="array" aca="1" ref="L10" ca="1">_xlfn.IFNA(INDEX(jkm_call_put!$M:$M,MATCH($B10&amp;L$2&amp;$A$1,jkm_call_put!$G:$G&amp;jkm_call_put!$O:$O&amp;jkm_call_put!$F:$F,0),1),"")</f>
        <v>0.90188999999999997</v>
      </c>
      <c r="M10" s="7" cm="1">
        <f t="array" aca="1" ref="M10" ca="1">_xlfn.IFNA(INDEX(jkm_call_put!$M:$M,MATCH($B10&amp;M$2&amp;$A$1,jkm_call_put!$G:$G&amp;jkm_call_put!$O:$O&amp;jkm_call_put!$F:$F,0),1),"")</f>
        <v>0.86938000000000004</v>
      </c>
      <c r="N10" s="7" t="str" cm="1">
        <f t="array" aca="1" ref="N10" ca="1">_xlfn.IFNA(INDEX(jkm_call_put!$M:$M,MATCH($B10&amp;N$2&amp;$A$1,jkm_call_put!$G:$G&amp;jkm_call_put!$O:$O&amp;jkm_call_put!$F:$F,0),1),"")</f>
        <v/>
      </c>
      <c r="O10" s="7" t="str" cm="1">
        <f t="array" aca="1" ref="O10" ca="1">_xlfn.IFNA(INDEX(jkm_call_put!$M:$M,MATCH($B10&amp;O$2&amp;$A$1,jkm_call_put!$G:$G&amp;jkm_call_put!$O:$O&amp;jkm_call_put!$F:$F,0),1),"")</f>
        <v/>
      </c>
      <c r="P10" s="7" t="str" cm="1">
        <f t="array" aca="1" ref="P10" ca="1">_xlfn.IFNA(INDEX(jkm_call_put!$M:$M,MATCH($B10&amp;P$2&amp;$A$1,jkm_call_put!$G:$G&amp;jkm_call_put!$O:$O&amp;jkm_call_put!$F:$F,0),1),"")</f>
        <v/>
      </c>
      <c r="Q10" s="7" t="str" cm="1">
        <f t="array" aca="1" ref="Q10" ca="1">_xlfn.IFNA(INDEX(jkm_call_put!$M:$M,MATCH($B10&amp;Q$2&amp;$A$1,jkm_call_put!$G:$G&amp;jkm_call_put!$O:$O&amp;jkm_call_put!$F:$F,0),1),"")</f>
        <v/>
      </c>
      <c r="R10" s="7" t="str" cm="1">
        <f t="array" aca="1" ref="R10" ca="1">_xlfn.IFNA(INDEX(jkm_call_put!$M:$M,MATCH($B10&amp;R$2&amp;$A$1,jkm_call_put!$G:$G&amp;jkm_call_put!$O:$O&amp;jkm_call_put!$F:$F,0),1),"")</f>
        <v/>
      </c>
      <c r="S10" s="7" t="str" cm="1">
        <f t="array" aca="1" ref="S10" ca="1">_xlfn.IFNA(INDEX(jkm_call_put!$M:$M,MATCH($B10&amp;S$2&amp;$A$1,jkm_call_put!$G:$G&amp;jkm_call_put!$O:$O&amp;jkm_call_put!$F:$F,0),1),"")</f>
        <v/>
      </c>
      <c r="T10" s="7" t="str" cm="1">
        <f t="array" aca="1" ref="T10" ca="1">_xlfn.IFNA(INDEX(jkm_call_put!$M:$M,MATCH($B10&amp;T$2&amp;$A$1,jkm_call_put!$G:$G&amp;jkm_call_put!$O:$O&amp;jkm_call_put!$F:$F,0),1),"")</f>
        <v/>
      </c>
      <c r="U10" s="7" t="str" cm="1">
        <f t="array" aca="1" ref="U10" ca="1">_xlfn.IFNA(INDEX(jkm_call_put!$M:$M,MATCH($B10&amp;U$2&amp;$A$1,jkm_call_put!$G:$G&amp;jkm_call_put!$O:$O&amp;jkm_call_put!$F:$F,0),1),"")</f>
        <v/>
      </c>
      <c r="V10" s="7" t="str" cm="1">
        <f t="array" aca="1" ref="V10" ca="1">_xlfn.IFNA(INDEX(jkm_call_put!$M:$M,MATCH($B10&amp;V$2&amp;$A$1,jkm_call_put!$G:$G&amp;jkm_call_put!$O:$O&amp;jkm_call_put!$F:$F,0),1),"")</f>
        <v/>
      </c>
      <c r="W10" s="7" t="str" cm="1">
        <f t="array" aca="1" ref="W10" ca="1">_xlfn.IFNA(INDEX(jkm_call_put!$M:$M,MATCH($B10&amp;W$2&amp;$A$1,jkm_call_put!$G:$G&amp;jkm_call_put!$O:$O&amp;jkm_call_put!$F:$F,0),1),"")</f>
        <v/>
      </c>
      <c r="X10" s="7" t="str" cm="1">
        <f t="array" aca="1" ref="X10" ca="1">_xlfn.IFNA(INDEX(jkm_call_put!$M:$M,MATCH($B10&amp;X$2&amp;$A$1,jkm_call_put!$G:$G&amp;jkm_call_put!$O:$O&amp;jkm_call_put!$F:$F,0),1),"")</f>
        <v/>
      </c>
      <c r="Y10" s="7" t="str" cm="1">
        <f t="array" aca="1" ref="Y10" ca="1">_xlfn.IFNA(INDEX(jkm_call_put!$M:$M,MATCH($B10&amp;Y$2&amp;$A$1,jkm_call_put!$G:$G&amp;jkm_call_put!$O:$O&amp;jkm_call_put!$F:$F,0),1),"")</f>
        <v/>
      </c>
      <c r="Z10" s="7" t="str" cm="1">
        <f t="array" aca="1" ref="Z10" ca="1">_xlfn.IFNA(INDEX(jkm_call_put!$M:$M,MATCH($B10&amp;Z$2&amp;$A$1,jkm_call_put!$G:$G&amp;jkm_call_put!$O:$O&amp;jkm_call_put!$F:$F,0),1),"")</f>
        <v/>
      </c>
      <c r="AA10" s="7" t="str" cm="1">
        <f t="array" aca="1" ref="AA10" ca="1">_xlfn.IFNA(INDEX(jkm_call_put!$M:$M,MATCH($B10&amp;AA$2&amp;$A$1,jkm_call_put!$G:$G&amp;jkm_call_put!$O:$O&amp;jkm_call_put!$F:$F,0),1),"")</f>
        <v/>
      </c>
      <c r="AB10" s="7" t="str" cm="1">
        <f t="array" aca="1" ref="AB10" ca="1">_xlfn.IFNA(INDEX(jkm_call_put!$M:$M,MATCH($B10&amp;AB$2&amp;$A$1,jkm_call_put!$G:$G&amp;jkm_call_put!$O:$O&amp;jkm_call_put!$F:$F,0),1),"")</f>
        <v/>
      </c>
      <c r="AC10" s="7" t="str" cm="1">
        <f t="array" aca="1" ref="AC10" ca="1">_xlfn.IFNA(INDEX(jkm_call_put!$M:$M,MATCH($B10&amp;AC$2&amp;$A$1,jkm_call_put!$G:$G&amp;jkm_call_put!$O:$O&amp;jkm_call_put!$F:$F,0),1),"")</f>
        <v/>
      </c>
      <c r="AD10" s="7" t="str" cm="1">
        <f t="array" aca="1" ref="AD10" ca="1">_xlfn.IFNA(INDEX(jkm_call_put!$M:$M,MATCH($B10&amp;AD$2&amp;$A$1,jkm_call_put!$G:$G&amp;jkm_call_put!$O:$O&amp;jkm_call_put!$F:$F,0),1),"")</f>
        <v/>
      </c>
      <c r="AE10" s="7" t="str" cm="1">
        <f t="array" aca="1" ref="AE10" ca="1">_xlfn.IFNA(INDEX(jkm_call_put!$M:$M,MATCH($B10&amp;AE$2&amp;$A$1,jkm_call_put!$G:$G&amp;jkm_call_put!$O:$O&amp;jkm_call_put!$F:$F,0),1),"")</f>
        <v/>
      </c>
      <c r="AF10" s="7" t="str" cm="1">
        <f t="array" aca="1" ref="AF10" ca="1">_xlfn.IFNA(INDEX(jkm_call_put!$M:$M,MATCH($B10&amp;AF$2&amp;$A$1,jkm_call_put!$G:$G&amp;jkm_call_put!$O:$O&amp;jkm_call_put!$F:$F,0),1),"")</f>
        <v/>
      </c>
      <c r="AG10" s="7" t="str" cm="1">
        <f t="array" aca="1" ref="AG10" ca="1">_xlfn.IFNA(INDEX(jkm_call_put!$M:$M,MATCH($B10&amp;AG$2&amp;$A$1,jkm_call_put!$G:$G&amp;jkm_call_put!$O:$O&amp;jkm_call_put!$F:$F,0),1),"")</f>
        <v/>
      </c>
      <c r="AH10" s="7" t="str" cm="1">
        <f t="array" aca="1" ref="AH10" ca="1">_xlfn.IFNA(INDEX(jkm_call_put!$M:$M,MATCH($B10&amp;AH$2&amp;$A$1,jkm_call_put!$G:$G&amp;jkm_call_put!$O:$O&amp;jkm_call_put!$F:$F,0),1),"")</f>
        <v/>
      </c>
      <c r="AI10" s="7" t="str" cm="1">
        <f t="array" aca="1" ref="AI10" ca="1">_xlfn.IFNA(INDEX(jkm_call_put!$M:$M,MATCH($B10&amp;AI$2&amp;$A$1,jkm_call_put!$G:$G&amp;jkm_call_put!$O:$O&amp;jkm_call_put!$F:$F,0),1),"")</f>
        <v/>
      </c>
      <c r="AJ10" s="7" t="str" cm="1">
        <f t="array" aca="1" ref="AJ10" ca="1">_xlfn.IFNA(INDEX(jkm_call_put!$M:$M,MATCH($B10&amp;AJ$2&amp;$A$1,jkm_call_put!$G:$G&amp;jkm_call_put!$O:$O&amp;jkm_call_put!$F:$F,0),1),"")</f>
        <v/>
      </c>
      <c r="AK10" s="7" t="str" cm="1">
        <f t="array" aca="1" ref="AK10" ca="1">_xlfn.IFNA(INDEX(jkm_call_put!$M:$M,MATCH($B10&amp;AK$2&amp;$A$1,jkm_call_put!$G:$G&amp;jkm_call_put!$O:$O&amp;jkm_call_put!$F:$F,0),1),"")</f>
        <v/>
      </c>
      <c r="AL10" s="7" t="str" cm="1">
        <f t="array" aca="1" ref="AL10" ca="1">_xlfn.IFNA(INDEX(jkm_call_put!$M:$M,MATCH($B10&amp;AL$2&amp;$A$1,jkm_call_put!$G:$G&amp;jkm_call_put!$O:$O&amp;jkm_call_put!$F:$F,0),1),"")</f>
        <v/>
      </c>
    </row>
    <row r="11" spans="1:38" x14ac:dyDescent="0.25">
      <c r="B11">
        <v>9.6999999999999993</v>
      </c>
      <c r="C11" s="7" t="str" cm="1">
        <f t="array" aca="1" ref="C11" ca="1">_xlfn.IFNA(INDEX(jkm_call_put!$M:$M,MATCH($B11&amp;C$2&amp;$A$1,jkm_call_put!$G:$G&amp;jkm_call_put!$O:$O&amp;jkm_call_put!$F:$F,0),1),"")</f>
        <v/>
      </c>
      <c r="D11" s="7" t="str" cm="1">
        <f t="array" aca="1" ref="D11" ca="1">_xlfn.IFNA(INDEX(jkm_call_put!$M:$M,MATCH($B11&amp;D$2&amp;$A$1,jkm_call_put!$G:$G&amp;jkm_call_put!$O:$O&amp;jkm_call_put!$F:$F,0),1),"")</f>
        <v/>
      </c>
      <c r="E11" s="7" t="str" cm="1">
        <f t="array" aca="1" ref="E11" ca="1">_xlfn.IFNA(INDEX(jkm_call_put!$M:$M,MATCH($B11&amp;E$2&amp;$A$1,jkm_call_put!$G:$G&amp;jkm_call_put!$O:$O&amp;jkm_call_put!$F:$F,0),1),"")</f>
        <v/>
      </c>
      <c r="F11" s="7" t="str" cm="1">
        <f t="array" aca="1" ref="F11" ca="1">_xlfn.IFNA(INDEX(jkm_call_put!$M:$M,MATCH($B11&amp;F$2&amp;$A$1,jkm_call_put!$G:$G&amp;jkm_call_put!$O:$O&amp;jkm_call_put!$F:$F,0),1),"")</f>
        <v/>
      </c>
      <c r="G11" s="7" cm="1">
        <f t="array" aca="1" ref="G11" ca="1">_xlfn.IFNA(INDEX(jkm_call_put!$M:$M,MATCH($B11&amp;G$2&amp;$A$1,jkm_call_put!$G:$G&amp;jkm_call_put!$O:$O&amp;jkm_call_put!$F:$F,0),1),"")</f>
        <v>0.92637000000000003</v>
      </c>
      <c r="H11" s="7" t="str" cm="1">
        <f t="array" aca="1" ref="H11" ca="1">_xlfn.IFNA(INDEX(jkm_call_put!$M:$M,MATCH($B11&amp;H$2&amp;$A$1,jkm_call_put!$G:$G&amp;jkm_call_put!$O:$O&amp;jkm_call_put!$F:$F,0),1),"")</f>
        <v/>
      </c>
      <c r="I11" s="7" t="str" cm="1">
        <f t="array" aca="1" ref="I11" ca="1">_xlfn.IFNA(INDEX(jkm_call_put!$M:$M,MATCH($B11&amp;I$2&amp;$A$1,jkm_call_put!$G:$G&amp;jkm_call_put!$O:$O&amp;jkm_call_put!$F:$F,0),1),"")</f>
        <v/>
      </c>
      <c r="J11" s="7" t="str" cm="1">
        <f t="array" aca="1" ref="J11" ca="1">_xlfn.IFNA(INDEX(jkm_call_put!$M:$M,MATCH($B11&amp;J$2&amp;$A$1,jkm_call_put!$G:$G&amp;jkm_call_put!$O:$O&amp;jkm_call_put!$F:$F,0),1),"")</f>
        <v/>
      </c>
      <c r="K11" s="7" t="str" cm="1">
        <f t="array" aca="1" ref="K11" ca="1">_xlfn.IFNA(INDEX(jkm_call_put!$M:$M,MATCH($B11&amp;K$2&amp;$A$1,jkm_call_put!$G:$G&amp;jkm_call_put!$O:$O&amp;jkm_call_put!$F:$F,0),1),"")</f>
        <v/>
      </c>
      <c r="L11" s="7" t="str" cm="1">
        <f t="array" aca="1" ref="L11" ca="1">_xlfn.IFNA(INDEX(jkm_call_put!$M:$M,MATCH($B11&amp;L$2&amp;$A$1,jkm_call_put!$G:$G&amp;jkm_call_put!$O:$O&amp;jkm_call_put!$F:$F,0),1),"")</f>
        <v/>
      </c>
      <c r="M11" s="7" t="str" cm="1">
        <f t="array" aca="1" ref="M11" ca="1">_xlfn.IFNA(INDEX(jkm_call_put!$M:$M,MATCH($B11&amp;M$2&amp;$A$1,jkm_call_put!$G:$G&amp;jkm_call_put!$O:$O&amp;jkm_call_put!$F:$F,0),1),"")</f>
        <v/>
      </c>
      <c r="N11" s="7" t="str" cm="1">
        <f t="array" aca="1" ref="N11" ca="1">_xlfn.IFNA(INDEX(jkm_call_put!$M:$M,MATCH($B11&amp;N$2&amp;$A$1,jkm_call_put!$G:$G&amp;jkm_call_put!$O:$O&amp;jkm_call_put!$F:$F,0),1),"")</f>
        <v/>
      </c>
      <c r="O11" s="7" t="str" cm="1">
        <f t="array" aca="1" ref="O11" ca="1">_xlfn.IFNA(INDEX(jkm_call_put!$M:$M,MATCH($B11&amp;O$2&amp;$A$1,jkm_call_put!$G:$G&amp;jkm_call_put!$O:$O&amp;jkm_call_put!$F:$F,0),1),"")</f>
        <v/>
      </c>
      <c r="P11" s="7" t="str" cm="1">
        <f t="array" aca="1" ref="P11" ca="1">_xlfn.IFNA(INDEX(jkm_call_put!$M:$M,MATCH($B11&amp;P$2&amp;$A$1,jkm_call_put!$G:$G&amp;jkm_call_put!$O:$O&amp;jkm_call_put!$F:$F,0),1),"")</f>
        <v/>
      </c>
      <c r="Q11" s="7" t="str" cm="1">
        <f t="array" aca="1" ref="Q11" ca="1">_xlfn.IFNA(INDEX(jkm_call_put!$M:$M,MATCH($B11&amp;Q$2&amp;$A$1,jkm_call_put!$G:$G&amp;jkm_call_put!$O:$O&amp;jkm_call_put!$F:$F,0),1),"")</f>
        <v/>
      </c>
      <c r="R11" s="7" t="str" cm="1">
        <f t="array" aca="1" ref="R11" ca="1">_xlfn.IFNA(INDEX(jkm_call_put!$M:$M,MATCH($B11&amp;R$2&amp;$A$1,jkm_call_put!$G:$G&amp;jkm_call_put!$O:$O&amp;jkm_call_put!$F:$F,0),1),"")</f>
        <v/>
      </c>
      <c r="S11" s="7" t="str" cm="1">
        <f t="array" aca="1" ref="S11" ca="1">_xlfn.IFNA(INDEX(jkm_call_put!$M:$M,MATCH($B11&amp;S$2&amp;$A$1,jkm_call_put!$G:$G&amp;jkm_call_put!$O:$O&amp;jkm_call_put!$F:$F,0),1),"")</f>
        <v/>
      </c>
      <c r="T11" s="7" t="str" cm="1">
        <f t="array" aca="1" ref="T11" ca="1">_xlfn.IFNA(INDEX(jkm_call_put!$M:$M,MATCH($B11&amp;T$2&amp;$A$1,jkm_call_put!$G:$G&amp;jkm_call_put!$O:$O&amp;jkm_call_put!$F:$F,0),1),"")</f>
        <v/>
      </c>
      <c r="U11" s="7" t="str" cm="1">
        <f t="array" aca="1" ref="U11" ca="1">_xlfn.IFNA(INDEX(jkm_call_put!$M:$M,MATCH($B11&amp;U$2&amp;$A$1,jkm_call_put!$G:$G&amp;jkm_call_put!$O:$O&amp;jkm_call_put!$F:$F,0),1),"")</f>
        <v/>
      </c>
      <c r="V11" s="7" t="str" cm="1">
        <f t="array" aca="1" ref="V11" ca="1">_xlfn.IFNA(INDEX(jkm_call_put!$M:$M,MATCH($B11&amp;V$2&amp;$A$1,jkm_call_put!$G:$G&amp;jkm_call_put!$O:$O&amp;jkm_call_put!$F:$F,0),1),"")</f>
        <v/>
      </c>
      <c r="W11" s="7" t="str" cm="1">
        <f t="array" aca="1" ref="W11" ca="1">_xlfn.IFNA(INDEX(jkm_call_put!$M:$M,MATCH($B11&amp;W$2&amp;$A$1,jkm_call_put!$G:$G&amp;jkm_call_put!$O:$O&amp;jkm_call_put!$F:$F,0),1),"")</f>
        <v/>
      </c>
      <c r="X11" s="7" t="str" cm="1">
        <f t="array" aca="1" ref="X11" ca="1">_xlfn.IFNA(INDEX(jkm_call_put!$M:$M,MATCH($B11&amp;X$2&amp;$A$1,jkm_call_put!$G:$G&amp;jkm_call_put!$O:$O&amp;jkm_call_put!$F:$F,0),1),"")</f>
        <v/>
      </c>
      <c r="Y11" s="7" t="str" cm="1">
        <f t="array" aca="1" ref="Y11" ca="1">_xlfn.IFNA(INDEX(jkm_call_put!$M:$M,MATCH($B11&amp;Y$2&amp;$A$1,jkm_call_put!$G:$G&amp;jkm_call_put!$O:$O&amp;jkm_call_put!$F:$F,0),1),"")</f>
        <v/>
      </c>
      <c r="Z11" s="7" t="str" cm="1">
        <f t="array" aca="1" ref="Z11" ca="1">_xlfn.IFNA(INDEX(jkm_call_put!$M:$M,MATCH($B11&amp;Z$2&amp;$A$1,jkm_call_put!$G:$G&amp;jkm_call_put!$O:$O&amp;jkm_call_put!$F:$F,0),1),"")</f>
        <v/>
      </c>
      <c r="AA11" s="7" t="str" cm="1">
        <f t="array" aca="1" ref="AA11" ca="1">_xlfn.IFNA(INDEX(jkm_call_put!$M:$M,MATCH($B11&amp;AA$2&amp;$A$1,jkm_call_put!$G:$G&amp;jkm_call_put!$O:$O&amp;jkm_call_put!$F:$F,0),1),"")</f>
        <v/>
      </c>
      <c r="AB11" s="7" t="str" cm="1">
        <f t="array" aca="1" ref="AB11" ca="1">_xlfn.IFNA(INDEX(jkm_call_put!$M:$M,MATCH($B11&amp;AB$2&amp;$A$1,jkm_call_put!$G:$G&amp;jkm_call_put!$O:$O&amp;jkm_call_put!$F:$F,0),1),"")</f>
        <v/>
      </c>
      <c r="AC11" s="7" t="str" cm="1">
        <f t="array" aca="1" ref="AC11" ca="1">_xlfn.IFNA(INDEX(jkm_call_put!$M:$M,MATCH($B11&amp;AC$2&amp;$A$1,jkm_call_put!$G:$G&amp;jkm_call_put!$O:$O&amp;jkm_call_put!$F:$F,0),1),"")</f>
        <v/>
      </c>
      <c r="AD11" s="7" t="str" cm="1">
        <f t="array" aca="1" ref="AD11" ca="1">_xlfn.IFNA(INDEX(jkm_call_put!$M:$M,MATCH($B11&amp;AD$2&amp;$A$1,jkm_call_put!$G:$G&amp;jkm_call_put!$O:$O&amp;jkm_call_put!$F:$F,0),1),"")</f>
        <v/>
      </c>
      <c r="AE11" s="7" t="str" cm="1">
        <f t="array" aca="1" ref="AE11" ca="1">_xlfn.IFNA(INDEX(jkm_call_put!$M:$M,MATCH($B11&amp;AE$2&amp;$A$1,jkm_call_put!$G:$G&amp;jkm_call_put!$O:$O&amp;jkm_call_put!$F:$F,0),1),"")</f>
        <v/>
      </c>
      <c r="AF11" s="7" t="str" cm="1">
        <f t="array" aca="1" ref="AF11" ca="1">_xlfn.IFNA(INDEX(jkm_call_put!$M:$M,MATCH($B11&amp;AF$2&amp;$A$1,jkm_call_put!$G:$G&amp;jkm_call_put!$O:$O&amp;jkm_call_put!$F:$F,0),1),"")</f>
        <v/>
      </c>
      <c r="AG11" s="7" t="str" cm="1">
        <f t="array" aca="1" ref="AG11" ca="1">_xlfn.IFNA(INDEX(jkm_call_put!$M:$M,MATCH($B11&amp;AG$2&amp;$A$1,jkm_call_put!$G:$G&amp;jkm_call_put!$O:$O&amp;jkm_call_put!$F:$F,0),1),"")</f>
        <v/>
      </c>
      <c r="AH11" s="7" t="str" cm="1">
        <f t="array" aca="1" ref="AH11" ca="1">_xlfn.IFNA(INDEX(jkm_call_put!$M:$M,MATCH($B11&amp;AH$2&amp;$A$1,jkm_call_put!$G:$G&amp;jkm_call_put!$O:$O&amp;jkm_call_put!$F:$F,0),1),"")</f>
        <v/>
      </c>
      <c r="AI11" s="7" t="str" cm="1">
        <f t="array" aca="1" ref="AI11" ca="1">_xlfn.IFNA(INDEX(jkm_call_put!$M:$M,MATCH($B11&amp;AI$2&amp;$A$1,jkm_call_put!$G:$G&amp;jkm_call_put!$O:$O&amp;jkm_call_put!$F:$F,0),1),"")</f>
        <v/>
      </c>
      <c r="AJ11" s="7" t="str" cm="1">
        <f t="array" aca="1" ref="AJ11" ca="1">_xlfn.IFNA(INDEX(jkm_call_put!$M:$M,MATCH($B11&amp;AJ$2&amp;$A$1,jkm_call_put!$G:$G&amp;jkm_call_put!$O:$O&amp;jkm_call_put!$F:$F,0),1),"")</f>
        <v/>
      </c>
      <c r="AK11" s="7" t="str" cm="1">
        <f t="array" aca="1" ref="AK11" ca="1">_xlfn.IFNA(INDEX(jkm_call_put!$M:$M,MATCH($B11&amp;AK$2&amp;$A$1,jkm_call_put!$G:$G&amp;jkm_call_put!$O:$O&amp;jkm_call_put!$F:$F,0),1),"")</f>
        <v/>
      </c>
      <c r="AL11" s="7" t="str" cm="1">
        <f t="array" aca="1" ref="AL11" ca="1">_xlfn.IFNA(INDEX(jkm_call_put!$M:$M,MATCH($B11&amp;AL$2&amp;$A$1,jkm_call_put!$G:$G&amp;jkm_call_put!$O:$O&amp;jkm_call_put!$F:$F,0),1),"")</f>
        <v/>
      </c>
    </row>
    <row r="12" spans="1:38" x14ac:dyDescent="0.25">
      <c r="B12">
        <v>9.8000000000000007</v>
      </c>
      <c r="C12" s="7" t="str" cm="1">
        <f t="array" aca="1" ref="C12" ca="1">_xlfn.IFNA(INDEX(jkm_call_put!$M:$M,MATCH($B12&amp;C$2&amp;$A$1,jkm_call_put!$G:$G&amp;jkm_call_put!$O:$O&amp;jkm_call_put!$F:$F,0),1),"")</f>
        <v/>
      </c>
      <c r="D12" s="7" t="str" cm="1">
        <f t="array" aca="1" ref="D12" ca="1">_xlfn.IFNA(INDEX(jkm_call_put!$M:$M,MATCH($B12&amp;D$2&amp;$A$1,jkm_call_put!$G:$G&amp;jkm_call_put!$O:$O&amp;jkm_call_put!$F:$F,0),1),"")</f>
        <v/>
      </c>
      <c r="E12" s="7" t="str" cm="1">
        <f t="array" aca="1" ref="E12" ca="1">_xlfn.IFNA(INDEX(jkm_call_put!$M:$M,MATCH($B12&amp;E$2&amp;$A$1,jkm_call_put!$G:$G&amp;jkm_call_put!$O:$O&amp;jkm_call_put!$F:$F,0),1),"")</f>
        <v/>
      </c>
      <c r="F12" s="7" t="str" cm="1">
        <f t="array" aca="1" ref="F12" ca="1">_xlfn.IFNA(INDEX(jkm_call_put!$M:$M,MATCH($B12&amp;F$2&amp;$A$1,jkm_call_put!$G:$G&amp;jkm_call_put!$O:$O&amp;jkm_call_put!$F:$F,0),1),"")</f>
        <v/>
      </c>
      <c r="G12" s="7" cm="1">
        <f t="array" aca="1" ref="G12" ca="1">_xlfn.IFNA(INDEX(jkm_call_put!$M:$M,MATCH($B12&amp;G$2&amp;$A$1,jkm_call_put!$G:$G&amp;jkm_call_put!$O:$O&amp;jkm_call_put!$F:$F,0),1),"")</f>
        <v>0.92351000000000005</v>
      </c>
      <c r="H12" s="7" t="str" cm="1">
        <f t="array" aca="1" ref="H12" ca="1">_xlfn.IFNA(INDEX(jkm_call_put!$M:$M,MATCH($B12&amp;H$2&amp;$A$1,jkm_call_put!$G:$G&amp;jkm_call_put!$O:$O&amp;jkm_call_put!$F:$F,0),1),"")</f>
        <v/>
      </c>
      <c r="I12" s="7" t="str" cm="1">
        <f t="array" aca="1" ref="I12" ca="1">_xlfn.IFNA(INDEX(jkm_call_put!$M:$M,MATCH($B12&amp;I$2&amp;$A$1,jkm_call_put!$G:$G&amp;jkm_call_put!$O:$O&amp;jkm_call_put!$F:$F,0),1),"")</f>
        <v/>
      </c>
      <c r="J12" s="7" t="str" cm="1">
        <f t="array" aca="1" ref="J12" ca="1">_xlfn.IFNA(INDEX(jkm_call_put!$M:$M,MATCH($B12&amp;J$2&amp;$A$1,jkm_call_put!$G:$G&amp;jkm_call_put!$O:$O&amp;jkm_call_put!$F:$F,0),1),"")</f>
        <v/>
      </c>
      <c r="K12" s="7" t="str" cm="1">
        <f t="array" aca="1" ref="K12" ca="1">_xlfn.IFNA(INDEX(jkm_call_put!$M:$M,MATCH($B12&amp;K$2&amp;$A$1,jkm_call_put!$G:$G&amp;jkm_call_put!$O:$O&amp;jkm_call_put!$F:$F,0),1),"")</f>
        <v/>
      </c>
      <c r="L12" s="7" t="str" cm="1">
        <f t="array" aca="1" ref="L12" ca="1">_xlfn.IFNA(INDEX(jkm_call_put!$M:$M,MATCH($B12&amp;L$2&amp;$A$1,jkm_call_put!$G:$G&amp;jkm_call_put!$O:$O&amp;jkm_call_put!$F:$F,0),1),"")</f>
        <v/>
      </c>
      <c r="M12" s="7" t="str" cm="1">
        <f t="array" aca="1" ref="M12" ca="1">_xlfn.IFNA(INDEX(jkm_call_put!$M:$M,MATCH($B12&amp;M$2&amp;$A$1,jkm_call_put!$G:$G&amp;jkm_call_put!$O:$O&amp;jkm_call_put!$F:$F,0),1),"")</f>
        <v/>
      </c>
      <c r="N12" s="7" t="str" cm="1">
        <f t="array" aca="1" ref="N12" ca="1">_xlfn.IFNA(INDEX(jkm_call_put!$M:$M,MATCH($B12&amp;N$2&amp;$A$1,jkm_call_put!$G:$G&amp;jkm_call_put!$O:$O&amp;jkm_call_put!$F:$F,0),1),"")</f>
        <v/>
      </c>
      <c r="O12" s="7" t="str" cm="1">
        <f t="array" aca="1" ref="O12" ca="1">_xlfn.IFNA(INDEX(jkm_call_put!$M:$M,MATCH($B12&amp;O$2&amp;$A$1,jkm_call_put!$G:$G&amp;jkm_call_put!$O:$O&amp;jkm_call_put!$F:$F,0),1),"")</f>
        <v/>
      </c>
      <c r="P12" s="7" t="str" cm="1">
        <f t="array" aca="1" ref="P12" ca="1">_xlfn.IFNA(INDEX(jkm_call_put!$M:$M,MATCH($B12&amp;P$2&amp;$A$1,jkm_call_put!$G:$G&amp;jkm_call_put!$O:$O&amp;jkm_call_put!$F:$F,0),1),"")</f>
        <v/>
      </c>
      <c r="Q12" s="7" t="str" cm="1">
        <f t="array" aca="1" ref="Q12" ca="1">_xlfn.IFNA(INDEX(jkm_call_put!$M:$M,MATCH($B12&amp;Q$2&amp;$A$1,jkm_call_put!$G:$G&amp;jkm_call_put!$O:$O&amp;jkm_call_put!$F:$F,0),1),"")</f>
        <v/>
      </c>
      <c r="R12" s="7" t="str" cm="1">
        <f t="array" aca="1" ref="R12" ca="1">_xlfn.IFNA(INDEX(jkm_call_put!$M:$M,MATCH($B12&amp;R$2&amp;$A$1,jkm_call_put!$G:$G&amp;jkm_call_put!$O:$O&amp;jkm_call_put!$F:$F,0),1),"")</f>
        <v/>
      </c>
      <c r="S12" s="7" t="str" cm="1">
        <f t="array" aca="1" ref="S12" ca="1">_xlfn.IFNA(INDEX(jkm_call_put!$M:$M,MATCH($B12&amp;S$2&amp;$A$1,jkm_call_put!$G:$G&amp;jkm_call_put!$O:$O&amp;jkm_call_put!$F:$F,0),1),"")</f>
        <v/>
      </c>
      <c r="T12" s="7" t="str" cm="1">
        <f t="array" aca="1" ref="T12" ca="1">_xlfn.IFNA(INDEX(jkm_call_put!$M:$M,MATCH($B12&amp;T$2&amp;$A$1,jkm_call_put!$G:$G&amp;jkm_call_put!$O:$O&amp;jkm_call_put!$F:$F,0),1),"")</f>
        <v/>
      </c>
      <c r="U12" s="7" t="str" cm="1">
        <f t="array" aca="1" ref="U12" ca="1">_xlfn.IFNA(INDEX(jkm_call_put!$M:$M,MATCH($B12&amp;U$2&amp;$A$1,jkm_call_put!$G:$G&amp;jkm_call_put!$O:$O&amp;jkm_call_put!$F:$F,0),1),"")</f>
        <v/>
      </c>
      <c r="V12" s="7" t="str" cm="1">
        <f t="array" aca="1" ref="V12" ca="1">_xlfn.IFNA(INDEX(jkm_call_put!$M:$M,MATCH($B12&amp;V$2&amp;$A$1,jkm_call_put!$G:$G&amp;jkm_call_put!$O:$O&amp;jkm_call_put!$F:$F,0),1),"")</f>
        <v/>
      </c>
      <c r="W12" s="7" t="str" cm="1">
        <f t="array" aca="1" ref="W12" ca="1">_xlfn.IFNA(INDEX(jkm_call_put!$M:$M,MATCH($B12&amp;W$2&amp;$A$1,jkm_call_put!$G:$G&amp;jkm_call_put!$O:$O&amp;jkm_call_put!$F:$F,0),1),"")</f>
        <v/>
      </c>
      <c r="X12" s="7" t="str" cm="1">
        <f t="array" aca="1" ref="X12" ca="1">_xlfn.IFNA(INDEX(jkm_call_put!$M:$M,MATCH($B12&amp;X$2&amp;$A$1,jkm_call_put!$G:$G&amp;jkm_call_put!$O:$O&amp;jkm_call_put!$F:$F,0),1),"")</f>
        <v/>
      </c>
      <c r="Y12" s="7" t="str" cm="1">
        <f t="array" aca="1" ref="Y12" ca="1">_xlfn.IFNA(INDEX(jkm_call_put!$M:$M,MATCH($B12&amp;Y$2&amp;$A$1,jkm_call_put!$G:$G&amp;jkm_call_put!$O:$O&amp;jkm_call_put!$F:$F,0),1),"")</f>
        <v/>
      </c>
      <c r="Z12" s="7" t="str" cm="1">
        <f t="array" aca="1" ref="Z12" ca="1">_xlfn.IFNA(INDEX(jkm_call_put!$M:$M,MATCH($B12&amp;Z$2&amp;$A$1,jkm_call_put!$G:$G&amp;jkm_call_put!$O:$O&amp;jkm_call_put!$F:$F,0),1),"")</f>
        <v/>
      </c>
      <c r="AA12" s="7" t="str" cm="1">
        <f t="array" aca="1" ref="AA12" ca="1">_xlfn.IFNA(INDEX(jkm_call_put!$M:$M,MATCH($B12&amp;AA$2&amp;$A$1,jkm_call_put!$G:$G&amp;jkm_call_put!$O:$O&amp;jkm_call_put!$F:$F,0),1),"")</f>
        <v/>
      </c>
      <c r="AB12" s="7" t="str" cm="1">
        <f t="array" aca="1" ref="AB12" ca="1">_xlfn.IFNA(INDEX(jkm_call_put!$M:$M,MATCH($B12&amp;AB$2&amp;$A$1,jkm_call_put!$G:$G&amp;jkm_call_put!$O:$O&amp;jkm_call_put!$F:$F,0),1),"")</f>
        <v/>
      </c>
      <c r="AC12" s="7" t="str" cm="1">
        <f t="array" aca="1" ref="AC12" ca="1">_xlfn.IFNA(INDEX(jkm_call_put!$M:$M,MATCH($B12&amp;AC$2&amp;$A$1,jkm_call_put!$G:$G&amp;jkm_call_put!$O:$O&amp;jkm_call_put!$F:$F,0),1),"")</f>
        <v/>
      </c>
      <c r="AD12" s="7" t="str" cm="1">
        <f t="array" aca="1" ref="AD12" ca="1">_xlfn.IFNA(INDEX(jkm_call_put!$M:$M,MATCH($B12&amp;AD$2&amp;$A$1,jkm_call_put!$G:$G&amp;jkm_call_put!$O:$O&amp;jkm_call_put!$F:$F,0),1),"")</f>
        <v/>
      </c>
      <c r="AE12" s="7" t="str" cm="1">
        <f t="array" aca="1" ref="AE12" ca="1">_xlfn.IFNA(INDEX(jkm_call_put!$M:$M,MATCH($B12&amp;AE$2&amp;$A$1,jkm_call_put!$G:$G&amp;jkm_call_put!$O:$O&amp;jkm_call_put!$F:$F,0),1),"")</f>
        <v/>
      </c>
      <c r="AF12" s="7" t="str" cm="1">
        <f t="array" aca="1" ref="AF12" ca="1">_xlfn.IFNA(INDEX(jkm_call_put!$M:$M,MATCH($B12&amp;AF$2&amp;$A$1,jkm_call_put!$G:$G&amp;jkm_call_put!$O:$O&amp;jkm_call_put!$F:$F,0),1),"")</f>
        <v/>
      </c>
      <c r="AG12" s="7" t="str" cm="1">
        <f t="array" aca="1" ref="AG12" ca="1">_xlfn.IFNA(INDEX(jkm_call_put!$M:$M,MATCH($B12&amp;AG$2&amp;$A$1,jkm_call_put!$G:$G&amp;jkm_call_put!$O:$O&amp;jkm_call_put!$F:$F,0),1),"")</f>
        <v/>
      </c>
      <c r="AH12" s="7" t="str" cm="1">
        <f t="array" aca="1" ref="AH12" ca="1">_xlfn.IFNA(INDEX(jkm_call_put!$M:$M,MATCH($B12&amp;AH$2&amp;$A$1,jkm_call_put!$G:$G&amp;jkm_call_put!$O:$O&amp;jkm_call_put!$F:$F,0),1),"")</f>
        <v/>
      </c>
      <c r="AI12" s="7" t="str" cm="1">
        <f t="array" aca="1" ref="AI12" ca="1">_xlfn.IFNA(INDEX(jkm_call_put!$M:$M,MATCH($B12&amp;AI$2&amp;$A$1,jkm_call_put!$G:$G&amp;jkm_call_put!$O:$O&amp;jkm_call_put!$F:$F,0),1),"")</f>
        <v/>
      </c>
      <c r="AJ12" s="7" t="str" cm="1">
        <f t="array" aca="1" ref="AJ12" ca="1">_xlfn.IFNA(INDEX(jkm_call_put!$M:$M,MATCH($B12&amp;AJ$2&amp;$A$1,jkm_call_put!$G:$G&amp;jkm_call_put!$O:$O&amp;jkm_call_put!$F:$F,0),1),"")</f>
        <v/>
      </c>
      <c r="AK12" s="7" t="str" cm="1">
        <f t="array" aca="1" ref="AK12" ca="1">_xlfn.IFNA(INDEX(jkm_call_put!$M:$M,MATCH($B12&amp;AK$2&amp;$A$1,jkm_call_put!$G:$G&amp;jkm_call_put!$O:$O&amp;jkm_call_put!$F:$F,0),1),"")</f>
        <v/>
      </c>
      <c r="AL12" s="7" t="str" cm="1">
        <f t="array" aca="1" ref="AL12" ca="1">_xlfn.IFNA(INDEX(jkm_call_put!$M:$M,MATCH($B12&amp;AL$2&amp;$A$1,jkm_call_put!$G:$G&amp;jkm_call_put!$O:$O&amp;jkm_call_put!$F:$F,0),1),"")</f>
        <v/>
      </c>
    </row>
    <row r="13" spans="1:38" x14ac:dyDescent="0.25">
      <c r="B13">
        <v>10</v>
      </c>
      <c r="C13" s="7" cm="1">
        <f t="array" aca="1" ref="C13" ca="1">_xlfn.IFNA(INDEX(jkm_call_put!$M:$M,MATCH($B13&amp;C$2&amp;$A$1,jkm_call_put!$G:$G&amp;jkm_call_put!$O:$O&amp;jkm_call_put!$F:$F,0),1),"")</f>
        <v>1</v>
      </c>
      <c r="D13" s="7" cm="1">
        <f t="array" aca="1" ref="D13" ca="1">_xlfn.IFNA(INDEX(jkm_call_put!$M:$M,MATCH($B13&amp;D$2&amp;$A$1,jkm_call_put!$G:$G&amp;jkm_call_put!$O:$O&amp;jkm_call_put!$F:$F,0),1),"")</f>
        <v>0.99990999999999997</v>
      </c>
      <c r="E13" s="7" cm="1">
        <f t="array" aca="1" ref="E13" ca="1">_xlfn.IFNA(INDEX(jkm_call_put!$M:$M,MATCH($B13&amp;E$2&amp;$A$1,jkm_call_put!$G:$G&amp;jkm_call_put!$O:$O&amp;jkm_call_put!$F:$F,0),1),"")</f>
        <v>0.96675999999999995</v>
      </c>
      <c r="F13" s="7" cm="1">
        <f t="array" aca="1" ref="F13" ca="1">_xlfn.IFNA(INDEX(jkm_call_put!$M:$M,MATCH($B13&amp;F$2&amp;$A$1,jkm_call_put!$G:$G&amp;jkm_call_put!$O:$O&amp;jkm_call_put!$F:$F,0),1),"")</f>
        <v>0.93998000000000004</v>
      </c>
      <c r="G13" s="7" cm="1">
        <f t="array" aca="1" ref="G13" ca="1">_xlfn.IFNA(INDEX(jkm_call_put!$M:$M,MATCH($B13&amp;G$2&amp;$A$1,jkm_call_put!$G:$G&amp;jkm_call_put!$O:$O&amp;jkm_call_put!$F:$F,0),1),"")</f>
        <v>0.91762999999999995</v>
      </c>
      <c r="H13" s="7" cm="1">
        <f t="array" aca="1" ref="H13" ca="1">_xlfn.IFNA(INDEX(jkm_call_put!$M:$M,MATCH($B13&amp;H$2&amp;$A$1,jkm_call_put!$G:$G&amp;jkm_call_put!$O:$O&amp;jkm_call_put!$F:$F,0),1),"")</f>
        <v>0.92937000000000003</v>
      </c>
      <c r="I13" s="7" cm="1">
        <f t="array" aca="1" ref="I13" ca="1">_xlfn.IFNA(INDEX(jkm_call_put!$M:$M,MATCH($B13&amp;I$2&amp;$A$1,jkm_call_put!$G:$G&amp;jkm_call_put!$O:$O&amp;jkm_call_put!$F:$F,0),1),"")</f>
        <v>0.91622000000000003</v>
      </c>
      <c r="J13" s="7" cm="1">
        <f t="array" aca="1" ref="J13" ca="1">_xlfn.IFNA(INDEX(jkm_call_put!$M:$M,MATCH($B13&amp;J$2&amp;$A$1,jkm_call_put!$G:$G&amp;jkm_call_put!$O:$O&amp;jkm_call_put!$F:$F,0),1),"")</f>
        <v>0.90925999999999996</v>
      </c>
      <c r="K13" s="7" cm="1">
        <f t="array" aca="1" ref="K13" ca="1">_xlfn.IFNA(INDEX(jkm_call_put!$M:$M,MATCH($B13&amp;K$2&amp;$A$1,jkm_call_put!$G:$G&amp;jkm_call_put!$O:$O&amp;jkm_call_put!$F:$F,0),1),"")</f>
        <v>0.89897000000000005</v>
      </c>
      <c r="L13" s="7" cm="1">
        <f t="array" aca="1" ref="L13" ca="1">_xlfn.IFNA(INDEX(jkm_call_put!$M:$M,MATCH($B13&amp;L$2&amp;$A$1,jkm_call_put!$G:$G&amp;jkm_call_put!$O:$O&amp;jkm_call_put!$F:$F,0),1),"")</f>
        <v>0.88560000000000005</v>
      </c>
      <c r="M13" s="7" cm="1">
        <f t="array" aca="1" ref="M13" ca="1">_xlfn.IFNA(INDEX(jkm_call_put!$M:$M,MATCH($B13&amp;M$2&amp;$A$1,jkm_call_put!$G:$G&amp;jkm_call_put!$O:$O&amp;jkm_call_put!$F:$F,0),1),"")</f>
        <v>0.85062000000000004</v>
      </c>
      <c r="N13" s="7" cm="1">
        <f t="array" aca="1" ref="N13" ca="1">_xlfn.IFNA(INDEX(jkm_call_put!$M:$M,MATCH($B13&amp;N$2&amp;$A$1,jkm_call_put!$G:$G&amp;jkm_call_put!$O:$O&amp;jkm_call_put!$F:$F,0),1),"")</f>
        <v>0.82247000000000003</v>
      </c>
      <c r="O13" s="7" cm="1">
        <f t="array" aca="1" ref="O13" ca="1">_xlfn.IFNA(INDEX(jkm_call_put!$M:$M,MATCH($B13&amp;O$2&amp;$A$1,jkm_call_put!$G:$G&amp;jkm_call_put!$O:$O&amp;jkm_call_put!$F:$F,0),1),"")</f>
        <v>0.77505999999999997</v>
      </c>
      <c r="P13" s="7" cm="1">
        <f t="array" aca="1" ref="P13" ca="1">_xlfn.IFNA(INDEX(jkm_call_put!$M:$M,MATCH($B13&amp;P$2&amp;$A$1,jkm_call_put!$G:$G&amp;jkm_call_put!$O:$O&amp;jkm_call_put!$F:$F,0),1),"")</f>
        <v>0.75605999999999995</v>
      </c>
      <c r="Q13" s="7" cm="1">
        <f t="array" aca="1" ref="Q13" ca="1">_xlfn.IFNA(INDEX(jkm_call_put!$M:$M,MATCH($B13&amp;Q$2&amp;$A$1,jkm_call_put!$G:$G&amp;jkm_call_put!$O:$O&amp;jkm_call_put!$F:$F,0),1),"")</f>
        <v>0.75314000000000003</v>
      </c>
      <c r="R13" s="7" cm="1">
        <f t="array" aca="1" ref="R13" ca="1">_xlfn.IFNA(INDEX(jkm_call_put!$M:$M,MATCH($B13&amp;R$2&amp;$A$1,jkm_call_put!$G:$G&amp;jkm_call_put!$O:$O&amp;jkm_call_put!$F:$F,0),1),"")</f>
        <v>0.75931000000000004</v>
      </c>
      <c r="S13" s="7" cm="1">
        <f t="array" aca="1" ref="S13" ca="1">_xlfn.IFNA(INDEX(jkm_call_put!$M:$M,MATCH($B13&amp;S$2&amp;$A$1,jkm_call_put!$G:$G&amp;jkm_call_put!$O:$O&amp;jkm_call_put!$F:$F,0),1),"")</f>
        <v>0.74728000000000006</v>
      </c>
      <c r="T13" s="7" cm="1">
        <f t="array" aca="1" ref="T13" ca="1">_xlfn.IFNA(INDEX(jkm_call_put!$M:$M,MATCH($B13&amp;T$2&amp;$A$1,jkm_call_put!$G:$G&amp;jkm_call_put!$O:$O&amp;jkm_call_put!$F:$F,0),1),"")</f>
        <v>0.75702999999999998</v>
      </c>
      <c r="U13" s="7" cm="1">
        <f t="array" aca="1" ref="U13" ca="1">_xlfn.IFNA(INDEX(jkm_call_put!$M:$M,MATCH($B13&amp;U$2&amp;$A$1,jkm_call_put!$G:$G&amp;jkm_call_put!$O:$O&amp;jkm_call_put!$F:$F,0),1),"")</f>
        <v>0.76134000000000002</v>
      </c>
      <c r="V13" s="7" cm="1">
        <f t="array" aca="1" ref="V13" ca="1">_xlfn.IFNA(INDEX(jkm_call_put!$M:$M,MATCH($B13&amp;V$2&amp;$A$1,jkm_call_put!$G:$G&amp;jkm_call_put!$O:$O&amp;jkm_call_put!$F:$F,0),1),"")</f>
        <v>0.77761000000000002</v>
      </c>
      <c r="W13" s="7" cm="1">
        <f t="array" aca="1" ref="W13" ca="1">_xlfn.IFNA(INDEX(jkm_call_put!$M:$M,MATCH($B13&amp;W$2&amp;$A$1,jkm_call_put!$G:$G&amp;jkm_call_put!$O:$O&amp;jkm_call_put!$F:$F,0),1),"")</f>
        <v>0.75876999999999994</v>
      </c>
      <c r="X13" s="7" cm="1">
        <f t="array" aca="1" ref="X13" ca="1">_xlfn.IFNA(INDEX(jkm_call_put!$M:$M,MATCH($B13&amp;X$2&amp;$A$1,jkm_call_put!$G:$G&amp;jkm_call_put!$O:$O&amp;jkm_call_put!$F:$F,0),1),"")</f>
        <v>0.75753000000000004</v>
      </c>
      <c r="Y13" s="7" cm="1">
        <f t="array" aca="1" ref="Y13" ca="1">_xlfn.IFNA(INDEX(jkm_call_put!$M:$M,MATCH($B13&amp;Y$2&amp;$A$1,jkm_call_put!$G:$G&amp;jkm_call_put!$O:$O&amp;jkm_call_put!$F:$F,0),1),"")</f>
        <v>0.72826999999999997</v>
      </c>
      <c r="Z13" s="7" cm="1">
        <f t="array" aca="1" ref="Z13" ca="1">_xlfn.IFNA(INDEX(jkm_call_put!$M:$M,MATCH($B13&amp;Z$2&amp;$A$1,jkm_call_put!$G:$G&amp;jkm_call_put!$O:$O&amp;jkm_call_put!$F:$F,0),1),"")</f>
        <v>0.51810999999999996</v>
      </c>
      <c r="AA13" s="7" cm="1">
        <f t="array" aca="1" ref="AA13" ca="1">_xlfn.IFNA(INDEX(jkm_call_put!$M:$M,MATCH($B13&amp;AA$2&amp;$A$1,jkm_call_put!$G:$G&amp;jkm_call_put!$O:$O&amp;jkm_call_put!$F:$F,0),1),"")</f>
        <v>0.49347000000000002</v>
      </c>
      <c r="AB13" s="7" cm="1">
        <f t="array" aca="1" ref="AB13" ca="1">_xlfn.IFNA(INDEX(jkm_call_put!$M:$M,MATCH($B13&amp;AB$2&amp;$A$1,jkm_call_put!$G:$G&amp;jkm_call_put!$O:$O&amp;jkm_call_put!$F:$F,0),1),"")</f>
        <v>0.48759000000000002</v>
      </c>
      <c r="AC13" s="7" cm="1">
        <f t="array" aca="1" ref="AC13" ca="1">_xlfn.IFNA(INDEX(jkm_call_put!$M:$M,MATCH($B13&amp;AC$2&amp;$A$1,jkm_call_put!$G:$G&amp;jkm_call_put!$O:$O&amp;jkm_call_put!$F:$F,0),1),"")</f>
        <v>0.49470999999999998</v>
      </c>
      <c r="AD13" s="7" cm="1">
        <f t="array" aca="1" ref="AD13" ca="1">_xlfn.IFNA(INDEX(jkm_call_put!$M:$M,MATCH($B13&amp;AD$2&amp;$A$1,jkm_call_put!$G:$G&amp;jkm_call_put!$O:$O&amp;jkm_call_put!$F:$F,0),1),"")</f>
        <v>0.49884000000000001</v>
      </c>
      <c r="AE13" s="7" cm="1">
        <f t="array" aca="1" ref="AE13" ca="1">_xlfn.IFNA(INDEX(jkm_call_put!$M:$M,MATCH($B13&amp;AE$2&amp;$A$1,jkm_call_put!$G:$G&amp;jkm_call_put!$O:$O&amp;jkm_call_put!$F:$F,0),1),"")</f>
        <v>0.50727</v>
      </c>
      <c r="AF13" s="7" cm="1">
        <f t="array" aca="1" ref="AF13" ca="1">_xlfn.IFNA(INDEX(jkm_call_put!$M:$M,MATCH($B13&amp;AF$2&amp;$A$1,jkm_call_put!$G:$G&amp;jkm_call_put!$O:$O&amp;jkm_call_put!$F:$F,0),1),"")</f>
        <v>0.54308999999999996</v>
      </c>
      <c r="AG13" s="7" cm="1">
        <f t="array" aca="1" ref="AG13" ca="1">_xlfn.IFNA(INDEX(jkm_call_put!$M:$M,MATCH($B13&amp;AG$2&amp;$A$1,jkm_call_put!$G:$G&amp;jkm_call_put!$O:$O&amp;jkm_call_put!$F:$F,0),1),"")</f>
        <v>0.55832999999999999</v>
      </c>
      <c r="AH13" s="7" cm="1">
        <f t="array" aca="1" ref="AH13" ca="1">_xlfn.IFNA(INDEX(jkm_call_put!$M:$M,MATCH($B13&amp;AH$2&amp;$A$1,jkm_call_put!$G:$G&amp;jkm_call_put!$O:$O&amp;jkm_call_put!$F:$F,0),1),"")</f>
        <v>0.56967999999999996</v>
      </c>
      <c r="AI13" s="7" cm="1">
        <f t="array" aca="1" ref="AI13" ca="1">_xlfn.IFNA(INDEX(jkm_call_put!$M:$M,MATCH($B13&amp;AI$2&amp;$A$1,jkm_call_put!$G:$G&amp;jkm_call_put!$O:$O&amp;jkm_call_put!$F:$F,0),1),"")</f>
        <v>0.58008999999999999</v>
      </c>
      <c r="AJ13" s="7" cm="1">
        <f t="array" aca="1" ref="AJ13" ca="1">_xlfn.IFNA(INDEX(jkm_call_put!$M:$M,MATCH($B13&amp;AJ$2&amp;$A$1,jkm_call_put!$G:$G&amp;jkm_call_put!$O:$O&amp;jkm_call_put!$F:$F,0),1),"")</f>
        <v>0.58472999999999997</v>
      </c>
      <c r="AK13" s="7" cm="1">
        <f t="array" aca="1" ref="AK13" ca="1">_xlfn.IFNA(INDEX(jkm_call_put!$M:$M,MATCH($B13&amp;AK$2&amp;$A$1,jkm_call_put!$G:$G&amp;jkm_call_put!$O:$O&amp;jkm_call_put!$F:$F,0),1),"")</f>
        <v>0.58191999999999999</v>
      </c>
      <c r="AL13" s="7" cm="1">
        <f t="array" aca="1" ref="AL13" ca="1">_xlfn.IFNA(INDEX(jkm_call_put!$M:$M,MATCH($B13&amp;AL$2&amp;$A$1,jkm_call_put!$G:$G&amp;jkm_call_put!$O:$O&amp;jkm_call_put!$F:$F,0),1),"")</f>
        <v>0.51331000000000004</v>
      </c>
    </row>
    <row r="14" spans="1:38" x14ac:dyDescent="0.25">
      <c r="B14">
        <v>10.5</v>
      </c>
      <c r="C14" s="7" t="str" cm="1">
        <f t="array" aca="1" ref="C14" ca="1">_xlfn.IFNA(INDEX(jkm_call_put!$M:$M,MATCH($B14&amp;C$2&amp;$A$1,jkm_call_put!$G:$G&amp;jkm_call_put!$O:$O&amp;jkm_call_put!$F:$F,0),1),"")</f>
        <v/>
      </c>
      <c r="D14" s="7" t="str" cm="1">
        <f t="array" aca="1" ref="D14" ca="1">_xlfn.IFNA(INDEX(jkm_call_put!$M:$M,MATCH($B14&amp;D$2&amp;$A$1,jkm_call_put!$G:$G&amp;jkm_call_put!$O:$O&amp;jkm_call_put!$F:$F,0),1),"")</f>
        <v/>
      </c>
      <c r="E14" s="7" t="str" cm="1">
        <f t="array" aca="1" ref="E14" ca="1">_xlfn.IFNA(INDEX(jkm_call_put!$M:$M,MATCH($B14&amp;E$2&amp;$A$1,jkm_call_put!$G:$G&amp;jkm_call_put!$O:$O&amp;jkm_call_put!$F:$F,0),1),"")</f>
        <v/>
      </c>
      <c r="F14" s="7" t="str" cm="1">
        <f t="array" aca="1" ref="F14" ca="1">_xlfn.IFNA(INDEX(jkm_call_put!$M:$M,MATCH($B14&amp;F$2&amp;$A$1,jkm_call_put!$G:$G&amp;jkm_call_put!$O:$O&amp;jkm_call_put!$F:$F,0),1),"")</f>
        <v/>
      </c>
      <c r="G14" s="7" t="str" cm="1">
        <f t="array" aca="1" ref="G14" ca="1">_xlfn.IFNA(INDEX(jkm_call_put!$M:$M,MATCH($B14&amp;G$2&amp;$A$1,jkm_call_put!$G:$G&amp;jkm_call_put!$O:$O&amp;jkm_call_put!$F:$F,0),1),"")</f>
        <v/>
      </c>
      <c r="H14" s="7" cm="1">
        <f t="array" aca="1" ref="H14" ca="1">_xlfn.IFNA(INDEX(jkm_call_put!$M:$M,MATCH($B14&amp;H$2&amp;$A$1,jkm_call_put!$G:$G&amp;jkm_call_put!$O:$O&amp;jkm_call_put!$F:$F,0),1),"")</f>
        <v>0.91293000000000002</v>
      </c>
      <c r="I14" s="7" cm="1">
        <f t="array" aca="1" ref="I14" ca="1">_xlfn.IFNA(INDEX(jkm_call_put!$M:$M,MATCH($B14&amp;I$2&amp;$A$1,jkm_call_put!$G:$G&amp;jkm_call_put!$O:$O&amp;jkm_call_put!$F:$F,0),1),"")</f>
        <v>0.89925999999999995</v>
      </c>
      <c r="J14" s="7" cm="1">
        <f t="array" aca="1" ref="J14" ca="1">_xlfn.IFNA(INDEX(jkm_call_put!$M:$M,MATCH($B14&amp;J$2&amp;$A$1,jkm_call_put!$G:$G&amp;jkm_call_put!$O:$O&amp;jkm_call_put!$F:$F,0),1),"")</f>
        <v>0.89263000000000003</v>
      </c>
      <c r="K14" s="7" cm="1">
        <f t="array" aca="1" ref="K14" ca="1">_xlfn.IFNA(INDEX(jkm_call_put!$M:$M,MATCH($B14&amp;K$2&amp;$A$1,jkm_call_put!$G:$G&amp;jkm_call_put!$O:$O&amp;jkm_call_put!$F:$F,0),1),"")</f>
        <v>0.88221000000000005</v>
      </c>
      <c r="L14" s="7" cm="1">
        <f t="array" aca="1" ref="L14" ca="1">_xlfn.IFNA(INDEX(jkm_call_put!$M:$M,MATCH($B14&amp;L$2&amp;$A$1,jkm_call_put!$G:$G&amp;jkm_call_put!$O:$O&amp;jkm_call_put!$F:$F,0),1),"")</f>
        <v>0.86841999999999997</v>
      </c>
      <c r="M14" s="7" cm="1">
        <f t="array" aca="1" ref="M14" ca="1">_xlfn.IFNA(INDEX(jkm_call_put!$M:$M,MATCH($B14&amp;M$2&amp;$A$1,jkm_call_put!$G:$G&amp;jkm_call_put!$O:$O&amp;jkm_call_put!$F:$F,0),1),"")</f>
        <v>0.83118999999999998</v>
      </c>
      <c r="N14" s="7" cm="1">
        <f t="array" aca="1" ref="N14" ca="1">_xlfn.IFNA(INDEX(jkm_call_put!$M:$M,MATCH($B14&amp;N$2&amp;$A$1,jkm_call_put!$G:$G&amp;jkm_call_put!$O:$O&amp;jkm_call_put!$F:$F,0),1),"")</f>
        <v>0.79462999999999995</v>
      </c>
      <c r="O14" s="7" cm="1">
        <f t="array" aca="1" ref="O14" ca="1">_xlfn.IFNA(INDEX(jkm_call_put!$M:$M,MATCH($B14&amp;O$2&amp;$A$1,jkm_call_put!$G:$G&amp;jkm_call_put!$O:$O&amp;jkm_call_put!$F:$F,0),1),"")</f>
        <v>0.74451999999999996</v>
      </c>
      <c r="P14" s="7" cm="1">
        <f t="array" aca="1" ref="P14" ca="1">_xlfn.IFNA(INDEX(jkm_call_put!$M:$M,MATCH($B14&amp;P$2&amp;$A$1,jkm_call_put!$G:$G&amp;jkm_call_put!$O:$O&amp;jkm_call_put!$F:$F,0),1),"")</f>
        <v>0.72548000000000001</v>
      </c>
      <c r="Q14" s="7" cm="1">
        <f t="array" aca="1" ref="Q14" ca="1">_xlfn.IFNA(INDEX(jkm_call_put!$M:$M,MATCH($B14&amp;Q$2&amp;$A$1,jkm_call_put!$G:$G&amp;jkm_call_put!$O:$O&amp;jkm_call_put!$F:$F,0),1),"")</f>
        <v>0.72346999999999995</v>
      </c>
      <c r="R14" s="7" cm="1">
        <f t="array" aca="1" ref="R14" ca="1">_xlfn.IFNA(INDEX(jkm_call_put!$M:$M,MATCH($B14&amp;R$2&amp;$A$1,jkm_call_put!$G:$G&amp;jkm_call_put!$O:$O&amp;jkm_call_put!$F:$F,0),1),"")</f>
        <v>0.73094999999999999</v>
      </c>
      <c r="S14" s="7" cm="1">
        <f t="array" aca="1" ref="S14" ca="1">_xlfn.IFNA(INDEX(jkm_call_put!$M:$M,MATCH($B14&amp;S$2&amp;$A$1,jkm_call_put!$G:$G&amp;jkm_call_put!$O:$O&amp;jkm_call_put!$F:$F,0),1),"")</f>
        <v>0.71911000000000003</v>
      </c>
      <c r="T14" s="7" t="str" cm="1">
        <f t="array" aca="1" ref="T14" ca="1">_xlfn.IFNA(INDEX(jkm_call_put!$M:$M,MATCH($B14&amp;T$2&amp;$A$1,jkm_call_put!$G:$G&amp;jkm_call_put!$O:$O&amp;jkm_call_put!$F:$F,0),1),"")</f>
        <v/>
      </c>
      <c r="U14" s="7" t="str" cm="1">
        <f t="array" aca="1" ref="U14" ca="1">_xlfn.IFNA(INDEX(jkm_call_put!$M:$M,MATCH($B14&amp;U$2&amp;$A$1,jkm_call_put!$G:$G&amp;jkm_call_put!$O:$O&amp;jkm_call_put!$F:$F,0),1),"")</f>
        <v/>
      </c>
      <c r="V14" s="7" t="str" cm="1">
        <f t="array" aca="1" ref="V14" ca="1">_xlfn.IFNA(INDEX(jkm_call_put!$M:$M,MATCH($B14&amp;V$2&amp;$A$1,jkm_call_put!$G:$G&amp;jkm_call_put!$O:$O&amp;jkm_call_put!$F:$F,0),1),"")</f>
        <v/>
      </c>
      <c r="W14" s="7" t="str" cm="1">
        <f t="array" aca="1" ref="W14" ca="1">_xlfn.IFNA(INDEX(jkm_call_put!$M:$M,MATCH($B14&amp;W$2&amp;$A$1,jkm_call_put!$G:$G&amp;jkm_call_put!$O:$O&amp;jkm_call_put!$F:$F,0),1),"")</f>
        <v/>
      </c>
      <c r="X14" s="7" t="str" cm="1">
        <f t="array" aca="1" ref="X14" ca="1">_xlfn.IFNA(INDEX(jkm_call_put!$M:$M,MATCH($B14&amp;X$2&amp;$A$1,jkm_call_put!$G:$G&amp;jkm_call_put!$O:$O&amp;jkm_call_put!$F:$F,0),1),"")</f>
        <v/>
      </c>
      <c r="Y14" s="7" t="str" cm="1">
        <f t="array" aca="1" ref="Y14" ca="1">_xlfn.IFNA(INDEX(jkm_call_put!$M:$M,MATCH($B14&amp;Y$2&amp;$A$1,jkm_call_put!$G:$G&amp;jkm_call_put!$O:$O&amp;jkm_call_put!$F:$F,0),1),"")</f>
        <v/>
      </c>
      <c r="Z14" s="7" t="str" cm="1">
        <f t="array" aca="1" ref="Z14" ca="1">_xlfn.IFNA(INDEX(jkm_call_put!$M:$M,MATCH($B14&amp;Z$2&amp;$A$1,jkm_call_put!$G:$G&amp;jkm_call_put!$O:$O&amp;jkm_call_put!$F:$F,0),1),"")</f>
        <v/>
      </c>
      <c r="AA14" s="7" t="str" cm="1">
        <f t="array" aca="1" ref="AA14" ca="1">_xlfn.IFNA(INDEX(jkm_call_put!$M:$M,MATCH($B14&amp;AA$2&amp;$A$1,jkm_call_put!$G:$G&amp;jkm_call_put!$O:$O&amp;jkm_call_put!$F:$F,0),1),"")</f>
        <v/>
      </c>
      <c r="AB14" s="7" t="str" cm="1">
        <f t="array" aca="1" ref="AB14" ca="1">_xlfn.IFNA(INDEX(jkm_call_put!$M:$M,MATCH($B14&amp;AB$2&amp;$A$1,jkm_call_put!$G:$G&amp;jkm_call_put!$O:$O&amp;jkm_call_put!$F:$F,0),1),"")</f>
        <v/>
      </c>
      <c r="AC14" s="7" t="str" cm="1">
        <f t="array" aca="1" ref="AC14" ca="1">_xlfn.IFNA(INDEX(jkm_call_put!$M:$M,MATCH($B14&amp;AC$2&amp;$A$1,jkm_call_put!$G:$G&amp;jkm_call_put!$O:$O&amp;jkm_call_put!$F:$F,0),1),"")</f>
        <v/>
      </c>
      <c r="AD14" s="7" t="str" cm="1">
        <f t="array" aca="1" ref="AD14" ca="1">_xlfn.IFNA(INDEX(jkm_call_put!$M:$M,MATCH($B14&amp;AD$2&amp;$A$1,jkm_call_put!$G:$G&amp;jkm_call_put!$O:$O&amp;jkm_call_put!$F:$F,0),1),"")</f>
        <v/>
      </c>
      <c r="AE14" s="7" t="str" cm="1">
        <f t="array" aca="1" ref="AE14" ca="1">_xlfn.IFNA(INDEX(jkm_call_put!$M:$M,MATCH($B14&amp;AE$2&amp;$A$1,jkm_call_put!$G:$G&amp;jkm_call_put!$O:$O&amp;jkm_call_put!$F:$F,0),1),"")</f>
        <v/>
      </c>
      <c r="AF14" s="7" t="str" cm="1">
        <f t="array" aca="1" ref="AF14" ca="1">_xlfn.IFNA(INDEX(jkm_call_put!$M:$M,MATCH($B14&amp;AF$2&amp;$A$1,jkm_call_put!$G:$G&amp;jkm_call_put!$O:$O&amp;jkm_call_put!$F:$F,0),1),"")</f>
        <v/>
      </c>
      <c r="AG14" s="7" t="str" cm="1">
        <f t="array" aca="1" ref="AG14" ca="1">_xlfn.IFNA(INDEX(jkm_call_put!$M:$M,MATCH($B14&amp;AG$2&amp;$A$1,jkm_call_put!$G:$G&amp;jkm_call_put!$O:$O&amp;jkm_call_put!$F:$F,0),1),"")</f>
        <v/>
      </c>
      <c r="AH14" s="7" t="str" cm="1">
        <f t="array" aca="1" ref="AH14" ca="1">_xlfn.IFNA(INDEX(jkm_call_put!$M:$M,MATCH($B14&amp;AH$2&amp;$A$1,jkm_call_put!$G:$G&amp;jkm_call_put!$O:$O&amp;jkm_call_put!$F:$F,0),1),"")</f>
        <v/>
      </c>
      <c r="AI14" s="7" t="str" cm="1">
        <f t="array" aca="1" ref="AI14" ca="1">_xlfn.IFNA(INDEX(jkm_call_put!$M:$M,MATCH($B14&amp;AI$2&amp;$A$1,jkm_call_put!$G:$G&amp;jkm_call_put!$O:$O&amp;jkm_call_put!$F:$F,0),1),"")</f>
        <v/>
      </c>
      <c r="AJ14" s="7" t="str" cm="1">
        <f t="array" aca="1" ref="AJ14" ca="1">_xlfn.IFNA(INDEX(jkm_call_put!$M:$M,MATCH($B14&amp;AJ$2&amp;$A$1,jkm_call_put!$G:$G&amp;jkm_call_put!$O:$O&amp;jkm_call_put!$F:$F,0),1),"")</f>
        <v/>
      </c>
      <c r="AK14" s="7" t="str" cm="1">
        <f t="array" aca="1" ref="AK14" ca="1">_xlfn.IFNA(INDEX(jkm_call_put!$M:$M,MATCH($B14&amp;AK$2&amp;$A$1,jkm_call_put!$G:$G&amp;jkm_call_put!$O:$O&amp;jkm_call_put!$F:$F,0),1),"")</f>
        <v/>
      </c>
      <c r="AL14" s="7" t="str" cm="1">
        <f t="array" aca="1" ref="AL14" ca="1">_xlfn.IFNA(INDEX(jkm_call_put!$M:$M,MATCH($B14&amp;AL$2&amp;$A$1,jkm_call_put!$G:$G&amp;jkm_call_put!$O:$O&amp;jkm_call_put!$F:$F,0),1),"")</f>
        <v/>
      </c>
    </row>
    <row r="15" spans="1:38" x14ac:dyDescent="0.25">
      <c r="B15">
        <v>11</v>
      </c>
      <c r="C15" s="7" t="str" cm="1">
        <f t="array" aca="1" ref="C15" ca="1">_xlfn.IFNA(INDEX(jkm_call_put!$M:$M,MATCH($B15&amp;C$2&amp;$A$1,jkm_call_put!$G:$G&amp;jkm_call_put!$O:$O&amp;jkm_call_put!$F:$F,0),1),"")</f>
        <v/>
      </c>
      <c r="D15" s="7" t="str" cm="1">
        <f t="array" aca="1" ref="D15" ca="1">_xlfn.IFNA(INDEX(jkm_call_put!$M:$M,MATCH($B15&amp;D$2&amp;$A$1,jkm_call_put!$G:$G&amp;jkm_call_put!$O:$O&amp;jkm_call_put!$F:$F,0),1),"")</f>
        <v/>
      </c>
      <c r="E15" s="7" t="str" cm="1">
        <f t="array" aca="1" ref="E15" ca="1">_xlfn.IFNA(INDEX(jkm_call_put!$M:$M,MATCH($B15&amp;E$2&amp;$A$1,jkm_call_put!$G:$G&amp;jkm_call_put!$O:$O&amp;jkm_call_put!$F:$F,0),1),"")</f>
        <v/>
      </c>
      <c r="F15" s="7" t="str" cm="1">
        <f t="array" aca="1" ref="F15" ca="1">_xlfn.IFNA(INDEX(jkm_call_put!$M:$M,MATCH($B15&amp;F$2&amp;$A$1,jkm_call_put!$G:$G&amp;jkm_call_put!$O:$O&amp;jkm_call_put!$F:$F,0),1),"")</f>
        <v/>
      </c>
      <c r="G15" s="7" t="str" cm="1">
        <f t="array" aca="1" ref="G15" ca="1">_xlfn.IFNA(INDEX(jkm_call_put!$M:$M,MATCH($B15&amp;G$2&amp;$A$1,jkm_call_put!$G:$G&amp;jkm_call_put!$O:$O&amp;jkm_call_put!$F:$F,0),1),"")</f>
        <v/>
      </c>
      <c r="H15" s="7" cm="1">
        <f t="array" aca="1" ref="H15" ca="1">_xlfn.IFNA(INDEX(jkm_call_put!$M:$M,MATCH($B15&amp;H$2&amp;$A$1,jkm_call_put!$G:$G&amp;jkm_call_put!$O:$O&amp;jkm_call_put!$F:$F,0),1),"")</f>
        <v>0.89476</v>
      </c>
      <c r="I15" s="7" cm="1">
        <f t="array" aca="1" ref="I15" ca="1">_xlfn.IFNA(INDEX(jkm_call_put!$M:$M,MATCH($B15&amp;I$2&amp;$A$1,jkm_call_put!$G:$G&amp;jkm_call_put!$O:$O&amp;jkm_call_put!$F:$F,0),1),"")</f>
        <v>0.88090000000000002</v>
      </c>
      <c r="J15" s="7" cm="1">
        <f t="array" aca="1" ref="J15" ca="1">_xlfn.IFNA(INDEX(jkm_call_put!$M:$M,MATCH($B15&amp;J$2&amp;$A$1,jkm_call_put!$G:$G&amp;jkm_call_put!$O:$O&amp;jkm_call_put!$F:$F,0),1),"")</f>
        <v>0.87483999999999995</v>
      </c>
      <c r="K15" s="7" cm="1">
        <f t="array" aca="1" ref="K15" ca="1">_xlfn.IFNA(INDEX(jkm_call_put!$M:$M,MATCH($B15&amp;K$2&amp;$A$1,jkm_call_put!$G:$G&amp;jkm_call_put!$O:$O&amp;jkm_call_put!$F:$F,0),1),"")</f>
        <v>0.86448999999999998</v>
      </c>
      <c r="L15" s="7" t="str" cm="1">
        <f t="array" aca="1" ref="L15" ca="1">_xlfn.IFNA(INDEX(jkm_call_put!$M:$M,MATCH($B15&amp;L$2&amp;$A$1,jkm_call_put!$G:$G&amp;jkm_call_put!$O:$O&amp;jkm_call_put!$F:$F,0),1),"")</f>
        <v/>
      </c>
      <c r="M15" s="7" t="str" cm="1">
        <f t="array" aca="1" ref="M15" ca="1">_xlfn.IFNA(INDEX(jkm_call_put!$M:$M,MATCH($B15&amp;M$2&amp;$A$1,jkm_call_put!$G:$G&amp;jkm_call_put!$O:$O&amp;jkm_call_put!$F:$F,0),1),"")</f>
        <v/>
      </c>
      <c r="N15" s="7" cm="1">
        <f t="array" aca="1" ref="N15" ca="1">_xlfn.IFNA(INDEX(jkm_call_put!$M:$M,MATCH($B15&amp;N$2&amp;$A$1,jkm_call_put!$G:$G&amp;jkm_call_put!$O:$O&amp;jkm_call_put!$F:$F,0),1),"")</f>
        <v>0.76576</v>
      </c>
      <c r="O15" s="7" cm="1">
        <f t="array" aca="1" ref="O15" ca="1">_xlfn.IFNA(INDEX(jkm_call_put!$M:$M,MATCH($B15&amp;O$2&amp;$A$1,jkm_call_put!$G:$G&amp;jkm_call_put!$O:$O&amp;jkm_call_put!$F:$F,0),1),"")</f>
        <v>0.71345999999999998</v>
      </c>
      <c r="P15" s="7" cm="1">
        <f t="array" aca="1" ref="P15" ca="1">_xlfn.IFNA(INDEX(jkm_call_put!$M:$M,MATCH($B15&amp;P$2&amp;$A$1,jkm_call_put!$G:$G&amp;jkm_call_put!$O:$O&amp;jkm_call_put!$F:$F,0),1),"")</f>
        <v>0.69462000000000002</v>
      </c>
      <c r="Q15" s="7" cm="1">
        <f t="array" aca="1" ref="Q15" ca="1">_xlfn.IFNA(INDEX(jkm_call_put!$M:$M,MATCH($B15&amp;Q$2&amp;$A$1,jkm_call_put!$G:$G&amp;jkm_call_put!$O:$O&amp;jkm_call_put!$F:$F,0),1),"")</f>
        <v>0.69359999999999999</v>
      </c>
      <c r="R15" s="7" cm="1">
        <f t="array" aca="1" ref="R15" ca="1">_xlfn.IFNA(INDEX(jkm_call_put!$M:$M,MATCH($B15&amp;R$2&amp;$A$1,jkm_call_put!$G:$G&amp;jkm_call_put!$O:$O&amp;jkm_call_put!$F:$F,0),1),"")</f>
        <v>0.70240000000000002</v>
      </c>
      <c r="S15" s="7" cm="1">
        <f t="array" aca="1" ref="S15" ca="1">_xlfn.IFNA(INDEX(jkm_call_put!$M:$M,MATCH($B15&amp;S$2&amp;$A$1,jkm_call_put!$G:$G&amp;jkm_call_put!$O:$O&amp;jkm_call_put!$F:$F,0),1),"")</f>
        <v>0.69089</v>
      </c>
      <c r="T15" s="7" t="str" cm="1">
        <f t="array" aca="1" ref="T15" ca="1">_xlfn.IFNA(INDEX(jkm_call_put!$M:$M,MATCH($B15&amp;T$2&amp;$A$1,jkm_call_put!$G:$G&amp;jkm_call_put!$O:$O&amp;jkm_call_put!$F:$F,0),1),"")</f>
        <v/>
      </c>
      <c r="U15" s="7" t="str" cm="1">
        <f t="array" aca="1" ref="U15" ca="1">_xlfn.IFNA(INDEX(jkm_call_put!$M:$M,MATCH($B15&amp;U$2&amp;$A$1,jkm_call_put!$G:$G&amp;jkm_call_put!$O:$O&amp;jkm_call_put!$F:$F,0),1),"")</f>
        <v/>
      </c>
      <c r="V15" s="7" t="str" cm="1">
        <f t="array" aca="1" ref="V15" ca="1">_xlfn.IFNA(INDEX(jkm_call_put!$M:$M,MATCH($B15&amp;V$2&amp;$A$1,jkm_call_put!$G:$G&amp;jkm_call_put!$O:$O&amp;jkm_call_put!$F:$F,0),1),"")</f>
        <v/>
      </c>
      <c r="W15" s="7" t="str" cm="1">
        <f t="array" aca="1" ref="W15" ca="1">_xlfn.IFNA(INDEX(jkm_call_put!$M:$M,MATCH($B15&amp;W$2&amp;$A$1,jkm_call_put!$G:$G&amp;jkm_call_put!$O:$O&amp;jkm_call_put!$F:$F,0),1),"")</f>
        <v/>
      </c>
      <c r="X15" s="7" t="str" cm="1">
        <f t="array" aca="1" ref="X15" ca="1">_xlfn.IFNA(INDEX(jkm_call_put!$M:$M,MATCH($B15&amp;X$2&amp;$A$1,jkm_call_put!$G:$G&amp;jkm_call_put!$O:$O&amp;jkm_call_put!$F:$F,0),1),"")</f>
        <v/>
      </c>
      <c r="Y15" s="7" t="str" cm="1">
        <f t="array" aca="1" ref="Y15" ca="1">_xlfn.IFNA(INDEX(jkm_call_put!$M:$M,MATCH($B15&amp;Y$2&amp;$A$1,jkm_call_put!$G:$G&amp;jkm_call_put!$O:$O&amp;jkm_call_put!$F:$F,0),1),"")</f>
        <v/>
      </c>
      <c r="Z15" s="7" t="str" cm="1">
        <f t="array" aca="1" ref="Z15" ca="1">_xlfn.IFNA(INDEX(jkm_call_put!$M:$M,MATCH($B15&amp;Z$2&amp;$A$1,jkm_call_put!$G:$G&amp;jkm_call_put!$O:$O&amp;jkm_call_put!$F:$F,0),1),"")</f>
        <v/>
      </c>
      <c r="AA15" s="7" t="str" cm="1">
        <f t="array" aca="1" ref="AA15" ca="1">_xlfn.IFNA(INDEX(jkm_call_put!$M:$M,MATCH($B15&amp;AA$2&amp;$A$1,jkm_call_put!$G:$G&amp;jkm_call_put!$O:$O&amp;jkm_call_put!$F:$F,0),1),"")</f>
        <v/>
      </c>
      <c r="AB15" s="7" t="str" cm="1">
        <f t="array" aca="1" ref="AB15" ca="1">_xlfn.IFNA(INDEX(jkm_call_put!$M:$M,MATCH($B15&amp;AB$2&amp;$A$1,jkm_call_put!$G:$G&amp;jkm_call_put!$O:$O&amp;jkm_call_put!$F:$F,0),1),"")</f>
        <v/>
      </c>
      <c r="AC15" s="7" t="str" cm="1">
        <f t="array" aca="1" ref="AC15" ca="1">_xlfn.IFNA(INDEX(jkm_call_put!$M:$M,MATCH($B15&amp;AC$2&amp;$A$1,jkm_call_put!$G:$G&amp;jkm_call_put!$O:$O&amp;jkm_call_put!$F:$F,0),1),"")</f>
        <v/>
      </c>
      <c r="AD15" s="7" t="str" cm="1">
        <f t="array" aca="1" ref="AD15" ca="1">_xlfn.IFNA(INDEX(jkm_call_put!$M:$M,MATCH($B15&amp;AD$2&amp;$A$1,jkm_call_put!$G:$G&amp;jkm_call_put!$O:$O&amp;jkm_call_put!$F:$F,0),1),"")</f>
        <v/>
      </c>
      <c r="AE15" s="7" t="str" cm="1">
        <f t="array" aca="1" ref="AE15" ca="1">_xlfn.IFNA(INDEX(jkm_call_put!$M:$M,MATCH($B15&amp;AE$2&amp;$A$1,jkm_call_put!$G:$G&amp;jkm_call_put!$O:$O&amp;jkm_call_put!$F:$F,0),1),"")</f>
        <v/>
      </c>
      <c r="AF15" s="7" t="str" cm="1">
        <f t="array" aca="1" ref="AF15" ca="1">_xlfn.IFNA(INDEX(jkm_call_put!$M:$M,MATCH($B15&amp;AF$2&amp;$A$1,jkm_call_put!$G:$G&amp;jkm_call_put!$O:$O&amp;jkm_call_put!$F:$F,0),1),"")</f>
        <v/>
      </c>
      <c r="AG15" s="7" t="str" cm="1">
        <f t="array" aca="1" ref="AG15" ca="1">_xlfn.IFNA(INDEX(jkm_call_put!$M:$M,MATCH($B15&amp;AG$2&amp;$A$1,jkm_call_put!$G:$G&amp;jkm_call_put!$O:$O&amp;jkm_call_put!$F:$F,0),1),"")</f>
        <v/>
      </c>
      <c r="AH15" s="7" t="str" cm="1">
        <f t="array" aca="1" ref="AH15" ca="1">_xlfn.IFNA(INDEX(jkm_call_put!$M:$M,MATCH($B15&amp;AH$2&amp;$A$1,jkm_call_put!$G:$G&amp;jkm_call_put!$O:$O&amp;jkm_call_put!$F:$F,0),1),"")</f>
        <v/>
      </c>
      <c r="AI15" s="7" t="str" cm="1">
        <f t="array" aca="1" ref="AI15" ca="1">_xlfn.IFNA(INDEX(jkm_call_put!$M:$M,MATCH($B15&amp;AI$2&amp;$A$1,jkm_call_put!$G:$G&amp;jkm_call_put!$O:$O&amp;jkm_call_put!$F:$F,0),1),"")</f>
        <v/>
      </c>
      <c r="AJ15" s="7" t="str" cm="1">
        <f t="array" aca="1" ref="AJ15" ca="1">_xlfn.IFNA(INDEX(jkm_call_put!$M:$M,MATCH($B15&amp;AJ$2&amp;$A$1,jkm_call_put!$G:$G&amp;jkm_call_put!$O:$O&amp;jkm_call_put!$F:$F,0),1),"")</f>
        <v/>
      </c>
      <c r="AK15" s="7" t="str" cm="1">
        <f t="array" aca="1" ref="AK15" ca="1">_xlfn.IFNA(INDEX(jkm_call_put!$M:$M,MATCH($B15&amp;AK$2&amp;$A$1,jkm_call_put!$G:$G&amp;jkm_call_put!$O:$O&amp;jkm_call_put!$F:$F,0),1),"")</f>
        <v/>
      </c>
      <c r="AL15" s="7" t="str" cm="1">
        <f t="array" aca="1" ref="AL15" ca="1">_xlfn.IFNA(INDEX(jkm_call_put!$M:$M,MATCH($B15&amp;AL$2&amp;$A$1,jkm_call_put!$G:$G&amp;jkm_call_put!$O:$O&amp;jkm_call_put!$F:$F,0),1),"")</f>
        <v/>
      </c>
    </row>
    <row r="16" spans="1:38" x14ac:dyDescent="0.25">
      <c r="B16">
        <v>11.5</v>
      </c>
      <c r="C16" s="7" cm="1">
        <f t="array" aca="1" ref="C16" ca="1">_xlfn.IFNA(INDEX(jkm_call_put!$M:$M,MATCH($B16&amp;C$2&amp;$A$1,jkm_call_put!$G:$G&amp;jkm_call_put!$O:$O&amp;jkm_call_put!$F:$F,0),1),"")</f>
        <v>1</v>
      </c>
      <c r="D16" s="7" cm="1">
        <f t="array" aca="1" ref="D16" ca="1">_xlfn.IFNA(INDEX(jkm_call_put!$M:$M,MATCH($B16&amp;D$2&amp;$A$1,jkm_call_put!$G:$G&amp;jkm_call_put!$O:$O&amp;jkm_call_put!$F:$F,0),1),"")</f>
        <v>0.99839</v>
      </c>
      <c r="E16" s="7" t="str" cm="1">
        <f t="array" aca="1" ref="E16" ca="1">_xlfn.IFNA(INDEX(jkm_call_put!$M:$M,MATCH($B16&amp;E$2&amp;$A$1,jkm_call_put!$G:$G&amp;jkm_call_put!$O:$O&amp;jkm_call_put!$F:$F,0),1),"")</f>
        <v/>
      </c>
      <c r="F16" s="7" t="str" cm="1">
        <f t="array" aca="1" ref="F16" ca="1">_xlfn.IFNA(INDEX(jkm_call_put!$M:$M,MATCH($B16&amp;F$2&amp;$A$1,jkm_call_put!$G:$G&amp;jkm_call_put!$O:$O&amp;jkm_call_put!$F:$F,0),1),"")</f>
        <v/>
      </c>
      <c r="G16" s="7" t="str" cm="1">
        <f t="array" aca="1" ref="G16" ca="1">_xlfn.IFNA(INDEX(jkm_call_put!$M:$M,MATCH($B16&amp;G$2&amp;$A$1,jkm_call_put!$G:$G&amp;jkm_call_put!$O:$O&amp;jkm_call_put!$F:$F,0),1),"")</f>
        <v/>
      </c>
      <c r="H16" s="7" t="str" cm="1">
        <f t="array" aca="1" ref="H16" ca="1">_xlfn.IFNA(INDEX(jkm_call_put!$M:$M,MATCH($B16&amp;H$2&amp;$A$1,jkm_call_put!$G:$G&amp;jkm_call_put!$O:$O&amp;jkm_call_put!$F:$F,0),1),"")</f>
        <v/>
      </c>
      <c r="I16" s="7" t="str" cm="1">
        <f t="array" aca="1" ref="I16" ca="1">_xlfn.IFNA(INDEX(jkm_call_put!$M:$M,MATCH($B16&amp;I$2&amp;$A$1,jkm_call_put!$G:$G&amp;jkm_call_put!$O:$O&amp;jkm_call_put!$F:$F,0),1),"")</f>
        <v/>
      </c>
      <c r="J16" s="7" t="str" cm="1">
        <f t="array" aca="1" ref="J16" ca="1">_xlfn.IFNA(INDEX(jkm_call_put!$M:$M,MATCH($B16&amp;J$2&amp;$A$1,jkm_call_put!$G:$G&amp;jkm_call_put!$O:$O&amp;jkm_call_put!$F:$F,0),1),"")</f>
        <v/>
      </c>
      <c r="K16" s="7" t="str" cm="1">
        <f t="array" aca="1" ref="K16" ca="1">_xlfn.IFNA(INDEX(jkm_call_put!$M:$M,MATCH($B16&amp;K$2&amp;$A$1,jkm_call_put!$G:$G&amp;jkm_call_put!$O:$O&amp;jkm_call_put!$F:$F,0),1),"")</f>
        <v/>
      </c>
      <c r="L16" s="7" t="str" cm="1">
        <f t="array" aca="1" ref="L16" ca="1">_xlfn.IFNA(INDEX(jkm_call_put!$M:$M,MATCH($B16&amp;L$2&amp;$A$1,jkm_call_put!$G:$G&amp;jkm_call_put!$O:$O&amp;jkm_call_put!$F:$F,0),1),"")</f>
        <v/>
      </c>
      <c r="M16" s="7" t="str" cm="1">
        <f t="array" aca="1" ref="M16" ca="1">_xlfn.IFNA(INDEX(jkm_call_put!$M:$M,MATCH($B16&amp;M$2&amp;$A$1,jkm_call_put!$G:$G&amp;jkm_call_put!$O:$O&amp;jkm_call_put!$F:$F,0),1),"")</f>
        <v/>
      </c>
      <c r="N16" s="7" t="str" cm="1">
        <f t="array" aca="1" ref="N16" ca="1">_xlfn.IFNA(INDEX(jkm_call_put!$M:$M,MATCH($B16&amp;N$2&amp;$A$1,jkm_call_put!$G:$G&amp;jkm_call_put!$O:$O&amp;jkm_call_put!$F:$F,0),1),"")</f>
        <v/>
      </c>
      <c r="O16" s="7" t="str" cm="1">
        <f t="array" aca="1" ref="O16" ca="1">_xlfn.IFNA(INDEX(jkm_call_put!$M:$M,MATCH($B16&amp;O$2&amp;$A$1,jkm_call_put!$G:$G&amp;jkm_call_put!$O:$O&amp;jkm_call_put!$F:$F,0),1),"")</f>
        <v/>
      </c>
      <c r="P16" s="7" t="str" cm="1">
        <f t="array" aca="1" ref="P16" ca="1">_xlfn.IFNA(INDEX(jkm_call_put!$M:$M,MATCH($B16&amp;P$2&amp;$A$1,jkm_call_put!$G:$G&amp;jkm_call_put!$O:$O&amp;jkm_call_put!$F:$F,0),1),"")</f>
        <v/>
      </c>
      <c r="Q16" s="7" t="str" cm="1">
        <f t="array" aca="1" ref="Q16" ca="1">_xlfn.IFNA(INDEX(jkm_call_put!$M:$M,MATCH($B16&amp;Q$2&amp;$A$1,jkm_call_put!$G:$G&amp;jkm_call_put!$O:$O&amp;jkm_call_put!$F:$F,0),1),"")</f>
        <v/>
      </c>
      <c r="R16" s="7" t="str" cm="1">
        <f t="array" aca="1" ref="R16" ca="1">_xlfn.IFNA(INDEX(jkm_call_put!$M:$M,MATCH($B16&amp;R$2&amp;$A$1,jkm_call_put!$G:$G&amp;jkm_call_put!$O:$O&amp;jkm_call_put!$F:$F,0),1),"")</f>
        <v/>
      </c>
      <c r="S16" s="7" t="str" cm="1">
        <f t="array" aca="1" ref="S16" ca="1">_xlfn.IFNA(INDEX(jkm_call_put!$M:$M,MATCH($B16&amp;S$2&amp;$A$1,jkm_call_put!$G:$G&amp;jkm_call_put!$O:$O&amp;jkm_call_put!$F:$F,0),1),"")</f>
        <v/>
      </c>
      <c r="T16" s="7" t="str" cm="1">
        <f t="array" aca="1" ref="T16" ca="1">_xlfn.IFNA(INDEX(jkm_call_put!$M:$M,MATCH($B16&amp;T$2&amp;$A$1,jkm_call_put!$G:$G&amp;jkm_call_put!$O:$O&amp;jkm_call_put!$F:$F,0),1),"")</f>
        <v/>
      </c>
      <c r="U16" s="7" t="str" cm="1">
        <f t="array" aca="1" ref="U16" ca="1">_xlfn.IFNA(INDEX(jkm_call_put!$M:$M,MATCH($B16&amp;U$2&amp;$A$1,jkm_call_put!$G:$G&amp;jkm_call_put!$O:$O&amp;jkm_call_put!$F:$F,0),1),"")</f>
        <v/>
      </c>
      <c r="V16" s="7" t="str" cm="1">
        <f t="array" aca="1" ref="V16" ca="1">_xlfn.IFNA(INDEX(jkm_call_put!$M:$M,MATCH($B16&amp;V$2&amp;$A$1,jkm_call_put!$G:$G&amp;jkm_call_put!$O:$O&amp;jkm_call_put!$F:$F,0),1),"")</f>
        <v/>
      </c>
      <c r="W16" s="7" t="str" cm="1">
        <f t="array" aca="1" ref="W16" ca="1">_xlfn.IFNA(INDEX(jkm_call_put!$M:$M,MATCH($B16&amp;W$2&amp;$A$1,jkm_call_put!$G:$G&amp;jkm_call_put!$O:$O&amp;jkm_call_put!$F:$F,0),1),"")</f>
        <v/>
      </c>
      <c r="X16" s="7" t="str" cm="1">
        <f t="array" aca="1" ref="X16" ca="1">_xlfn.IFNA(INDEX(jkm_call_put!$M:$M,MATCH($B16&amp;X$2&amp;$A$1,jkm_call_put!$G:$G&amp;jkm_call_put!$O:$O&amp;jkm_call_put!$F:$F,0),1),"")</f>
        <v/>
      </c>
      <c r="Y16" s="7" t="str" cm="1">
        <f t="array" aca="1" ref="Y16" ca="1">_xlfn.IFNA(INDEX(jkm_call_put!$M:$M,MATCH($B16&amp;Y$2&amp;$A$1,jkm_call_put!$G:$G&amp;jkm_call_put!$O:$O&amp;jkm_call_put!$F:$F,0),1),"")</f>
        <v/>
      </c>
      <c r="Z16" s="7" t="str" cm="1">
        <f t="array" aca="1" ref="Z16" ca="1">_xlfn.IFNA(INDEX(jkm_call_put!$M:$M,MATCH($B16&amp;Z$2&amp;$A$1,jkm_call_put!$G:$G&amp;jkm_call_put!$O:$O&amp;jkm_call_put!$F:$F,0),1),"")</f>
        <v/>
      </c>
      <c r="AA16" s="7" t="str" cm="1">
        <f t="array" aca="1" ref="AA16" ca="1">_xlfn.IFNA(INDEX(jkm_call_put!$M:$M,MATCH($B16&amp;AA$2&amp;$A$1,jkm_call_put!$G:$G&amp;jkm_call_put!$O:$O&amp;jkm_call_put!$F:$F,0),1),"")</f>
        <v/>
      </c>
      <c r="AB16" s="7" t="str" cm="1">
        <f t="array" aca="1" ref="AB16" ca="1">_xlfn.IFNA(INDEX(jkm_call_put!$M:$M,MATCH($B16&amp;AB$2&amp;$A$1,jkm_call_put!$G:$G&amp;jkm_call_put!$O:$O&amp;jkm_call_put!$F:$F,0),1),"")</f>
        <v/>
      </c>
      <c r="AC16" s="7" t="str" cm="1">
        <f t="array" aca="1" ref="AC16" ca="1">_xlfn.IFNA(INDEX(jkm_call_put!$M:$M,MATCH($B16&amp;AC$2&amp;$A$1,jkm_call_put!$G:$G&amp;jkm_call_put!$O:$O&amp;jkm_call_put!$F:$F,0),1),"")</f>
        <v/>
      </c>
      <c r="AD16" s="7" t="str" cm="1">
        <f t="array" aca="1" ref="AD16" ca="1">_xlfn.IFNA(INDEX(jkm_call_put!$M:$M,MATCH($B16&amp;AD$2&amp;$A$1,jkm_call_put!$G:$G&amp;jkm_call_put!$O:$O&amp;jkm_call_put!$F:$F,0),1),"")</f>
        <v/>
      </c>
      <c r="AE16" s="7" t="str" cm="1">
        <f t="array" aca="1" ref="AE16" ca="1">_xlfn.IFNA(INDEX(jkm_call_put!$M:$M,MATCH($B16&amp;AE$2&amp;$A$1,jkm_call_put!$G:$G&amp;jkm_call_put!$O:$O&amp;jkm_call_put!$F:$F,0),1),"")</f>
        <v/>
      </c>
      <c r="AF16" s="7" t="str" cm="1">
        <f t="array" aca="1" ref="AF16" ca="1">_xlfn.IFNA(INDEX(jkm_call_put!$M:$M,MATCH($B16&amp;AF$2&amp;$A$1,jkm_call_put!$G:$G&amp;jkm_call_put!$O:$O&amp;jkm_call_put!$F:$F,0),1),"")</f>
        <v/>
      </c>
      <c r="AG16" s="7" t="str" cm="1">
        <f t="array" aca="1" ref="AG16" ca="1">_xlfn.IFNA(INDEX(jkm_call_put!$M:$M,MATCH($B16&amp;AG$2&amp;$A$1,jkm_call_put!$G:$G&amp;jkm_call_put!$O:$O&amp;jkm_call_put!$F:$F,0),1),"")</f>
        <v/>
      </c>
      <c r="AH16" s="7" t="str" cm="1">
        <f t="array" aca="1" ref="AH16" ca="1">_xlfn.IFNA(INDEX(jkm_call_put!$M:$M,MATCH($B16&amp;AH$2&amp;$A$1,jkm_call_put!$G:$G&amp;jkm_call_put!$O:$O&amp;jkm_call_put!$F:$F,0),1),"")</f>
        <v/>
      </c>
      <c r="AI16" s="7" t="str" cm="1">
        <f t="array" aca="1" ref="AI16" ca="1">_xlfn.IFNA(INDEX(jkm_call_put!$M:$M,MATCH($B16&amp;AI$2&amp;$A$1,jkm_call_put!$G:$G&amp;jkm_call_put!$O:$O&amp;jkm_call_put!$F:$F,0),1),"")</f>
        <v/>
      </c>
      <c r="AJ16" s="7" t="str" cm="1">
        <f t="array" aca="1" ref="AJ16" ca="1">_xlfn.IFNA(INDEX(jkm_call_put!$M:$M,MATCH($B16&amp;AJ$2&amp;$A$1,jkm_call_put!$G:$G&amp;jkm_call_put!$O:$O&amp;jkm_call_put!$F:$F,0),1),"")</f>
        <v/>
      </c>
      <c r="AK16" s="7" t="str" cm="1">
        <f t="array" aca="1" ref="AK16" ca="1">_xlfn.IFNA(INDEX(jkm_call_put!$M:$M,MATCH($B16&amp;AK$2&amp;$A$1,jkm_call_put!$G:$G&amp;jkm_call_put!$O:$O&amp;jkm_call_put!$F:$F,0),1),"")</f>
        <v/>
      </c>
      <c r="AL16" s="7" t="str" cm="1">
        <f t="array" aca="1" ref="AL16" ca="1">_xlfn.IFNA(INDEX(jkm_call_put!$M:$M,MATCH($B16&amp;AL$2&amp;$A$1,jkm_call_put!$G:$G&amp;jkm_call_put!$O:$O&amp;jkm_call_put!$F:$F,0),1),"")</f>
        <v/>
      </c>
    </row>
    <row r="17" spans="2:38" x14ac:dyDescent="0.25">
      <c r="B17">
        <v>12.5</v>
      </c>
      <c r="C17" s="7" cm="1">
        <f t="array" aca="1" ref="C17" ca="1">_xlfn.IFNA(INDEX(jkm_call_put!$M:$M,MATCH($B17&amp;C$2&amp;$A$1,jkm_call_put!$G:$G&amp;jkm_call_put!$O:$O&amp;jkm_call_put!$F:$F,0),1),"")</f>
        <v>1</v>
      </c>
      <c r="D17" s="7" cm="1">
        <f t="array" aca="1" ref="D17" ca="1">_xlfn.IFNA(INDEX(jkm_call_put!$M:$M,MATCH($B17&amp;D$2&amp;$A$1,jkm_call_put!$G:$G&amp;jkm_call_put!$O:$O&amp;jkm_call_put!$F:$F,0),1),"")</f>
        <v>0.99314000000000002</v>
      </c>
      <c r="E17" s="7" cm="1">
        <f t="array" aca="1" ref="E17" ca="1">_xlfn.IFNA(INDEX(jkm_call_put!$M:$M,MATCH($B17&amp;E$2&amp;$A$1,jkm_call_put!$G:$G&amp;jkm_call_put!$O:$O&amp;jkm_call_put!$F:$F,0),1),"")</f>
        <v>0.89207999999999998</v>
      </c>
      <c r="F17" s="7" cm="1">
        <f t="array" aca="1" ref="F17" ca="1">_xlfn.IFNA(INDEX(jkm_call_put!$M:$M,MATCH($B17&amp;F$2&amp;$A$1,jkm_call_put!$G:$G&amp;jkm_call_put!$O:$O&amp;jkm_call_put!$F:$F,0),1),"")</f>
        <v>0.85387999999999997</v>
      </c>
      <c r="G17" s="7" cm="1">
        <f t="array" aca="1" ref="G17" ca="1">_xlfn.IFNA(INDEX(jkm_call_put!$M:$M,MATCH($B17&amp;G$2&amp;$A$1,jkm_call_put!$G:$G&amp;jkm_call_put!$O:$O&amp;jkm_call_put!$F:$F,0),1),"")</f>
        <v>0.82894999999999996</v>
      </c>
      <c r="H17" s="7" t="str" cm="1">
        <f t="array" aca="1" ref="H17" ca="1">_xlfn.IFNA(INDEX(jkm_call_put!$M:$M,MATCH($B17&amp;H$2&amp;$A$1,jkm_call_put!$G:$G&amp;jkm_call_put!$O:$O&amp;jkm_call_put!$F:$F,0),1),"")</f>
        <v/>
      </c>
      <c r="I17" s="7" t="str" cm="1">
        <f t="array" aca="1" ref="I17" ca="1">_xlfn.IFNA(INDEX(jkm_call_put!$M:$M,MATCH($B17&amp;I$2&amp;$A$1,jkm_call_put!$G:$G&amp;jkm_call_put!$O:$O&amp;jkm_call_put!$F:$F,0),1),"")</f>
        <v/>
      </c>
      <c r="J17" s="7" t="str" cm="1">
        <f t="array" aca="1" ref="J17" ca="1">_xlfn.IFNA(INDEX(jkm_call_put!$M:$M,MATCH($B17&amp;J$2&amp;$A$1,jkm_call_put!$G:$G&amp;jkm_call_put!$O:$O&amp;jkm_call_put!$F:$F,0),1),"")</f>
        <v/>
      </c>
      <c r="K17" s="7" t="str" cm="1">
        <f t="array" aca="1" ref="K17" ca="1">_xlfn.IFNA(INDEX(jkm_call_put!$M:$M,MATCH($B17&amp;K$2&amp;$A$1,jkm_call_put!$G:$G&amp;jkm_call_put!$O:$O&amp;jkm_call_put!$F:$F,0),1),"")</f>
        <v/>
      </c>
      <c r="L17" s="7" t="str" cm="1">
        <f t="array" aca="1" ref="L17" ca="1">_xlfn.IFNA(INDEX(jkm_call_put!$M:$M,MATCH($B17&amp;L$2&amp;$A$1,jkm_call_put!$G:$G&amp;jkm_call_put!$O:$O&amp;jkm_call_put!$F:$F,0),1),"")</f>
        <v/>
      </c>
      <c r="M17" s="7" t="str" cm="1">
        <f t="array" aca="1" ref="M17" ca="1">_xlfn.IFNA(INDEX(jkm_call_put!$M:$M,MATCH($B17&amp;M$2&amp;$A$1,jkm_call_put!$G:$G&amp;jkm_call_put!$O:$O&amp;jkm_call_put!$F:$F,0),1),"")</f>
        <v/>
      </c>
      <c r="N17" s="7" t="str" cm="1">
        <f t="array" aca="1" ref="N17" ca="1">_xlfn.IFNA(INDEX(jkm_call_put!$M:$M,MATCH($B17&amp;N$2&amp;$A$1,jkm_call_put!$G:$G&amp;jkm_call_put!$O:$O&amp;jkm_call_put!$F:$F,0),1),"")</f>
        <v/>
      </c>
      <c r="O17" s="7" t="str" cm="1">
        <f t="array" aca="1" ref="O17" ca="1">_xlfn.IFNA(INDEX(jkm_call_put!$M:$M,MATCH($B17&amp;O$2&amp;$A$1,jkm_call_put!$G:$G&amp;jkm_call_put!$O:$O&amp;jkm_call_put!$F:$F,0),1),"")</f>
        <v/>
      </c>
      <c r="P17" s="7" t="str" cm="1">
        <f t="array" aca="1" ref="P17" ca="1">_xlfn.IFNA(INDEX(jkm_call_put!$M:$M,MATCH($B17&amp;P$2&amp;$A$1,jkm_call_put!$G:$G&amp;jkm_call_put!$O:$O&amp;jkm_call_put!$F:$F,0),1),"")</f>
        <v/>
      </c>
      <c r="Q17" s="7" t="str" cm="1">
        <f t="array" aca="1" ref="Q17" ca="1">_xlfn.IFNA(INDEX(jkm_call_put!$M:$M,MATCH($B17&amp;Q$2&amp;$A$1,jkm_call_put!$G:$G&amp;jkm_call_put!$O:$O&amp;jkm_call_put!$F:$F,0),1),"")</f>
        <v/>
      </c>
      <c r="R17" s="7" t="str" cm="1">
        <f t="array" aca="1" ref="R17" ca="1">_xlfn.IFNA(INDEX(jkm_call_put!$M:$M,MATCH($B17&amp;R$2&amp;$A$1,jkm_call_put!$G:$G&amp;jkm_call_put!$O:$O&amp;jkm_call_put!$F:$F,0),1),"")</f>
        <v/>
      </c>
      <c r="S17" s="7" t="str" cm="1">
        <f t="array" aca="1" ref="S17" ca="1">_xlfn.IFNA(INDEX(jkm_call_put!$M:$M,MATCH($B17&amp;S$2&amp;$A$1,jkm_call_put!$G:$G&amp;jkm_call_put!$O:$O&amp;jkm_call_put!$F:$F,0),1),"")</f>
        <v/>
      </c>
      <c r="T17" s="7" t="str" cm="1">
        <f t="array" aca="1" ref="T17" ca="1">_xlfn.IFNA(INDEX(jkm_call_put!$M:$M,MATCH($B17&amp;T$2&amp;$A$1,jkm_call_put!$G:$G&amp;jkm_call_put!$O:$O&amp;jkm_call_put!$F:$F,0),1),"")</f>
        <v/>
      </c>
      <c r="U17" s="7" t="str" cm="1">
        <f t="array" aca="1" ref="U17" ca="1">_xlfn.IFNA(INDEX(jkm_call_put!$M:$M,MATCH($B17&amp;U$2&amp;$A$1,jkm_call_put!$G:$G&amp;jkm_call_put!$O:$O&amp;jkm_call_put!$F:$F,0),1),"")</f>
        <v/>
      </c>
      <c r="V17" s="7" t="str" cm="1">
        <f t="array" aca="1" ref="V17" ca="1">_xlfn.IFNA(INDEX(jkm_call_put!$M:$M,MATCH($B17&amp;V$2&amp;$A$1,jkm_call_put!$G:$G&amp;jkm_call_put!$O:$O&amp;jkm_call_put!$F:$F,0),1),"")</f>
        <v/>
      </c>
      <c r="W17" s="7" t="str" cm="1">
        <f t="array" aca="1" ref="W17" ca="1">_xlfn.IFNA(INDEX(jkm_call_put!$M:$M,MATCH($B17&amp;W$2&amp;$A$1,jkm_call_put!$G:$G&amp;jkm_call_put!$O:$O&amp;jkm_call_put!$F:$F,0),1),"")</f>
        <v/>
      </c>
      <c r="X17" s="7" t="str" cm="1">
        <f t="array" aca="1" ref="X17" ca="1">_xlfn.IFNA(INDEX(jkm_call_put!$M:$M,MATCH($B17&amp;X$2&amp;$A$1,jkm_call_put!$G:$G&amp;jkm_call_put!$O:$O&amp;jkm_call_put!$F:$F,0),1),"")</f>
        <v/>
      </c>
      <c r="Y17" s="7" t="str" cm="1">
        <f t="array" aca="1" ref="Y17" ca="1">_xlfn.IFNA(INDEX(jkm_call_put!$M:$M,MATCH($B17&amp;Y$2&amp;$A$1,jkm_call_put!$G:$G&amp;jkm_call_put!$O:$O&amp;jkm_call_put!$F:$F,0),1),"")</f>
        <v/>
      </c>
      <c r="Z17" s="7" t="str" cm="1">
        <f t="array" aca="1" ref="Z17" ca="1">_xlfn.IFNA(INDEX(jkm_call_put!$M:$M,MATCH($B17&amp;Z$2&amp;$A$1,jkm_call_put!$G:$G&amp;jkm_call_put!$O:$O&amp;jkm_call_put!$F:$F,0),1),"")</f>
        <v/>
      </c>
      <c r="AA17" s="7" t="str" cm="1">
        <f t="array" aca="1" ref="AA17" ca="1">_xlfn.IFNA(INDEX(jkm_call_put!$M:$M,MATCH($B17&amp;AA$2&amp;$A$1,jkm_call_put!$G:$G&amp;jkm_call_put!$O:$O&amp;jkm_call_put!$F:$F,0),1),"")</f>
        <v/>
      </c>
      <c r="AB17" s="7" t="str" cm="1">
        <f t="array" aca="1" ref="AB17" ca="1">_xlfn.IFNA(INDEX(jkm_call_put!$M:$M,MATCH($B17&amp;AB$2&amp;$A$1,jkm_call_put!$G:$G&amp;jkm_call_put!$O:$O&amp;jkm_call_put!$F:$F,0),1),"")</f>
        <v/>
      </c>
      <c r="AC17" s="7" t="str" cm="1">
        <f t="array" aca="1" ref="AC17" ca="1">_xlfn.IFNA(INDEX(jkm_call_put!$M:$M,MATCH($B17&amp;AC$2&amp;$A$1,jkm_call_put!$G:$G&amp;jkm_call_put!$O:$O&amp;jkm_call_put!$F:$F,0),1),"")</f>
        <v/>
      </c>
      <c r="AD17" s="7" t="str" cm="1">
        <f t="array" aca="1" ref="AD17" ca="1">_xlfn.IFNA(INDEX(jkm_call_put!$M:$M,MATCH($B17&amp;AD$2&amp;$A$1,jkm_call_put!$G:$G&amp;jkm_call_put!$O:$O&amp;jkm_call_put!$F:$F,0),1),"")</f>
        <v/>
      </c>
      <c r="AE17" s="7" t="str" cm="1">
        <f t="array" aca="1" ref="AE17" ca="1">_xlfn.IFNA(INDEX(jkm_call_put!$M:$M,MATCH($B17&amp;AE$2&amp;$A$1,jkm_call_put!$G:$G&amp;jkm_call_put!$O:$O&amp;jkm_call_put!$F:$F,0),1),"")</f>
        <v/>
      </c>
      <c r="AF17" s="7" t="str" cm="1">
        <f t="array" aca="1" ref="AF17" ca="1">_xlfn.IFNA(INDEX(jkm_call_put!$M:$M,MATCH($B17&amp;AF$2&amp;$A$1,jkm_call_put!$G:$G&amp;jkm_call_put!$O:$O&amp;jkm_call_put!$F:$F,0),1),"")</f>
        <v/>
      </c>
      <c r="AG17" s="7" t="str" cm="1">
        <f t="array" aca="1" ref="AG17" ca="1">_xlfn.IFNA(INDEX(jkm_call_put!$M:$M,MATCH($B17&amp;AG$2&amp;$A$1,jkm_call_put!$G:$G&amp;jkm_call_put!$O:$O&amp;jkm_call_put!$F:$F,0),1),"")</f>
        <v/>
      </c>
      <c r="AH17" s="7" t="str" cm="1">
        <f t="array" aca="1" ref="AH17" ca="1">_xlfn.IFNA(INDEX(jkm_call_put!$M:$M,MATCH($B17&amp;AH$2&amp;$A$1,jkm_call_put!$G:$G&amp;jkm_call_put!$O:$O&amp;jkm_call_put!$F:$F,0),1),"")</f>
        <v/>
      </c>
      <c r="AI17" s="7" t="str" cm="1">
        <f t="array" aca="1" ref="AI17" ca="1">_xlfn.IFNA(INDEX(jkm_call_put!$M:$M,MATCH($B17&amp;AI$2&amp;$A$1,jkm_call_put!$G:$G&amp;jkm_call_put!$O:$O&amp;jkm_call_put!$F:$F,0),1),"")</f>
        <v/>
      </c>
      <c r="AJ17" s="7" t="str" cm="1">
        <f t="array" aca="1" ref="AJ17" ca="1">_xlfn.IFNA(INDEX(jkm_call_put!$M:$M,MATCH($B17&amp;AJ$2&amp;$A$1,jkm_call_put!$G:$G&amp;jkm_call_put!$O:$O&amp;jkm_call_put!$F:$F,0),1),"")</f>
        <v/>
      </c>
      <c r="AK17" s="7" t="str" cm="1">
        <f t="array" aca="1" ref="AK17" ca="1">_xlfn.IFNA(INDEX(jkm_call_put!$M:$M,MATCH($B17&amp;AK$2&amp;$A$1,jkm_call_put!$G:$G&amp;jkm_call_put!$O:$O&amp;jkm_call_put!$F:$F,0),1),"")</f>
        <v/>
      </c>
      <c r="AL17" s="7" t="str" cm="1">
        <f t="array" aca="1" ref="AL17" ca="1">_xlfn.IFNA(INDEX(jkm_call_put!$M:$M,MATCH($B17&amp;AL$2&amp;$A$1,jkm_call_put!$G:$G&amp;jkm_call_put!$O:$O&amp;jkm_call_put!$F:$F,0),1),"")</f>
        <v/>
      </c>
    </row>
    <row r="18" spans="2:38" x14ac:dyDescent="0.25">
      <c r="B18">
        <v>13</v>
      </c>
      <c r="C18" s="7" cm="1">
        <f t="array" aca="1" ref="C18" ca="1">_xlfn.IFNA(INDEX(jkm_call_put!$M:$M,MATCH($B18&amp;C$2&amp;$A$1,jkm_call_put!$G:$G&amp;jkm_call_put!$O:$O&amp;jkm_call_put!$F:$F,0),1),"")</f>
        <v>1</v>
      </c>
      <c r="D18" s="7" cm="1">
        <f t="array" aca="1" ref="D18" ca="1">_xlfn.IFNA(INDEX(jkm_call_put!$M:$M,MATCH($B18&amp;D$2&amp;$A$1,jkm_call_put!$G:$G&amp;jkm_call_put!$O:$O&amp;jkm_call_put!$F:$F,0),1),"")</f>
        <v>0.98738999999999999</v>
      </c>
      <c r="E18" s="7" cm="1">
        <f t="array" aca="1" ref="E18" ca="1">_xlfn.IFNA(INDEX(jkm_call_put!$M:$M,MATCH($B18&amp;E$2&amp;$A$1,jkm_call_put!$G:$G&amp;jkm_call_put!$O:$O&amp;jkm_call_put!$F:$F,0),1),"")</f>
        <v>0.87131999999999998</v>
      </c>
      <c r="F18" s="7" cm="1">
        <f t="array" aca="1" ref="F18" ca="1">_xlfn.IFNA(INDEX(jkm_call_put!$M:$M,MATCH($B18&amp;F$2&amp;$A$1,jkm_call_put!$G:$G&amp;jkm_call_put!$O:$O&amp;jkm_call_put!$F:$F,0),1),"")</f>
        <v>0.83274999999999999</v>
      </c>
      <c r="G18" s="7" cm="1">
        <f t="array" aca="1" ref="G18" ca="1">_xlfn.IFNA(INDEX(jkm_call_put!$M:$M,MATCH($B18&amp;G$2&amp;$A$1,jkm_call_put!$G:$G&amp;jkm_call_put!$O:$O&amp;jkm_call_put!$F:$F,0),1),"")</f>
        <v>0.80861000000000005</v>
      </c>
      <c r="H18" s="7" cm="1">
        <f t="array" aca="1" ref="H18" ca="1">_xlfn.IFNA(INDEX(jkm_call_put!$M:$M,MATCH($B18&amp;H$2&amp;$A$1,jkm_call_put!$G:$G&amp;jkm_call_put!$O:$O&amp;jkm_call_put!$F:$F,0),1),"")</f>
        <v>0.80769999999999997</v>
      </c>
      <c r="I18" s="7" cm="1">
        <f t="array" aca="1" ref="I18" ca="1">_xlfn.IFNA(INDEX(jkm_call_put!$M:$M,MATCH($B18&amp;I$2&amp;$A$1,jkm_call_put!$G:$G&amp;jkm_call_put!$O:$O&amp;jkm_call_put!$F:$F,0),1),"")</f>
        <v>0.79632000000000003</v>
      </c>
      <c r="J18" s="7" cm="1">
        <f t="array" aca="1" ref="J18" ca="1">_xlfn.IFNA(INDEX(jkm_call_put!$M:$M,MATCH($B18&amp;J$2&amp;$A$1,jkm_call_put!$G:$G&amp;jkm_call_put!$O:$O&amp;jkm_call_put!$F:$F,0),1),"")</f>
        <v>0.79478000000000004</v>
      </c>
      <c r="K18" s="7" cm="1">
        <f t="array" aca="1" ref="K18" ca="1">_xlfn.IFNA(INDEX(jkm_call_put!$M:$M,MATCH($B18&amp;K$2&amp;$A$1,jkm_call_put!$G:$G&amp;jkm_call_put!$O:$O&amp;jkm_call_put!$F:$F,0),1),"")</f>
        <v>0.78656000000000004</v>
      </c>
      <c r="L18" s="7" cm="1">
        <f t="array" aca="1" ref="L18" ca="1">_xlfn.IFNA(INDEX(jkm_call_put!$M:$M,MATCH($B18&amp;L$2&amp;$A$1,jkm_call_put!$G:$G&amp;jkm_call_put!$O:$O&amp;jkm_call_put!$F:$F,0),1),"")</f>
        <v>0.77327000000000001</v>
      </c>
      <c r="M18" s="7" cm="1">
        <f t="array" aca="1" ref="M18" ca="1">_xlfn.IFNA(INDEX(jkm_call_put!$M:$M,MATCH($B18&amp;M$2&amp;$A$1,jkm_call_put!$G:$G&amp;jkm_call_put!$O:$O&amp;jkm_call_put!$F:$F,0),1),"")</f>
        <v>0.72857000000000005</v>
      </c>
      <c r="N18" s="7" t="str" cm="1">
        <f t="array" aca="1" ref="N18" ca="1">_xlfn.IFNA(INDEX(jkm_call_put!$M:$M,MATCH($B18&amp;N$2&amp;$A$1,jkm_call_put!$G:$G&amp;jkm_call_put!$O:$O&amp;jkm_call_put!$F:$F,0),1),"")</f>
        <v/>
      </c>
      <c r="O18" s="7" t="str" cm="1">
        <f t="array" aca="1" ref="O18" ca="1">_xlfn.IFNA(INDEX(jkm_call_put!$M:$M,MATCH($B18&amp;O$2&amp;$A$1,jkm_call_put!$G:$G&amp;jkm_call_put!$O:$O&amp;jkm_call_put!$F:$F,0),1),"")</f>
        <v/>
      </c>
      <c r="P18" s="7" t="str" cm="1">
        <f t="array" aca="1" ref="P18" ca="1">_xlfn.IFNA(INDEX(jkm_call_put!$M:$M,MATCH($B18&amp;P$2&amp;$A$1,jkm_call_put!$G:$G&amp;jkm_call_put!$O:$O&amp;jkm_call_put!$F:$F,0),1),"")</f>
        <v/>
      </c>
      <c r="Q18" s="7" t="str" cm="1">
        <f t="array" aca="1" ref="Q18" ca="1">_xlfn.IFNA(INDEX(jkm_call_put!$M:$M,MATCH($B18&amp;Q$2&amp;$A$1,jkm_call_put!$G:$G&amp;jkm_call_put!$O:$O&amp;jkm_call_put!$F:$F,0),1),"")</f>
        <v/>
      </c>
      <c r="R18" s="7" t="str" cm="1">
        <f t="array" aca="1" ref="R18" ca="1">_xlfn.IFNA(INDEX(jkm_call_put!$M:$M,MATCH($B18&amp;R$2&amp;$A$1,jkm_call_put!$G:$G&amp;jkm_call_put!$O:$O&amp;jkm_call_put!$F:$F,0),1),"")</f>
        <v/>
      </c>
      <c r="S18" s="7" t="str" cm="1">
        <f t="array" aca="1" ref="S18" ca="1">_xlfn.IFNA(INDEX(jkm_call_put!$M:$M,MATCH($B18&amp;S$2&amp;$A$1,jkm_call_put!$G:$G&amp;jkm_call_put!$O:$O&amp;jkm_call_put!$F:$F,0),1),"")</f>
        <v/>
      </c>
      <c r="T18" s="7" t="str" cm="1">
        <f t="array" aca="1" ref="T18" ca="1">_xlfn.IFNA(INDEX(jkm_call_put!$M:$M,MATCH($B18&amp;T$2&amp;$A$1,jkm_call_put!$G:$G&amp;jkm_call_put!$O:$O&amp;jkm_call_put!$F:$F,0),1),"")</f>
        <v/>
      </c>
      <c r="U18" s="7" t="str" cm="1">
        <f t="array" aca="1" ref="U18" ca="1">_xlfn.IFNA(INDEX(jkm_call_put!$M:$M,MATCH($B18&amp;U$2&amp;$A$1,jkm_call_put!$G:$G&amp;jkm_call_put!$O:$O&amp;jkm_call_put!$F:$F,0),1),"")</f>
        <v/>
      </c>
      <c r="V18" s="7" t="str" cm="1">
        <f t="array" aca="1" ref="V18" ca="1">_xlfn.IFNA(INDEX(jkm_call_put!$M:$M,MATCH($B18&amp;V$2&amp;$A$1,jkm_call_put!$G:$G&amp;jkm_call_put!$O:$O&amp;jkm_call_put!$F:$F,0),1),"")</f>
        <v/>
      </c>
      <c r="W18" s="7" cm="1">
        <f t="array" aca="1" ref="W18" ca="1">_xlfn.IFNA(INDEX(jkm_call_put!$M:$M,MATCH($B18&amp;W$2&amp;$A$1,jkm_call_put!$G:$G&amp;jkm_call_put!$O:$O&amp;jkm_call_put!$F:$F,0),1),"")</f>
        <v>0.55305000000000004</v>
      </c>
      <c r="X18" s="7" cm="1">
        <f t="array" aca="1" ref="X18" ca="1">_xlfn.IFNA(INDEX(jkm_call_put!$M:$M,MATCH($B18&amp;X$2&amp;$A$1,jkm_call_put!$G:$G&amp;jkm_call_put!$O:$O&amp;jkm_call_put!$F:$F,0),1),"")</f>
        <v>0.55689</v>
      </c>
      <c r="Y18" s="7" cm="1">
        <f t="array" aca="1" ref="Y18" ca="1">_xlfn.IFNA(INDEX(jkm_call_put!$M:$M,MATCH($B18&amp;Y$2&amp;$A$1,jkm_call_put!$G:$G&amp;jkm_call_put!$O:$O&amp;jkm_call_put!$F:$F,0),1),"")</f>
        <v>0.52568999999999999</v>
      </c>
      <c r="Z18" s="7" cm="1">
        <f t="array" aca="1" ref="Z18" ca="1">_xlfn.IFNA(INDEX(jkm_call_put!$M:$M,MATCH($B18&amp;Z$2&amp;$A$1,jkm_call_put!$G:$G&amp;jkm_call_put!$O:$O&amp;jkm_call_put!$F:$F,0),1),"")</f>
        <v>0.28327000000000002</v>
      </c>
      <c r="AA18" s="7" cm="1">
        <f t="array" aca="1" ref="AA18" ca="1">_xlfn.IFNA(INDEX(jkm_call_put!$M:$M,MATCH($B18&amp;AA$2&amp;$A$1,jkm_call_put!$G:$G&amp;jkm_call_put!$O:$O&amp;jkm_call_put!$F:$F,0),1),"")</f>
        <v>0.26678000000000002</v>
      </c>
      <c r="AB18" s="7" cm="1">
        <f t="array" aca="1" ref="AB18" ca="1">_xlfn.IFNA(INDEX(jkm_call_put!$M:$M,MATCH($B18&amp;AB$2&amp;$A$1,jkm_call_put!$G:$G&amp;jkm_call_put!$O:$O&amp;jkm_call_put!$F:$F,0),1),"")</f>
        <v>0.26584999999999998</v>
      </c>
      <c r="AC18" s="7" cm="1">
        <f t="array" aca="1" ref="AC18" ca="1">_xlfn.IFNA(INDEX(jkm_call_put!$M:$M,MATCH($B18&amp;AC$2&amp;$A$1,jkm_call_put!$G:$G&amp;jkm_call_put!$O:$O&amp;jkm_call_put!$F:$F,0),1),"")</f>
        <v>0.27561999999999998</v>
      </c>
      <c r="AD18" s="7" cm="1">
        <f t="array" aca="1" ref="AD18" ca="1">_xlfn.IFNA(INDEX(jkm_call_put!$M:$M,MATCH($B18&amp;AD$2&amp;$A$1,jkm_call_put!$G:$G&amp;jkm_call_put!$O:$O&amp;jkm_call_put!$F:$F,0),1),"")</f>
        <v>0.28281000000000001</v>
      </c>
      <c r="AE18" s="7" cm="1">
        <f t="array" aca="1" ref="AE18" ca="1">_xlfn.IFNA(INDEX(jkm_call_put!$M:$M,MATCH($B18&amp;AE$2&amp;$A$1,jkm_call_put!$G:$G&amp;jkm_call_put!$O:$O&amp;jkm_call_put!$F:$F,0),1),"")</f>
        <v>0.29339999999999999</v>
      </c>
      <c r="AF18" s="7" cm="1">
        <f t="array" aca="1" ref="AF18" ca="1">_xlfn.IFNA(INDEX(jkm_call_put!$M:$M,MATCH($B18&amp;AF$2&amp;$A$1,jkm_call_put!$G:$G&amp;jkm_call_put!$O:$O&amp;jkm_call_put!$F:$F,0),1),"")</f>
        <v>0.35731000000000002</v>
      </c>
      <c r="AG18" s="7" cm="1">
        <f t="array" aca="1" ref="AG18" ca="1">_xlfn.IFNA(INDEX(jkm_call_put!$M:$M,MATCH($B18&amp;AG$2&amp;$A$1,jkm_call_put!$G:$G&amp;jkm_call_put!$O:$O&amp;jkm_call_put!$F:$F,0),1),"")</f>
        <v>0.37483</v>
      </c>
      <c r="AH18" s="7" cm="1">
        <f t="array" aca="1" ref="AH18" ca="1">_xlfn.IFNA(INDEX(jkm_call_put!$M:$M,MATCH($B18&amp;AH$2&amp;$A$1,jkm_call_put!$G:$G&amp;jkm_call_put!$O:$O&amp;jkm_call_put!$F:$F,0),1),"")</f>
        <v>0.38866000000000001</v>
      </c>
      <c r="AI18" s="7" t="str" cm="1">
        <f t="array" aca="1" ref="AI18" ca="1">_xlfn.IFNA(INDEX(jkm_call_put!$M:$M,MATCH($B18&amp;AI$2&amp;$A$1,jkm_call_put!$G:$G&amp;jkm_call_put!$O:$O&amp;jkm_call_put!$F:$F,0),1),"")</f>
        <v/>
      </c>
      <c r="AJ18" s="7" t="str" cm="1">
        <f t="array" aca="1" ref="AJ18" ca="1">_xlfn.IFNA(INDEX(jkm_call_put!$M:$M,MATCH($B18&amp;AJ$2&amp;$A$1,jkm_call_put!$G:$G&amp;jkm_call_put!$O:$O&amp;jkm_call_put!$F:$F,0),1),"")</f>
        <v/>
      </c>
      <c r="AK18" s="7" t="str" cm="1">
        <f t="array" aca="1" ref="AK18" ca="1">_xlfn.IFNA(INDEX(jkm_call_put!$M:$M,MATCH($B18&amp;AK$2&amp;$A$1,jkm_call_put!$G:$G&amp;jkm_call_put!$O:$O&amp;jkm_call_put!$F:$F,0),1),"")</f>
        <v/>
      </c>
      <c r="AL18" s="7" t="str" cm="1">
        <f t="array" aca="1" ref="AL18" ca="1">_xlfn.IFNA(INDEX(jkm_call_put!$M:$M,MATCH($B18&amp;AL$2&amp;$A$1,jkm_call_put!$G:$G&amp;jkm_call_put!$O:$O&amp;jkm_call_put!$F:$F,0),1),"")</f>
        <v/>
      </c>
    </row>
    <row r="19" spans="2:38" x14ac:dyDescent="0.25">
      <c r="B19">
        <v>15</v>
      </c>
      <c r="C19" s="7" cm="1">
        <f t="array" aca="1" ref="C19" ca="1">_xlfn.IFNA(INDEX(jkm_call_put!$M:$M,MATCH($B19&amp;C$2&amp;$A$1,jkm_call_put!$G:$G&amp;jkm_call_put!$O:$O&amp;jkm_call_put!$F:$F,0),1),"")</f>
        <v>0.99888999999999994</v>
      </c>
      <c r="D19" s="7" cm="1">
        <f t="array" aca="1" ref="D19" ca="1">_xlfn.IFNA(INDEX(jkm_call_put!$M:$M,MATCH($B19&amp;D$2&amp;$A$1,jkm_call_put!$G:$G&amp;jkm_call_put!$O:$O&amp;jkm_call_put!$F:$F,0),1),"")</f>
        <v>0.92091999999999996</v>
      </c>
      <c r="E19" s="7" cm="1">
        <f t="array" aca="1" ref="E19" ca="1">_xlfn.IFNA(INDEX(jkm_call_put!$M:$M,MATCH($B19&amp;E$2&amp;$A$1,jkm_call_put!$G:$G&amp;jkm_call_put!$O:$O&amp;jkm_call_put!$F:$F,0),1),"")</f>
        <v>0.77322999999999997</v>
      </c>
      <c r="F19" s="7" cm="1">
        <f t="array" aca="1" ref="F19" ca="1">_xlfn.IFNA(INDEX(jkm_call_put!$M:$M,MATCH($B19&amp;F$2&amp;$A$1,jkm_call_put!$G:$G&amp;jkm_call_put!$O:$O&amp;jkm_call_put!$F:$F,0),1),"")</f>
        <v>0.74007999999999996</v>
      </c>
      <c r="G19" s="7" cm="1">
        <f t="array" aca="1" ref="G19" ca="1">_xlfn.IFNA(INDEX(jkm_call_put!$M:$M,MATCH($B19&amp;G$2&amp;$A$1,jkm_call_put!$G:$G&amp;jkm_call_put!$O:$O&amp;jkm_call_put!$F:$F,0),1),"")</f>
        <v>0.72277999999999998</v>
      </c>
      <c r="H19" s="7" cm="1">
        <f t="array" aca="1" ref="H19" ca="1">_xlfn.IFNA(INDEX(jkm_call_put!$M:$M,MATCH($B19&amp;H$2&amp;$A$1,jkm_call_put!$G:$G&amp;jkm_call_put!$O:$O&amp;jkm_call_put!$F:$F,0),1),"")</f>
        <v>0.70609999999999995</v>
      </c>
      <c r="I19" s="7" cm="1">
        <f t="array" aca="1" ref="I19" ca="1">_xlfn.IFNA(INDEX(jkm_call_put!$M:$M,MATCH($B19&amp;I$2&amp;$A$1,jkm_call_put!$G:$G&amp;jkm_call_put!$O:$O&amp;jkm_call_put!$F:$F,0),1),"")</f>
        <v>0.70147000000000004</v>
      </c>
      <c r="J19" s="7" cm="1">
        <f t="array" aca="1" ref="J19" ca="1">_xlfn.IFNA(INDEX(jkm_call_put!$M:$M,MATCH($B19&amp;J$2&amp;$A$1,jkm_call_put!$G:$G&amp;jkm_call_put!$O:$O&amp;jkm_call_put!$F:$F,0),1),"")</f>
        <v>0.70684999999999998</v>
      </c>
      <c r="K19" s="7" cm="1">
        <f t="array" aca="1" ref="K19" ca="1">_xlfn.IFNA(INDEX(jkm_call_put!$M:$M,MATCH($B19&amp;K$2&amp;$A$1,jkm_call_put!$G:$G&amp;jkm_call_put!$O:$O&amp;jkm_call_put!$F:$F,0),1),"")</f>
        <v>0.70301999999999998</v>
      </c>
      <c r="L19" s="7" cm="1">
        <f t="array" aca="1" ref="L19" ca="1">_xlfn.IFNA(INDEX(jkm_call_put!$M:$M,MATCH($B19&amp;L$2&amp;$A$1,jkm_call_put!$G:$G&amp;jkm_call_put!$O:$O&amp;jkm_call_put!$F:$F,0),1),"")</f>
        <v>0.69264999999999999</v>
      </c>
      <c r="M19" s="7" cm="1">
        <f t="array" aca="1" ref="M19" ca="1">_xlfn.IFNA(INDEX(jkm_call_put!$M:$M,MATCH($B19&amp;M$2&amp;$A$1,jkm_call_put!$G:$G&amp;jkm_call_put!$O:$O&amp;jkm_call_put!$F:$F,0),1),"")</f>
        <v>0.64634000000000003</v>
      </c>
      <c r="N19" s="7" cm="1">
        <f t="array" aca="1" ref="N19" ca="1">_xlfn.IFNA(INDEX(jkm_call_put!$M:$M,MATCH($B19&amp;N$2&amp;$A$1,jkm_call_put!$G:$G&amp;jkm_call_put!$O:$O&amp;jkm_call_put!$F:$F,0),1),"")</f>
        <v>0.52842</v>
      </c>
      <c r="O19" s="7" cm="1">
        <f t="array" aca="1" ref="O19" ca="1">_xlfn.IFNA(INDEX(jkm_call_put!$M:$M,MATCH($B19&amp;O$2&amp;$A$1,jkm_call_put!$G:$G&amp;jkm_call_put!$O:$O&amp;jkm_call_put!$F:$F,0),1),"")</f>
        <v>0.47438000000000002</v>
      </c>
      <c r="P19" s="7" cm="1">
        <f t="array" aca="1" ref="P19" ca="1">_xlfn.IFNA(INDEX(jkm_call_put!$M:$M,MATCH($B19&amp;P$2&amp;$A$1,jkm_call_put!$G:$G&amp;jkm_call_put!$O:$O&amp;jkm_call_put!$F:$F,0),1),"")</f>
        <v>0.46235999999999999</v>
      </c>
      <c r="Q19" s="7" cm="1">
        <f t="array" aca="1" ref="Q19" ca="1">_xlfn.IFNA(INDEX(jkm_call_put!$M:$M,MATCH($B19&amp;Q$2&amp;$A$1,jkm_call_put!$G:$G&amp;jkm_call_put!$O:$O&amp;jkm_call_put!$F:$F,0),1),"")</f>
        <v>0.46954000000000001</v>
      </c>
      <c r="R19" s="7" cm="1">
        <f t="array" aca="1" ref="R19" ca="1">_xlfn.IFNA(INDEX(jkm_call_put!$M:$M,MATCH($B19&amp;R$2&amp;$A$1,jkm_call_put!$G:$G&amp;jkm_call_put!$O:$O&amp;jkm_call_put!$F:$F,0),1),"")</f>
        <v>0.48674000000000001</v>
      </c>
      <c r="S19" s="7" cm="1">
        <f t="array" aca="1" ref="S19" ca="1">_xlfn.IFNA(INDEX(jkm_call_put!$M:$M,MATCH($B19&amp;S$2&amp;$A$1,jkm_call_put!$G:$G&amp;jkm_call_put!$O:$O&amp;jkm_call_put!$F:$F,0),1),"")</f>
        <v>0.48044999999999999</v>
      </c>
      <c r="T19" s="7" cm="1">
        <f t="array" aca="1" ref="T19" ca="1">_xlfn.IFNA(INDEX(jkm_call_put!$M:$M,MATCH($B19&amp;T$2&amp;$A$1,jkm_call_put!$G:$G&amp;jkm_call_put!$O:$O&amp;jkm_call_put!$F:$F,0),1),"")</f>
        <v>0.40236</v>
      </c>
      <c r="U19" s="7" cm="1">
        <f t="array" aca="1" ref="U19" ca="1">_xlfn.IFNA(INDEX(jkm_call_put!$M:$M,MATCH($B19&amp;U$2&amp;$A$1,jkm_call_put!$G:$G&amp;jkm_call_put!$O:$O&amp;jkm_call_put!$F:$F,0),1),"")</f>
        <v>0.41633999999999999</v>
      </c>
      <c r="V19" s="7" cm="1">
        <f t="array" aca="1" ref="V19" ca="1">_xlfn.IFNA(INDEX(jkm_call_put!$M:$M,MATCH($B19&amp;V$2&amp;$A$1,jkm_call_put!$G:$G&amp;jkm_call_put!$O:$O&amp;jkm_call_put!$F:$F,0),1),"")</f>
        <v>0.4456</v>
      </c>
      <c r="W19" s="7" cm="1">
        <f t="array" aca="1" ref="W19" ca="1">_xlfn.IFNA(INDEX(jkm_call_put!$M:$M,MATCH($B19&amp;W$2&amp;$A$1,jkm_call_put!$G:$G&amp;jkm_call_put!$O:$O&amp;jkm_call_put!$F:$F,0),1),"")</f>
        <v>0.42918000000000001</v>
      </c>
      <c r="X19" s="7" cm="1">
        <f t="array" aca="1" ref="X19" ca="1">_xlfn.IFNA(INDEX(jkm_call_put!$M:$M,MATCH($B19&amp;X$2&amp;$A$1,jkm_call_put!$G:$G&amp;jkm_call_put!$O:$O&amp;jkm_call_put!$F:$F,0),1),"")</f>
        <v>0.43595</v>
      </c>
      <c r="Y19" s="7" cm="1">
        <f t="array" aca="1" ref="Y19" ca="1">_xlfn.IFNA(INDEX(jkm_call_put!$M:$M,MATCH($B19&amp;Y$2&amp;$A$1,jkm_call_put!$G:$G&amp;jkm_call_put!$O:$O&amp;jkm_call_put!$F:$F,0),1),"")</f>
        <v>0.40786</v>
      </c>
      <c r="Z19" s="7" cm="1">
        <f t="array" aca="1" ref="Z19" ca="1">_xlfn.IFNA(INDEX(jkm_call_put!$M:$M,MATCH($B19&amp;Z$2&amp;$A$1,jkm_call_put!$G:$G&amp;jkm_call_put!$O:$O&amp;jkm_call_put!$F:$F,0),1),"")</f>
        <v>0.18121000000000001</v>
      </c>
      <c r="AA19" s="7" cm="1">
        <f t="array" aca="1" ref="AA19" ca="1">_xlfn.IFNA(INDEX(jkm_call_put!$M:$M,MATCH($B19&amp;AA$2&amp;$A$1,jkm_call_put!$G:$G&amp;jkm_call_put!$O:$O&amp;jkm_call_put!$F:$F,0),1),"")</f>
        <v>0.17021</v>
      </c>
      <c r="AB19" s="7" cm="1">
        <f t="array" aca="1" ref="AB19" ca="1">_xlfn.IFNA(INDEX(jkm_call_put!$M:$M,MATCH($B19&amp;AB$2&amp;$A$1,jkm_call_put!$G:$G&amp;jkm_call_put!$O:$O&amp;jkm_call_put!$F:$F,0),1),"")</f>
        <v>0.17113</v>
      </c>
      <c r="AC19" s="7" cm="1">
        <f t="array" aca="1" ref="AC19" ca="1">_xlfn.IFNA(INDEX(jkm_call_put!$M:$M,MATCH($B19&amp;AC$2&amp;$A$1,jkm_call_put!$G:$G&amp;jkm_call_put!$O:$O&amp;jkm_call_put!$F:$F,0),1),"")</f>
        <v>0.18040999999999999</v>
      </c>
      <c r="AD19" s="7" cm="1">
        <f t="array" aca="1" ref="AD19" ca="1">_xlfn.IFNA(INDEX(jkm_call_put!$M:$M,MATCH($B19&amp;AD$2&amp;$A$1,jkm_call_put!$G:$G&amp;jkm_call_put!$O:$O&amp;jkm_call_put!$F:$F,0),1),"")</f>
        <v>0.18770999999999999</v>
      </c>
      <c r="AE19" s="7" cm="1">
        <f t="array" aca="1" ref="AE19" ca="1">_xlfn.IFNA(INDEX(jkm_call_put!$M:$M,MATCH($B19&amp;AE$2&amp;$A$1,jkm_call_put!$G:$G&amp;jkm_call_put!$O:$O&amp;jkm_call_put!$F:$F,0),1),"")</f>
        <v>0.19767000000000001</v>
      </c>
      <c r="AF19" s="7" cm="1">
        <f t="array" aca="1" ref="AF19" ca="1">_xlfn.IFNA(INDEX(jkm_call_put!$M:$M,MATCH($B19&amp;AF$2&amp;$A$1,jkm_call_put!$G:$G&amp;jkm_call_put!$O:$O&amp;jkm_call_put!$F:$F,0),1),"")</f>
        <v>0.26624999999999999</v>
      </c>
      <c r="AG19" s="7" cm="1">
        <f t="array" aca="1" ref="AG19" ca="1">_xlfn.IFNA(INDEX(jkm_call_put!$M:$M,MATCH($B19&amp;AG$2&amp;$A$1,jkm_call_put!$G:$G&amp;jkm_call_put!$O:$O&amp;jkm_call_put!$F:$F,0),1),"")</f>
        <v>0.28321000000000002</v>
      </c>
      <c r="AH19" s="7" cm="1">
        <f t="array" aca="1" ref="AH19" ca="1">_xlfn.IFNA(INDEX(jkm_call_put!$M:$M,MATCH($B19&amp;AH$2&amp;$A$1,jkm_call_put!$G:$G&amp;jkm_call_put!$O:$O&amp;jkm_call_put!$F:$F,0),1),"")</f>
        <v>0.29701</v>
      </c>
      <c r="AI19" s="7" cm="1">
        <f t="array" aca="1" ref="AI19" ca="1">_xlfn.IFNA(INDEX(jkm_call_put!$M:$M,MATCH($B19&amp;AI$2&amp;$A$1,jkm_call_put!$G:$G&amp;jkm_call_put!$O:$O&amp;jkm_call_put!$F:$F,0),1),"")</f>
        <v>0.31019999999999998</v>
      </c>
      <c r="AJ19" s="7" cm="1">
        <f t="array" aca="1" ref="AJ19" ca="1">_xlfn.IFNA(INDEX(jkm_call_put!$M:$M,MATCH($B19&amp;AJ$2&amp;$A$1,jkm_call_put!$G:$G&amp;jkm_call_put!$O:$O&amp;jkm_call_put!$F:$F,0),1),"")</f>
        <v>0.31817000000000001</v>
      </c>
      <c r="AK19" s="7" cm="1">
        <f t="array" aca="1" ref="AK19" ca="1">_xlfn.IFNA(INDEX(jkm_call_put!$M:$M,MATCH($B19&amp;AK$2&amp;$A$1,jkm_call_put!$G:$G&amp;jkm_call_put!$O:$O&amp;jkm_call_put!$F:$F,0),1),"")</f>
        <v>0.31899</v>
      </c>
      <c r="AL19" s="7" cm="1">
        <f t="array" aca="1" ref="AL19" ca="1">_xlfn.IFNA(INDEX(jkm_call_put!$M:$M,MATCH($B19&amp;AL$2&amp;$A$1,jkm_call_put!$G:$G&amp;jkm_call_put!$O:$O&amp;jkm_call_put!$F:$F,0),1),"")</f>
        <v>0.2631</v>
      </c>
    </row>
    <row r="20" spans="2:38" x14ac:dyDescent="0.25">
      <c r="B20">
        <v>15.5</v>
      </c>
      <c r="C20" s="7" t="str" cm="1">
        <f t="array" aca="1" ref="C20" ca="1">_xlfn.IFNA(INDEX(jkm_call_put!$M:$M,MATCH($B20&amp;C$2&amp;$A$1,jkm_call_put!$G:$G&amp;jkm_call_put!$O:$O&amp;jkm_call_put!$F:$F,0),1),"")</f>
        <v/>
      </c>
      <c r="D20" s="7" t="str" cm="1">
        <f t="array" aca="1" ref="D20" ca="1">_xlfn.IFNA(INDEX(jkm_call_put!$M:$M,MATCH($B20&amp;D$2&amp;$A$1,jkm_call_put!$G:$G&amp;jkm_call_put!$O:$O&amp;jkm_call_put!$F:$F,0),1),"")</f>
        <v/>
      </c>
      <c r="E20" s="7" t="str" cm="1">
        <f t="array" aca="1" ref="E20" ca="1">_xlfn.IFNA(INDEX(jkm_call_put!$M:$M,MATCH($B20&amp;E$2&amp;$A$1,jkm_call_put!$G:$G&amp;jkm_call_put!$O:$O&amp;jkm_call_put!$F:$F,0),1),"")</f>
        <v/>
      </c>
      <c r="F20" s="7" t="str" cm="1">
        <f t="array" aca="1" ref="F20" ca="1">_xlfn.IFNA(INDEX(jkm_call_put!$M:$M,MATCH($B20&amp;F$2&amp;$A$1,jkm_call_put!$G:$G&amp;jkm_call_put!$O:$O&amp;jkm_call_put!$F:$F,0),1),"")</f>
        <v/>
      </c>
      <c r="G20" s="7" t="str" cm="1">
        <f t="array" aca="1" ref="G20" ca="1">_xlfn.IFNA(INDEX(jkm_call_put!$M:$M,MATCH($B20&amp;G$2&amp;$A$1,jkm_call_put!$G:$G&amp;jkm_call_put!$O:$O&amp;jkm_call_put!$F:$F,0),1),"")</f>
        <v/>
      </c>
      <c r="H20" s="7" t="str" cm="1">
        <f t="array" aca="1" ref="H20" ca="1">_xlfn.IFNA(INDEX(jkm_call_put!$M:$M,MATCH($B20&amp;H$2&amp;$A$1,jkm_call_put!$G:$G&amp;jkm_call_put!$O:$O&amp;jkm_call_put!$F:$F,0),1),"")</f>
        <v/>
      </c>
      <c r="I20" s="7" t="str" cm="1">
        <f t="array" aca="1" ref="I20" ca="1">_xlfn.IFNA(INDEX(jkm_call_put!$M:$M,MATCH($B20&amp;I$2&amp;$A$1,jkm_call_put!$G:$G&amp;jkm_call_put!$O:$O&amp;jkm_call_put!$F:$F,0),1),"")</f>
        <v/>
      </c>
      <c r="J20" s="7" t="str" cm="1">
        <f t="array" aca="1" ref="J20" ca="1">_xlfn.IFNA(INDEX(jkm_call_put!$M:$M,MATCH($B20&amp;J$2&amp;$A$1,jkm_call_put!$G:$G&amp;jkm_call_put!$O:$O&amp;jkm_call_put!$F:$F,0),1),"")</f>
        <v/>
      </c>
      <c r="K20" s="7" cm="1">
        <f t="array" aca="1" ref="K20" ca="1">_xlfn.IFNA(INDEX(jkm_call_put!$M:$M,MATCH($B20&amp;K$2&amp;$A$1,jkm_call_put!$G:$G&amp;jkm_call_put!$O:$O&amp;jkm_call_put!$F:$F,0),1),"")</f>
        <v>0.68213999999999997</v>
      </c>
      <c r="L20" s="7" cm="1">
        <f t="array" aca="1" ref="L20" ca="1">_xlfn.IFNA(INDEX(jkm_call_put!$M:$M,MATCH($B20&amp;L$2&amp;$A$1,jkm_call_put!$G:$G&amp;jkm_call_put!$O:$O&amp;jkm_call_put!$F:$F,0),1),"")</f>
        <v>0.67271999999999998</v>
      </c>
      <c r="M20" s="7" cm="1">
        <f t="array" aca="1" ref="M20" ca="1">_xlfn.IFNA(INDEX(jkm_call_put!$M:$M,MATCH($B20&amp;M$2&amp;$A$1,jkm_call_put!$G:$G&amp;jkm_call_put!$O:$O&amp;jkm_call_put!$F:$F,0),1),"")</f>
        <v>0.62653999999999999</v>
      </c>
      <c r="N20" s="7" t="str" cm="1">
        <f t="array" aca="1" ref="N20" ca="1">_xlfn.IFNA(INDEX(jkm_call_put!$M:$M,MATCH($B20&amp;N$2&amp;$A$1,jkm_call_put!$G:$G&amp;jkm_call_put!$O:$O&amp;jkm_call_put!$F:$F,0),1),"")</f>
        <v/>
      </c>
      <c r="O20" s="7" t="str" cm="1">
        <f t="array" aca="1" ref="O20" ca="1">_xlfn.IFNA(INDEX(jkm_call_put!$M:$M,MATCH($B20&amp;O$2&amp;$A$1,jkm_call_put!$G:$G&amp;jkm_call_put!$O:$O&amp;jkm_call_put!$F:$F,0),1),"")</f>
        <v/>
      </c>
      <c r="P20" s="7" t="str" cm="1">
        <f t="array" aca="1" ref="P20" ca="1">_xlfn.IFNA(INDEX(jkm_call_put!$M:$M,MATCH($B20&amp;P$2&amp;$A$1,jkm_call_put!$G:$G&amp;jkm_call_put!$O:$O&amp;jkm_call_put!$F:$F,0),1),"")</f>
        <v/>
      </c>
      <c r="Q20" s="7" t="str" cm="1">
        <f t="array" aca="1" ref="Q20" ca="1">_xlfn.IFNA(INDEX(jkm_call_put!$M:$M,MATCH($B20&amp;Q$2&amp;$A$1,jkm_call_put!$G:$G&amp;jkm_call_put!$O:$O&amp;jkm_call_put!$F:$F,0),1),"")</f>
        <v/>
      </c>
      <c r="R20" s="7" t="str" cm="1">
        <f t="array" aca="1" ref="R20" ca="1">_xlfn.IFNA(INDEX(jkm_call_put!$M:$M,MATCH($B20&amp;R$2&amp;$A$1,jkm_call_put!$G:$G&amp;jkm_call_put!$O:$O&amp;jkm_call_put!$F:$F,0),1),"")</f>
        <v/>
      </c>
      <c r="S20" s="7" t="str" cm="1">
        <f t="array" aca="1" ref="S20" ca="1">_xlfn.IFNA(INDEX(jkm_call_put!$M:$M,MATCH($B20&amp;S$2&amp;$A$1,jkm_call_put!$G:$G&amp;jkm_call_put!$O:$O&amp;jkm_call_put!$F:$F,0),1),"")</f>
        <v/>
      </c>
      <c r="T20" s="7" t="str" cm="1">
        <f t="array" aca="1" ref="T20" ca="1">_xlfn.IFNA(INDEX(jkm_call_put!$M:$M,MATCH($B20&amp;T$2&amp;$A$1,jkm_call_put!$G:$G&amp;jkm_call_put!$O:$O&amp;jkm_call_put!$F:$F,0),1),"")</f>
        <v/>
      </c>
      <c r="U20" s="7" t="str" cm="1">
        <f t="array" aca="1" ref="U20" ca="1">_xlfn.IFNA(INDEX(jkm_call_put!$M:$M,MATCH($B20&amp;U$2&amp;$A$1,jkm_call_put!$G:$G&amp;jkm_call_put!$O:$O&amp;jkm_call_put!$F:$F,0),1),"")</f>
        <v/>
      </c>
      <c r="V20" s="7" t="str" cm="1">
        <f t="array" aca="1" ref="V20" ca="1">_xlfn.IFNA(INDEX(jkm_call_put!$M:$M,MATCH($B20&amp;V$2&amp;$A$1,jkm_call_put!$G:$G&amp;jkm_call_put!$O:$O&amp;jkm_call_put!$F:$F,0),1),"")</f>
        <v/>
      </c>
      <c r="W20" s="7" t="str" cm="1">
        <f t="array" aca="1" ref="W20" ca="1">_xlfn.IFNA(INDEX(jkm_call_put!$M:$M,MATCH($B20&amp;W$2&amp;$A$1,jkm_call_put!$G:$G&amp;jkm_call_put!$O:$O&amp;jkm_call_put!$F:$F,0),1),"")</f>
        <v/>
      </c>
      <c r="X20" s="7" t="str" cm="1">
        <f t="array" aca="1" ref="X20" ca="1">_xlfn.IFNA(INDEX(jkm_call_put!$M:$M,MATCH($B20&amp;X$2&amp;$A$1,jkm_call_put!$G:$G&amp;jkm_call_put!$O:$O&amp;jkm_call_put!$F:$F,0),1),"")</f>
        <v/>
      </c>
      <c r="Y20" s="7" t="str" cm="1">
        <f t="array" aca="1" ref="Y20" ca="1">_xlfn.IFNA(INDEX(jkm_call_put!$M:$M,MATCH($B20&amp;Y$2&amp;$A$1,jkm_call_put!$G:$G&amp;jkm_call_put!$O:$O&amp;jkm_call_put!$F:$F,0),1),"")</f>
        <v/>
      </c>
      <c r="Z20" s="7" t="str" cm="1">
        <f t="array" aca="1" ref="Z20" ca="1">_xlfn.IFNA(INDEX(jkm_call_put!$M:$M,MATCH($B20&amp;Z$2&amp;$A$1,jkm_call_put!$G:$G&amp;jkm_call_put!$O:$O&amp;jkm_call_put!$F:$F,0),1),"")</f>
        <v/>
      </c>
      <c r="AA20" s="7" t="str" cm="1">
        <f t="array" aca="1" ref="AA20" ca="1">_xlfn.IFNA(INDEX(jkm_call_put!$M:$M,MATCH($B20&amp;AA$2&amp;$A$1,jkm_call_put!$G:$G&amp;jkm_call_put!$O:$O&amp;jkm_call_put!$F:$F,0),1),"")</f>
        <v/>
      </c>
      <c r="AB20" s="7" t="str" cm="1">
        <f t="array" aca="1" ref="AB20" ca="1">_xlfn.IFNA(INDEX(jkm_call_put!$M:$M,MATCH($B20&amp;AB$2&amp;$A$1,jkm_call_put!$G:$G&amp;jkm_call_put!$O:$O&amp;jkm_call_put!$F:$F,0),1),"")</f>
        <v/>
      </c>
      <c r="AC20" s="7" t="str" cm="1">
        <f t="array" aca="1" ref="AC20" ca="1">_xlfn.IFNA(INDEX(jkm_call_put!$M:$M,MATCH($B20&amp;AC$2&amp;$A$1,jkm_call_put!$G:$G&amp;jkm_call_put!$O:$O&amp;jkm_call_put!$F:$F,0),1),"")</f>
        <v/>
      </c>
      <c r="AD20" s="7" t="str" cm="1">
        <f t="array" aca="1" ref="AD20" ca="1">_xlfn.IFNA(INDEX(jkm_call_put!$M:$M,MATCH($B20&amp;AD$2&amp;$A$1,jkm_call_put!$G:$G&amp;jkm_call_put!$O:$O&amp;jkm_call_put!$F:$F,0),1),"")</f>
        <v/>
      </c>
      <c r="AE20" s="7" t="str" cm="1">
        <f t="array" aca="1" ref="AE20" ca="1">_xlfn.IFNA(INDEX(jkm_call_put!$M:$M,MATCH($B20&amp;AE$2&amp;$A$1,jkm_call_put!$G:$G&amp;jkm_call_put!$O:$O&amp;jkm_call_put!$F:$F,0),1),"")</f>
        <v/>
      </c>
      <c r="AF20" s="7" t="str" cm="1">
        <f t="array" aca="1" ref="AF20" ca="1">_xlfn.IFNA(INDEX(jkm_call_put!$M:$M,MATCH($B20&amp;AF$2&amp;$A$1,jkm_call_put!$G:$G&amp;jkm_call_put!$O:$O&amp;jkm_call_put!$F:$F,0),1),"")</f>
        <v/>
      </c>
      <c r="AG20" s="7" t="str" cm="1">
        <f t="array" aca="1" ref="AG20" ca="1">_xlfn.IFNA(INDEX(jkm_call_put!$M:$M,MATCH($B20&amp;AG$2&amp;$A$1,jkm_call_put!$G:$G&amp;jkm_call_put!$O:$O&amp;jkm_call_put!$F:$F,0),1),"")</f>
        <v/>
      </c>
      <c r="AH20" s="7" t="str" cm="1">
        <f t="array" aca="1" ref="AH20" ca="1">_xlfn.IFNA(INDEX(jkm_call_put!$M:$M,MATCH($B20&amp;AH$2&amp;$A$1,jkm_call_put!$G:$G&amp;jkm_call_put!$O:$O&amp;jkm_call_put!$F:$F,0),1),"")</f>
        <v/>
      </c>
      <c r="AI20" s="7" t="str" cm="1">
        <f t="array" aca="1" ref="AI20" ca="1">_xlfn.IFNA(INDEX(jkm_call_put!$M:$M,MATCH($B20&amp;AI$2&amp;$A$1,jkm_call_put!$G:$G&amp;jkm_call_put!$O:$O&amp;jkm_call_put!$F:$F,0),1),"")</f>
        <v/>
      </c>
      <c r="AJ20" s="7" t="str" cm="1">
        <f t="array" aca="1" ref="AJ20" ca="1">_xlfn.IFNA(INDEX(jkm_call_put!$M:$M,MATCH($B20&amp;AJ$2&amp;$A$1,jkm_call_put!$G:$G&amp;jkm_call_put!$O:$O&amp;jkm_call_put!$F:$F,0),1),"")</f>
        <v/>
      </c>
      <c r="AK20" s="7" t="str" cm="1">
        <f t="array" aca="1" ref="AK20" ca="1">_xlfn.IFNA(INDEX(jkm_call_put!$M:$M,MATCH($B20&amp;AK$2&amp;$A$1,jkm_call_put!$G:$G&amp;jkm_call_put!$O:$O&amp;jkm_call_put!$F:$F,0),1),"")</f>
        <v/>
      </c>
      <c r="AL20" s="7" t="str" cm="1">
        <f t="array" aca="1" ref="AL20" ca="1">_xlfn.IFNA(INDEX(jkm_call_put!$M:$M,MATCH($B20&amp;AL$2&amp;$A$1,jkm_call_put!$G:$G&amp;jkm_call_put!$O:$O&amp;jkm_call_put!$F:$F,0),1),"")</f>
        <v/>
      </c>
    </row>
    <row r="21" spans="2:38" x14ac:dyDescent="0.25">
      <c r="B21">
        <v>16.5</v>
      </c>
      <c r="C21" s="7" t="str" cm="1">
        <f t="array" aca="1" ref="C21" ca="1">_xlfn.IFNA(INDEX(jkm_call_put!$M:$M,MATCH($B21&amp;C$2&amp;$A$1,jkm_call_put!$G:$G&amp;jkm_call_put!$O:$O&amp;jkm_call_put!$F:$F,0),1),"")</f>
        <v/>
      </c>
      <c r="D21" s="7" t="str" cm="1">
        <f t="array" aca="1" ref="D21" ca="1">_xlfn.IFNA(INDEX(jkm_call_put!$M:$M,MATCH($B21&amp;D$2&amp;$A$1,jkm_call_put!$G:$G&amp;jkm_call_put!$O:$O&amp;jkm_call_put!$F:$F,0),1),"")</f>
        <v/>
      </c>
      <c r="E21" s="7" t="str" cm="1">
        <f t="array" aca="1" ref="E21" ca="1">_xlfn.IFNA(INDEX(jkm_call_put!$M:$M,MATCH($B21&amp;E$2&amp;$A$1,jkm_call_put!$G:$G&amp;jkm_call_put!$O:$O&amp;jkm_call_put!$F:$F,0),1),"")</f>
        <v/>
      </c>
      <c r="F21" s="7" t="str" cm="1">
        <f t="array" aca="1" ref="F21" ca="1">_xlfn.IFNA(INDEX(jkm_call_put!$M:$M,MATCH($B21&amp;F$2&amp;$A$1,jkm_call_put!$G:$G&amp;jkm_call_put!$O:$O&amp;jkm_call_put!$F:$F,0),1),"")</f>
        <v/>
      </c>
      <c r="G21" s="7" t="str" cm="1">
        <f t="array" aca="1" ref="G21" ca="1">_xlfn.IFNA(INDEX(jkm_call_put!$M:$M,MATCH($B21&amp;G$2&amp;$A$1,jkm_call_put!$G:$G&amp;jkm_call_put!$O:$O&amp;jkm_call_put!$F:$F,0),1),"")</f>
        <v/>
      </c>
      <c r="H21" s="7" cm="1">
        <f t="array" aca="1" ref="H21" ca="1">_xlfn.IFNA(INDEX(jkm_call_put!$M:$M,MATCH($B21&amp;H$2&amp;$A$1,jkm_call_put!$G:$G&amp;jkm_call_put!$O:$O&amp;jkm_call_put!$F:$F,0),1),"")</f>
        <v>0.62795999999999996</v>
      </c>
      <c r="I21" s="7" cm="1">
        <f t="array" aca="1" ref="I21" ca="1">_xlfn.IFNA(INDEX(jkm_call_put!$M:$M,MATCH($B21&amp;I$2&amp;$A$1,jkm_call_put!$G:$G&amp;jkm_call_put!$O:$O&amp;jkm_call_put!$F:$F,0),1),"")</f>
        <v>0.62977000000000005</v>
      </c>
      <c r="J21" s="7" cm="1">
        <f t="array" aca="1" ref="J21" ca="1">_xlfn.IFNA(INDEX(jkm_call_put!$M:$M,MATCH($B21&amp;J$2&amp;$A$1,jkm_call_put!$G:$G&amp;jkm_call_put!$O:$O&amp;jkm_call_put!$F:$F,0),1),"")</f>
        <v>0.64080999999999999</v>
      </c>
      <c r="K21" s="7" t="str" cm="1">
        <f t="array" aca="1" ref="K21" ca="1">_xlfn.IFNA(INDEX(jkm_call_put!$M:$M,MATCH($B21&amp;K$2&amp;$A$1,jkm_call_put!$G:$G&amp;jkm_call_put!$O:$O&amp;jkm_call_put!$F:$F,0),1),"")</f>
        <v/>
      </c>
      <c r="L21" s="7" t="str" cm="1">
        <f t="array" aca="1" ref="L21" ca="1">_xlfn.IFNA(INDEX(jkm_call_put!$M:$M,MATCH($B21&amp;L$2&amp;$A$1,jkm_call_put!$G:$G&amp;jkm_call_put!$O:$O&amp;jkm_call_put!$F:$F,0),1),"")</f>
        <v/>
      </c>
      <c r="M21" s="7" t="str" cm="1">
        <f t="array" aca="1" ref="M21" ca="1">_xlfn.IFNA(INDEX(jkm_call_put!$M:$M,MATCH($B21&amp;M$2&amp;$A$1,jkm_call_put!$G:$G&amp;jkm_call_put!$O:$O&amp;jkm_call_put!$F:$F,0),1),"")</f>
        <v/>
      </c>
      <c r="N21" s="7" t="str" cm="1">
        <f t="array" aca="1" ref="N21" ca="1">_xlfn.IFNA(INDEX(jkm_call_put!$M:$M,MATCH($B21&amp;N$2&amp;$A$1,jkm_call_put!$G:$G&amp;jkm_call_put!$O:$O&amp;jkm_call_put!$F:$F,0),1),"")</f>
        <v/>
      </c>
      <c r="O21" s="7" t="str" cm="1">
        <f t="array" aca="1" ref="O21" ca="1">_xlfn.IFNA(INDEX(jkm_call_put!$M:$M,MATCH($B21&amp;O$2&amp;$A$1,jkm_call_put!$G:$G&amp;jkm_call_put!$O:$O&amp;jkm_call_put!$F:$F,0),1),"")</f>
        <v/>
      </c>
      <c r="P21" s="7" t="str" cm="1">
        <f t="array" aca="1" ref="P21" ca="1">_xlfn.IFNA(INDEX(jkm_call_put!$M:$M,MATCH($B21&amp;P$2&amp;$A$1,jkm_call_put!$G:$G&amp;jkm_call_put!$O:$O&amp;jkm_call_put!$F:$F,0),1),"")</f>
        <v/>
      </c>
      <c r="Q21" s="7" t="str" cm="1">
        <f t="array" aca="1" ref="Q21" ca="1">_xlfn.IFNA(INDEX(jkm_call_put!$M:$M,MATCH($B21&amp;Q$2&amp;$A$1,jkm_call_put!$G:$G&amp;jkm_call_put!$O:$O&amp;jkm_call_put!$F:$F,0),1),"")</f>
        <v/>
      </c>
      <c r="R21" s="7" t="str" cm="1">
        <f t="array" aca="1" ref="R21" ca="1">_xlfn.IFNA(INDEX(jkm_call_put!$M:$M,MATCH($B21&amp;R$2&amp;$A$1,jkm_call_put!$G:$G&amp;jkm_call_put!$O:$O&amp;jkm_call_put!$F:$F,0),1),"")</f>
        <v/>
      </c>
      <c r="S21" s="7" t="str" cm="1">
        <f t="array" aca="1" ref="S21" ca="1">_xlfn.IFNA(INDEX(jkm_call_put!$M:$M,MATCH($B21&amp;S$2&amp;$A$1,jkm_call_put!$G:$G&amp;jkm_call_put!$O:$O&amp;jkm_call_put!$F:$F,0),1),"")</f>
        <v/>
      </c>
      <c r="T21" s="7" t="str" cm="1">
        <f t="array" aca="1" ref="T21" ca="1">_xlfn.IFNA(INDEX(jkm_call_put!$M:$M,MATCH($B21&amp;T$2&amp;$A$1,jkm_call_put!$G:$G&amp;jkm_call_put!$O:$O&amp;jkm_call_put!$F:$F,0),1),"")</f>
        <v/>
      </c>
      <c r="U21" s="7" t="str" cm="1">
        <f t="array" aca="1" ref="U21" ca="1">_xlfn.IFNA(INDEX(jkm_call_put!$M:$M,MATCH($B21&amp;U$2&amp;$A$1,jkm_call_put!$G:$G&amp;jkm_call_put!$O:$O&amp;jkm_call_put!$F:$F,0),1),"")</f>
        <v/>
      </c>
      <c r="V21" s="7" t="str" cm="1">
        <f t="array" aca="1" ref="V21" ca="1">_xlfn.IFNA(INDEX(jkm_call_put!$M:$M,MATCH($B21&amp;V$2&amp;$A$1,jkm_call_put!$G:$G&amp;jkm_call_put!$O:$O&amp;jkm_call_put!$F:$F,0),1),"")</f>
        <v/>
      </c>
      <c r="W21" s="7" t="str" cm="1">
        <f t="array" aca="1" ref="W21" ca="1">_xlfn.IFNA(INDEX(jkm_call_put!$M:$M,MATCH($B21&amp;W$2&amp;$A$1,jkm_call_put!$G:$G&amp;jkm_call_put!$O:$O&amp;jkm_call_put!$F:$F,0),1),"")</f>
        <v/>
      </c>
      <c r="X21" s="7" t="str" cm="1">
        <f t="array" aca="1" ref="X21" ca="1">_xlfn.IFNA(INDEX(jkm_call_put!$M:$M,MATCH($B21&amp;X$2&amp;$A$1,jkm_call_put!$G:$G&amp;jkm_call_put!$O:$O&amp;jkm_call_put!$F:$F,0),1),"")</f>
        <v/>
      </c>
      <c r="Y21" s="7" t="str" cm="1">
        <f t="array" aca="1" ref="Y21" ca="1">_xlfn.IFNA(INDEX(jkm_call_put!$M:$M,MATCH($B21&amp;Y$2&amp;$A$1,jkm_call_put!$G:$G&amp;jkm_call_put!$O:$O&amp;jkm_call_put!$F:$F,0),1),"")</f>
        <v/>
      </c>
      <c r="Z21" s="7" t="str" cm="1">
        <f t="array" aca="1" ref="Z21" ca="1">_xlfn.IFNA(INDEX(jkm_call_put!$M:$M,MATCH($B21&amp;Z$2&amp;$A$1,jkm_call_put!$G:$G&amp;jkm_call_put!$O:$O&amp;jkm_call_put!$F:$F,0),1),"")</f>
        <v/>
      </c>
      <c r="AA21" s="7" t="str" cm="1">
        <f t="array" aca="1" ref="AA21" ca="1">_xlfn.IFNA(INDEX(jkm_call_put!$M:$M,MATCH($B21&amp;AA$2&amp;$A$1,jkm_call_put!$G:$G&amp;jkm_call_put!$O:$O&amp;jkm_call_put!$F:$F,0),1),"")</f>
        <v/>
      </c>
      <c r="AB21" s="7" t="str" cm="1">
        <f t="array" aca="1" ref="AB21" ca="1">_xlfn.IFNA(INDEX(jkm_call_put!$M:$M,MATCH($B21&amp;AB$2&amp;$A$1,jkm_call_put!$G:$G&amp;jkm_call_put!$O:$O&amp;jkm_call_put!$F:$F,0),1),"")</f>
        <v/>
      </c>
      <c r="AC21" s="7" t="str" cm="1">
        <f t="array" aca="1" ref="AC21" ca="1">_xlfn.IFNA(INDEX(jkm_call_put!$M:$M,MATCH($B21&amp;AC$2&amp;$A$1,jkm_call_put!$G:$G&amp;jkm_call_put!$O:$O&amp;jkm_call_put!$F:$F,0),1),"")</f>
        <v/>
      </c>
      <c r="AD21" s="7" t="str" cm="1">
        <f t="array" aca="1" ref="AD21" ca="1">_xlfn.IFNA(INDEX(jkm_call_put!$M:$M,MATCH($B21&amp;AD$2&amp;$A$1,jkm_call_put!$G:$G&amp;jkm_call_put!$O:$O&amp;jkm_call_put!$F:$F,0),1),"")</f>
        <v/>
      </c>
      <c r="AE21" s="7" t="str" cm="1">
        <f t="array" aca="1" ref="AE21" ca="1">_xlfn.IFNA(INDEX(jkm_call_put!$M:$M,MATCH($B21&amp;AE$2&amp;$A$1,jkm_call_put!$G:$G&amp;jkm_call_put!$O:$O&amp;jkm_call_put!$F:$F,0),1),"")</f>
        <v/>
      </c>
      <c r="AF21" s="7" t="str" cm="1">
        <f t="array" aca="1" ref="AF21" ca="1">_xlfn.IFNA(INDEX(jkm_call_put!$M:$M,MATCH($B21&amp;AF$2&amp;$A$1,jkm_call_put!$G:$G&amp;jkm_call_put!$O:$O&amp;jkm_call_put!$F:$F,0),1),"")</f>
        <v/>
      </c>
      <c r="AG21" s="7" t="str" cm="1">
        <f t="array" aca="1" ref="AG21" ca="1">_xlfn.IFNA(INDEX(jkm_call_put!$M:$M,MATCH($B21&amp;AG$2&amp;$A$1,jkm_call_put!$G:$G&amp;jkm_call_put!$O:$O&amp;jkm_call_put!$F:$F,0),1),"")</f>
        <v/>
      </c>
      <c r="AH21" s="7" t="str" cm="1">
        <f t="array" aca="1" ref="AH21" ca="1">_xlfn.IFNA(INDEX(jkm_call_put!$M:$M,MATCH($B21&amp;AH$2&amp;$A$1,jkm_call_put!$G:$G&amp;jkm_call_put!$O:$O&amp;jkm_call_put!$F:$F,0),1),"")</f>
        <v/>
      </c>
      <c r="AI21" s="7" t="str" cm="1">
        <f t="array" aca="1" ref="AI21" ca="1">_xlfn.IFNA(INDEX(jkm_call_put!$M:$M,MATCH($B21&amp;AI$2&amp;$A$1,jkm_call_put!$G:$G&amp;jkm_call_put!$O:$O&amp;jkm_call_put!$F:$F,0),1),"")</f>
        <v/>
      </c>
      <c r="AJ21" s="7" t="str" cm="1">
        <f t="array" aca="1" ref="AJ21" ca="1">_xlfn.IFNA(INDEX(jkm_call_put!$M:$M,MATCH($B21&amp;AJ$2&amp;$A$1,jkm_call_put!$G:$G&amp;jkm_call_put!$O:$O&amp;jkm_call_put!$F:$F,0),1),"")</f>
        <v/>
      </c>
      <c r="AK21" s="7" t="str" cm="1">
        <f t="array" aca="1" ref="AK21" ca="1">_xlfn.IFNA(INDEX(jkm_call_put!$M:$M,MATCH($B21&amp;AK$2&amp;$A$1,jkm_call_put!$G:$G&amp;jkm_call_put!$O:$O&amp;jkm_call_put!$F:$F,0),1),"")</f>
        <v/>
      </c>
      <c r="AL21" s="7" t="str" cm="1">
        <f t="array" aca="1" ref="AL21" ca="1">_xlfn.IFNA(INDEX(jkm_call_put!$M:$M,MATCH($B21&amp;AL$2&amp;$A$1,jkm_call_put!$G:$G&amp;jkm_call_put!$O:$O&amp;jkm_call_put!$F:$F,0),1),"")</f>
        <v/>
      </c>
    </row>
    <row r="22" spans="2:38" x14ac:dyDescent="0.25">
      <c r="B22">
        <v>17</v>
      </c>
      <c r="C22" s="7" t="str" cm="1">
        <f t="array" aca="1" ref="C22" ca="1">_xlfn.IFNA(INDEX(jkm_call_put!$M:$M,MATCH($B22&amp;C$2&amp;$A$1,jkm_call_put!$G:$G&amp;jkm_call_put!$O:$O&amp;jkm_call_put!$F:$F,0),1),"")</f>
        <v/>
      </c>
      <c r="D22" s="7" t="str" cm="1">
        <f t="array" aca="1" ref="D22" ca="1">_xlfn.IFNA(INDEX(jkm_call_put!$M:$M,MATCH($B22&amp;D$2&amp;$A$1,jkm_call_put!$G:$G&amp;jkm_call_put!$O:$O&amp;jkm_call_put!$F:$F,0),1),"")</f>
        <v/>
      </c>
      <c r="E22" s="7" cm="1">
        <f t="array" aca="1" ref="E22" ca="1">_xlfn.IFNA(INDEX(jkm_call_put!$M:$M,MATCH($B22&amp;E$2&amp;$A$1,jkm_call_put!$G:$G&amp;jkm_call_put!$O:$O&amp;jkm_call_put!$F:$F,0),1),"")</f>
        <v>0.66071999999999997</v>
      </c>
      <c r="F22" s="7" cm="1">
        <f t="array" aca="1" ref="F22" ca="1">_xlfn.IFNA(INDEX(jkm_call_put!$M:$M,MATCH($B22&amp;F$2&amp;$A$1,jkm_call_put!$G:$G&amp;jkm_call_put!$O:$O&amp;jkm_call_put!$F:$F,0),1),"")</f>
        <v>0.64149</v>
      </c>
      <c r="G22" s="7" cm="1">
        <f t="array" aca="1" ref="G22" ca="1">_xlfn.IFNA(INDEX(jkm_call_put!$M:$M,MATCH($B22&amp;G$2&amp;$A$1,jkm_call_put!$G:$G&amp;jkm_call_put!$O:$O&amp;jkm_call_put!$F:$F,0),1),"")</f>
        <v>0.63487000000000005</v>
      </c>
      <c r="H22" s="7" t="str" cm="1">
        <f t="array" aca="1" ref="H22" ca="1">_xlfn.IFNA(INDEX(jkm_call_put!$M:$M,MATCH($B22&amp;H$2&amp;$A$1,jkm_call_put!$G:$G&amp;jkm_call_put!$O:$O&amp;jkm_call_put!$F:$F,0),1),"")</f>
        <v/>
      </c>
      <c r="I22" s="7" t="str" cm="1">
        <f t="array" aca="1" ref="I22" ca="1">_xlfn.IFNA(INDEX(jkm_call_put!$M:$M,MATCH($B22&amp;I$2&amp;$A$1,jkm_call_put!$G:$G&amp;jkm_call_put!$O:$O&amp;jkm_call_put!$F:$F,0),1),"")</f>
        <v/>
      </c>
      <c r="J22" s="7" t="str" cm="1">
        <f t="array" aca="1" ref="J22" ca="1">_xlfn.IFNA(INDEX(jkm_call_put!$M:$M,MATCH($B22&amp;J$2&amp;$A$1,jkm_call_put!$G:$G&amp;jkm_call_put!$O:$O&amp;jkm_call_put!$F:$F,0),1),"")</f>
        <v/>
      </c>
      <c r="K22" s="7" t="str" cm="1">
        <f t="array" aca="1" ref="K22" ca="1">_xlfn.IFNA(INDEX(jkm_call_put!$M:$M,MATCH($B22&amp;K$2&amp;$A$1,jkm_call_put!$G:$G&amp;jkm_call_put!$O:$O&amp;jkm_call_put!$F:$F,0),1),"")</f>
        <v/>
      </c>
      <c r="L22" s="7" t="str" cm="1">
        <f t="array" aca="1" ref="L22" ca="1">_xlfn.IFNA(INDEX(jkm_call_put!$M:$M,MATCH($B22&amp;L$2&amp;$A$1,jkm_call_put!$G:$G&amp;jkm_call_put!$O:$O&amp;jkm_call_put!$F:$F,0),1),"")</f>
        <v/>
      </c>
      <c r="M22" s="7" t="str" cm="1">
        <f t="array" aca="1" ref="M22" ca="1">_xlfn.IFNA(INDEX(jkm_call_put!$M:$M,MATCH($B22&amp;M$2&amp;$A$1,jkm_call_put!$G:$G&amp;jkm_call_put!$O:$O&amp;jkm_call_put!$F:$F,0),1),"")</f>
        <v/>
      </c>
      <c r="N22" s="7" t="str" cm="1">
        <f t="array" aca="1" ref="N22" ca="1">_xlfn.IFNA(INDEX(jkm_call_put!$M:$M,MATCH($B22&amp;N$2&amp;$A$1,jkm_call_put!$G:$G&amp;jkm_call_put!$O:$O&amp;jkm_call_put!$F:$F,0),1),"")</f>
        <v/>
      </c>
      <c r="O22" s="7" t="str" cm="1">
        <f t="array" aca="1" ref="O22" ca="1">_xlfn.IFNA(INDEX(jkm_call_put!$M:$M,MATCH($B22&amp;O$2&amp;$A$1,jkm_call_put!$G:$G&amp;jkm_call_put!$O:$O&amp;jkm_call_put!$F:$F,0),1),"")</f>
        <v/>
      </c>
      <c r="P22" s="7" t="str" cm="1">
        <f t="array" aca="1" ref="P22" ca="1">_xlfn.IFNA(INDEX(jkm_call_put!$M:$M,MATCH($B22&amp;P$2&amp;$A$1,jkm_call_put!$G:$G&amp;jkm_call_put!$O:$O&amp;jkm_call_put!$F:$F,0),1),"")</f>
        <v/>
      </c>
      <c r="Q22" s="7" t="str" cm="1">
        <f t="array" aca="1" ref="Q22" ca="1">_xlfn.IFNA(INDEX(jkm_call_put!$M:$M,MATCH($B22&amp;Q$2&amp;$A$1,jkm_call_put!$G:$G&amp;jkm_call_put!$O:$O&amp;jkm_call_put!$F:$F,0),1),"")</f>
        <v/>
      </c>
      <c r="R22" s="7" t="str" cm="1">
        <f t="array" aca="1" ref="R22" ca="1">_xlfn.IFNA(INDEX(jkm_call_put!$M:$M,MATCH($B22&amp;R$2&amp;$A$1,jkm_call_put!$G:$G&amp;jkm_call_put!$O:$O&amp;jkm_call_put!$F:$F,0),1),"")</f>
        <v/>
      </c>
      <c r="S22" s="7" t="str" cm="1">
        <f t="array" aca="1" ref="S22" ca="1">_xlfn.IFNA(INDEX(jkm_call_put!$M:$M,MATCH($B22&amp;S$2&amp;$A$1,jkm_call_put!$G:$G&amp;jkm_call_put!$O:$O&amp;jkm_call_put!$F:$F,0),1),"")</f>
        <v/>
      </c>
      <c r="T22" s="7" t="str" cm="1">
        <f t="array" aca="1" ref="T22" ca="1">_xlfn.IFNA(INDEX(jkm_call_put!$M:$M,MATCH($B22&amp;T$2&amp;$A$1,jkm_call_put!$G:$G&amp;jkm_call_put!$O:$O&amp;jkm_call_put!$F:$F,0),1),"")</f>
        <v/>
      </c>
      <c r="U22" s="7" t="str" cm="1">
        <f t="array" aca="1" ref="U22" ca="1">_xlfn.IFNA(INDEX(jkm_call_put!$M:$M,MATCH($B22&amp;U$2&amp;$A$1,jkm_call_put!$G:$G&amp;jkm_call_put!$O:$O&amp;jkm_call_put!$F:$F,0),1),"")</f>
        <v/>
      </c>
      <c r="V22" s="7" t="str" cm="1">
        <f t="array" aca="1" ref="V22" ca="1">_xlfn.IFNA(INDEX(jkm_call_put!$M:$M,MATCH($B22&amp;V$2&amp;$A$1,jkm_call_put!$G:$G&amp;jkm_call_put!$O:$O&amp;jkm_call_put!$F:$F,0),1),"")</f>
        <v/>
      </c>
      <c r="W22" s="7" t="str" cm="1">
        <f t="array" aca="1" ref="W22" ca="1">_xlfn.IFNA(INDEX(jkm_call_put!$M:$M,MATCH($B22&amp;W$2&amp;$A$1,jkm_call_put!$G:$G&amp;jkm_call_put!$O:$O&amp;jkm_call_put!$F:$F,0),1),"")</f>
        <v/>
      </c>
      <c r="X22" s="7" t="str" cm="1">
        <f t="array" aca="1" ref="X22" ca="1">_xlfn.IFNA(INDEX(jkm_call_put!$M:$M,MATCH($B22&amp;X$2&amp;$A$1,jkm_call_put!$G:$G&amp;jkm_call_put!$O:$O&amp;jkm_call_put!$F:$F,0),1),"")</f>
        <v/>
      </c>
      <c r="Y22" s="7" t="str" cm="1">
        <f t="array" aca="1" ref="Y22" ca="1">_xlfn.IFNA(INDEX(jkm_call_put!$M:$M,MATCH($B22&amp;Y$2&amp;$A$1,jkm_call_put!$G:$G&amp;jkm_call_put!$O:$O&amp;jkm_call_put!$F:$F,0),1),"")</f>
        <v/>
      </c>
      <c r="Z22" s="7" t="str" cm="1">
        <f t="array" aca="1" ref="Z22" ca="1">_xlfn.IFNA(INDEX(jkm_call_put!$M:$M,MATCH($B22&amp;Z$2&amp;$A$1,jkm_call_put!$G:$G&amp;jkm_call_put!$O:$O&amp;jkm_call_put!$F:$F,0),1),"")</f>
        <v/>
      </c>
      <c r="AA22" s="7" t="str" cm="1">
        <f t="array" aca="1" ref="AA22" ca="1">_xlfn.IFNA(INDEX(jkm_call_put!$M:$M,MATCH($B22&amp;AA$2&amp;$A$1,jkm_call_put!$G:$G&amp;jkm_call_put!$O:$O&amp;jkm_call_put!$F:$F,0),1),"")</f>
        <v/>
      </c>
      <c r="AB22" s="7" t="str" cm="1">
        <f t="array" aca="1" ref="AB22" ca="1">_xlfn.IFNA(INDEX(jkm_call_put!$M:$M,MATCH($B22&amp;AB$2&amp;$A$1,jkm_call_put!$G:$G&amp;jkm_call_put!$O:$O&amp;jkm_call_put!$F:$F,0),1),"")</f>
        <v/>
      </c>
      <c r="AC22" s="7" t="str" cm="1">
        <f t="array" aca="1" ref="AC22" ca="1">_xlfn.IFNA(INDEX(jkm_call_put!$M:$M,MATCH($B22&amp;AC$2&amp;$A$1,jkm_call_put!$G:$G&amp;jkm_call_put!$O:$O&amp;jkm_call_put!$F:$F,0),1),"")</f>
        <v/>
      </c>
      <c r="AD22" s="7" t="str" cm="1">
        <f t="array" aca="1" ref="AD22" ca="1">_xlfn.IFNA(INDEX(jkm_call_put!$M:$M,MATCH($B22&amp;AD$2&amp;$A$1,jkm_call_put!$G:$G&amp;jkm_call_put!$O:$O&amp;jkm_call_put!$F:$F,0),1),"")</f>
        <v/>
      </c>
      <c r="AE22" s="7" t="str" cm="1">
        <f t="array" aca="1" ref="AE22" ca="1">_xlfn.IFNA(INDEX(jkm_call_put!$M:$M,MATCH($B22&amp;AE$2&amp;$A$1,jkm_call_put!$G:$G&amp;jkm_call_put!$O:$O&amp;jkm_call_put!$F:$F,0),1),"")</f>
        <v/>
      </c>
      <c r="AF22" s="7" t="str" cm="1">
        <f t="array" aca="1" ref="AF22" ca="1">_xlfn.IFNA(INDEX(jkm_call_put!$M:$M,MATCH($B22&amp;AF$2&amp;$A$1,jkm_call_put!$G:$G&amp;jkm_call_put!$O:$O&amp;jkm_call_put!$F:$F,0),1),"")</f>
        <v/>
      </c>
      <c r="AG22" s="7" t="str" cm="1">
        <f t="array" aca="1" ref="AG22" ca="1">_xlfn.IFNA(INDEX(jkm_call_put!$M:$M,MATCH($B22&amp;AG$2&amp;$A$1,jkm_call_put!$G:$G&amp;jkm_call_put!$O:$O&amp;jkm_call_put!$F:$F,0),1),"")</f>
        <v/>
      </c>
      <c r="AH22" s="7" t="str" cm="1">
        <f t="array" aca="1" ref="AH22" ca="1">_xlfn.IFNA(INDEX(jkm_call_put!$M:$M,MATCH($B22&amp;AH$2&amp;$A$1,jkm_call_put!$G:$G&amp;jkm_call_put!$O:$O&amp;jkm_call_put!$F:$F,0),1),"")</f>
        <v/>
      </c>
      <c r="AI22" s="7" t="str" cm="1">
        <f t="array" aca="1" ref="AI22" ca="1">_xlfn.IFNA(INDEX(jkm_call_put!$M:$M,MATCH($B22&amp;AI$2&amp;$A$1,jkm_call_put!$G:$G&amp;jkm_call_put!$O:$O&amp;jkm_call_put!$F:$F,0),1),"")</f>
        <v/>
      </c>
      <c r="AJ22" s="7" t="str" cm="1">
        <f t="array" aca="1" ref="AJ22" ca="1">_xlfn.IFNA(INDEX(jkm_call_put!$M:$M,MATCH($B22&amp;AJ$2&amp;$A$1,jkm_call_put!$G:$G&amp;jkm_call_put!$O:$O&amp;jkm_call_put!$F:$F,0),1),"")</f>
        <v/>
      </c>
      <c r="AK22" s="7" t="str" cm="1">
        <f t="array" aca="1" ref="AK22" ca="1">_xlfn.IFNA(INDEX(jkm_call_put!$M:$M,MATCH($B22&amp;AK$2&amp;$A$1,jkm_call_put!$G:$G&amp;jkm_call_put!$O:$O&amp;jkm_call_put!$F:$F,0),1),"")</f>
        <v/>
      </c>
      <c r="AL22" s="7" t="str" cm="1">
        <f t="array" aca="1" ref="AL22" ca="1">_xlfn.IFNA(INDEX(jkm_call_put!$M:$M,MATCH($B22&amp;AL$2&amp;$A$1,jkm_call_put!$G:$G&amp;jkm_call_put!$O:$O&amp;jkm_call_put!$F:$F,0),1),"")</f>
        <v/>
      </c>
    </row>
    <row r="23" spans="2:38" x14ac:dyDescent="0.25">
      <c r="B23">
        <v>20</v>
      </c>
      <c r="C23" s="7" cm="1">
        <f t="array" aca="1" ref="C23" ca="1">_xlfn.IFNA(INDEX(jkm_call_put!$M:$M,MATCH($B23&amp;C$2&amp;$A$1,jkm_call_put!$G:$G&amp;jkm_call_put!$O:$O&amp;jkm_call_put!$F:$F,0),1),"")</f>
        <v>0.38292999999999999</v>
      </c>
      <c r="D23" s="7" cm="1">
        <f t="array" aca="1" ref="D23" ca="1">_xlfn.IFNA(INDEX(jkm_call_put!$M:$M,MATCH($B23&amp;D$2&amp;$A$1,jkm_call_put!$G:$G&amp;jkm_call_put!$O:$O&amp;jkm_call_put!$F:$F,0),1),"")</f>
        <v>0.39556000000000002</v>
      </c>
      <c r="E23" s="7" cm="1">
        <f t="array" aca="1" ref="E23" ca="1">_xlfn.IFNA(INDEX(jkm_call_put!$M:$M,MATCH($B23&amp;E$2&amp;$A$1,jkm_call_put!$G:$G&amp;jkm_call_put!$O:$O&amp;jkm_call_put!$F:$F,0),1),"")</f>
        <v>0.49209000000000003</v>
      </c>
      <c r="F23" s="7" cm="1">
        <f t="array" aca="1" ref="F23" ca="1">_xlfn.IFNA(INDEX(jkm_call_put!$M:$M,MATCH($B23&amp;F$2&amp;$A$1,jkm_call_put!$G:$G&amp;jkm_call_put!$O:$O&amp;jkm_call_put!$F:$F,0),1),"")</f>
        <v>0.49946000000000002</v>
      </c>
      <c r="G23" s="7" cm="1">
        <f t="array" aca="1" ref="G23" ca="1">_xlfn.IFNA(INDEX(jkm_call_put!$M:$M,MATCH($B23&amp;G$2&amp;$A$1,jkm_call_put!$G:$G&amp;jkm_call_put!$O:$O&amp;jkm_call_put!$F:$F,0),1),"")</f>
        <v>0.51156000000000001</v>
      </c>
      <c r="H23" s="7" cm="1">
        <f t="array" aca="1" ref="H23" ca="1">_xlfn.IFNA(INDEX(jkm_call_put!$M:$M,MATCH($B23&amp;H$2&amp;$A$1,jkm_call_put!$G:$G&amp;jkm_call_put!$O:$O&amp;jkm_call_put!$F:$F,0),1),"")</f>
        <v>0.46066000000000001</v>
      </c>
      <c r="I23" s="7" cm="1">
        <f t="array" aca="1" ref="I23" ca="1">_xlfn.IFNA(INDEX(jkm_call_put!$M:$M,MATCH($B23&amp;I$2&amp;$A$1,jkm_call_put!$G:$G&amp;jkm_call_put!$O:$O&amp;jkm_call_put!$F:$F,0),1),"")</f>
        <v>0.47683999999999999</v>
      </c>
      <c r="J23" s="7" cm="1">
        <f t="array" aca="1" ref="J23" ca="1">_xlfn.IFNA(INDEX(jkm_call_put!$M:$M,MATCH($B23&amp;J$2&amp;$A$1,jkm_call_put!$G:$G&amp;jkm_call_put!$O:$O&amp;jkm_call_put!$F:$F,0),1),"")</f>
        <v>0.49942999999999999</v>
      </c>
      <c r="K23" s="7" cm="1">
        <f t="array" aca="1" ref="K23" ca="1">_xlfn.IFNA(INDEX(jkm_call_put!$M:$M,MATCH($B23&amp;K$2&amp;$A$1,jkm_call_put!$G:$G&amp;jkm_call_put!$O:$O&amp;jkm_call_put!$F:$F,0),1),"")</f>
        <v>0.50890000000000002</v>
      </c>
      <c r="L23" s="7" cm="1">
        <f t="array" aca="1" ref="L23" ca="1">_xlfn.IFNA(INDEX(jkm_call_put!$M:$M,MATCH($B23&amp;L$2&amp;$A$1,jkm_call_put!$G:$G&amp;jkm_call_put!$O:$O&amp;jkm_call_put!$F:$F,0),1),"")</f>
        <v>0.50912000000000002</v>
      </c>
      <c r="M23" s="7" cm="1">
        <f t="array" aca="1" ref="M23" ca="1">_xlfn.IFNA(INDEX(jkm_call_put!$M:$M,MATCH($B23&amp;M$2&amp;$A$1,jkm_call_put!$G:$G&amp;jkm_call_put!$O:$O&amp;jkm_call_put!$F:$F,0),1),"")</f>
        <v>0.46920000000000001</v>
      </c>
      <c r="N23" s="7" cm="1">
        <f t="array" aca="1" ref="N23" ca="1">_xlfn.IFNA(INDEX(jkm_call_put!$M:$M,MATCH($B23&amp;N$2&amp;$A$1,jkm_call_put!$G:$G&amp;jkm_call_put!$O:$O&amp;jkm_call_put!$F:$F,0),1),"")</f>
        <v>0.29575000000000001</v>
      </c>
      <c r="O23" s="7" cm="1">
        <f t="array" aca="1" ref="O23" ca="1">_xlfn.IFNA(INDEX(jkm_call_put!$M:$M,MATCH($B23&amp;O$2&amp;$A$1,jkm_call_put!$G:$G&amp;jkm_call_put!$O:$O&amp;jkm_call_put!$F:$F,0),1),"")</f>
        <v>0.25868000000000002</v>
      </c>
      <c r="P23" s="7" cm="1">
        <f t="array" aca="1" ref="P23" ca="1">_xlfn.IFNA(INDEX(jkm_call_put!$M:$M,MATCH($B23&amp;P$2&amp;$A$1,jkm_call_put!$G:$G&amp;jkm_call_put!$O:$O&amp;jkm_call_put!$F:$F,0),1),"")</f>
        <v>0.25629000000000002</v>
      </c>
      <c r="Q23" s="7" cm="1">
        <f t="array" aca="1" ref="Q23" ca="1">_xlfn.IFNA(INDEX(jkm_call_put!$M:$M,MATCH($B23&amp;Q$2&amp;$A$1,jkm_call_put!$G:$G&amp;jkm_call_put!$O:$O&amp;jkm_call_put!$F:$F,0),1),"")</f>
        <v>0.26852999999999999</v>
      </c>
      <c r="R23" s="7" cm="1">
        <f t="array" aca="1" ref="R23" ca="1">_xlfn.IFNA(INDEX(jkm_call_put!$M:$M,MATCH($B23&amp;R$2&amp;$A$1,jkm_call_put!$G:$G&amp;jkm_call_put!$O:$O&amp;jkm_call_put!$F:$F,0),1),"")</f>
        <v>0.28860999999999998</v>
      </c>
      <c r="S23" s="7" cm="1">
        <f t="array" aca="1" ref="S23" ca="1">_xlfn.IFNA(INDEX(jkm_call_put!$M:$M,MATCH($B23&amp;S$2&amp;$A$1,jkm_call_put!$G:$G&amp;jkm_call_put!$O:$O&amp;jkm_call_put!$F:$F,0),1),"")</f>
        <v>0.28871000000000002</v>
      </c>
      <c r="T23" s="7" cm="1">
        <f t="array" aca="1" ref="T23" ca="1">_xlfn.IFNA(INDEX(jkm_call_put!$M:$M,MATCH($B23&amp;T$2&amp;$A$1,jkm_call_put!$G:$G&amp;jkm_call_put!$O:$O&amp;jkm_call_put!$F:$F,0),1),"")</f>
        <v>0.1789</v>
      </c>
      <c r="U23" s="7" cm="1">
        <f t="array" aca="1" ref="U23" ca="1">_xlfn.IFNA(INDEX(jkm_call_put!$M:$M,MATCH($B23&amp;U$2&amp;$A$1,jkm_call_put!$G:$G&amp;jkm_call_put!$O:$O&amp;jkm_call_put!$F:$F,0),1),"")</f>
        <v>0.19272</v>
      </c>
      <c r="V23" s="7" cm="1">
        <f t="array" aca="1" ref="V23" ca="1">_xlfn.IFNA(INDEX(jkm_call_put!$M:$M,MATCH($B23&amp;V$2&amp;$A$1,jkm_call_put!$G:$G&amp;jkm_call_put!$O:$O&amp;jkm_call_put!$F:$F,0),1),"")</f>
        <v>0.21798999999999999</v>
      </c>
      <c r="W23" s="7" t="str" cm="1">
        <f t="array" aca="1" ref="W23" ca="1">_xlfn.IFNA(INDEX(jkm_call_put!$M:$M,MATCH($B23&amp;W$2&amp;$A$1,jkm_call_put!$G:$G&amp;jkm_call_put!$O:$O&amp;jkm_call_put!$F:$F,0),1),"")</f>
        <v/>
      </c>
      <c r="X23" s="7" t="str" cm="1">
        <f t="array" aca="1" ref="X23" ca="1">_xlfn.IFNA(INDEX(jkm_call_put!$M:$M,MATCH($B23&amp;X$2&amp;$A$1,jkm_call_put!$G:$G&amp;jkm_call_put!$O:$O&amp;jkm_call_put!$F:$F,0),1),"")</f>
        <v/>
      </c>
      <c r="Y23" s="7" t="str" cm="1">
        <f t="array" aca="1" ref="Y23" ca="1">_xlfn.IFNA(INDEX(jkm_call_put!$M:$M,MATCH($B23&amp;Y$2&amp;$A$1,jkm_call_put!$G:$G&amp;jkm_call_put!$O:$O&amp;jkm_call_put!$F:$F,0),1),"")</f>
        <v/>
      </c>
      <c r="Z23" s="7" t="str" cm="1">
        <f t="array" aca="1" ref="Z23" ca="1">_xlfn.IFNA(INDEX(jkm_call_put!$M:$M,MATCH($B23&amp;Z$2&amp;$A$1,jkm_call_put!$G:$G&amp;jkm_call_put!$O:$O&amp;jkm_call_put!$F:$F,0),1),"")</f>
        <v/>
      </c>
      <c r="AA23" s="7" t="str" cm="1">
        <f t="array" aca="1" ref="AA23" ca="1">_xlfn.IFNA(INDEX(jkm_call_put!$M:$M,MATCH($B23&amp;AA$2&amp;$A$1,jkm_call_put!$G:$G&amp;jkm_call_put!$O:$O&amp;jkm_call_put!$F:$F,0),1),"")</f>
        <v/>
      </c>
      <c r="AB23" s="7" t="str" cm="1">
        <f t="array" aca="1" ref="AB23" ca="1">_xlfn.IFNA(INDEX(jkm_call_put!$M:$M,MATCH($B23&amp;AB$2&amp;$A$1,jkm_call_put!$G:$G&amp;jkm_call_put!$O:$O&amp;jkm_call_put!$F:$F,0),1),"")</f>
        <v/>
      </c>
      <c r="AC23" s="7" t="str" cm="1">
        <f t="array" aca="1" ref="AC23" ca="1">_xlfn.IFNA(INDEX(jkm_call_put!$M:$M,MATCH($B23&amp;AC$2&amp;$A$1,jkm_call_put!$G:$G&amp;jkm_call_put!$O:$O&amp;jkm_call_put!$F:$F,0),1),"")</f>
        <v/>
      </c>
      <c r="AD23" s="7" t="str" cm="1">
        <f t="array" aca="1" ref="AD23" ca="1">_xlfn.IFNA(INDEX(jkm_call_put!$M:$M,MATCH($B23&amp;AD$2&amp;$A$1,jkm_call_put!$G:$G&amp;jkm_call_put!$O:$O&amp;jkm_call_put!$F:$F,0),1),"")</f>
        <v/>
      </c>
      <c r="AE23" s="7" t="str" cm="1">
        <f t="array" aca="1" ref="AE23" ca="1">_xlfn.IFNA(INDEX(jkm_call_put!$M:$M,MATCH($B23&amp;AE$2&amp;$A$1,jkm_call_put!$G:$G&amp;jkm_call_put!$O:$O&amp;jkm_call_put!$F:$F,0),1),"")</f>
        <v/>
      </c>
      <c r="AF23" s="7" t="str" cm="1">
        <f t="array" aca="1" ref="AF23" ca="1">_xlfn.IFNA(INDEX(jkm_call_put!$M:$M,MATCH($B23&amp;AF$2&amp;$A$1,jkm_call_put!$G:$G&amp;jkm_call_put!$O:$O&amp;jkm_call_put!$F:$F,0),1),"")</f>
        <v/>
      </c>
      <c r="AG23" s="7" t="str" cm="1">
        <f t="array" aca="1" ref="AG23" ca="1">_xlfn.IFNA(INDEX(jkm_call_put!$M:$M,MATCH($B23&amp;AG$2&amp;$A$1,jkm_call_put!$G:$G&amp;jkm_call_put!$O:$O&amp;jkm_call_put!$F:$F,0),1),"")</f>
        <v/>
      </c>
      <c r="AH23" s="7" t="str" cm="1">
        <f t="array" aca="1" ref="AH23" ca="1">_xlfn.IFNA(INDEX(jkm_call_put!$M:$M,MATCH($B23&amp;AH$2&amp;$A$1,jkm_call_put!$G:$G&amp;jkm_call_put!$O:$O&amp;jkm_call_put!$F:$F,0),1),"")</f>
        <v/>
      </c>
      <c r="AI23" s="7" t="str" cm="1">
        <f t="array" aca="1" ref="AI23" ca="1">_xlfn.IFNA(INDEX(jkm_call_put!$M:$M,MATCH($B23&amp;AI$2&amp;$A$1,jkm_call_put!$G:$G&amp;jkm_call_put!$O:$O&amp;jkm_call_put!$F:$F,0),1),"")</f>
        <v/>
      </c>
      <c r="AJ23" s="7" t="str" cm="1">
        <f t="array" aca="1" ref="AJ23" ca="1">_xlfn.IFNA(INDEX(jkm_call_put!$M:$M,MATCH($B23&amp;AJ$2&amp;$A$1,jkm_call_put!$G:$G&amp;jkm_call_put!$O:$O&amp;jkm_call_put!$F:$F,0),1),"")</f>
        <v/>
      </c>
      <c r="AK23" s="7" t="str" cm="1">
        <f t="array" aca="1" ref="AK23" ca="1">_xlfn.IFNA(INDEX(jkm_call_put!$M:$M,MATCH($B23&amp;AK$2&amp;$A$1,jkm_call_put!$G:$G&amp;jkm_call_put!$O:$O&amp;jkm_call_put!$F:$F,0),1),"")</f>
        <v/>
      </c>
      <c r="AL23" s="7" t="str" cm="1">
        <f t="array" aca="1" ref="AL23" ca="1">_xlfn.IFNA(INDEX(jkm_call_put!$M:$M,MATCH($B23&amp;AL$2&amp;$A$1,jkm_call_put!$G:$G&amp;jkm_call_put!$O:$O&amp;jkm_call_put!$F:$F,0),1),"")</f>
        <v/>
      </c>
    </row>
    <row r="24" spans="2:38" x14ac:dyDescent="0.25">
      <c r="B24">
        <v>25</v>
      </c>
      <c r="C24" s="7" cm="1">
        <f t="array" aca="1" ref="C24" ca="1">_xlfn.IFNA(INDEX(jkm_call_put!$M:$M,MATCH($B24&amp;C$2&amp;$A$1,jkm_call_put!$G:$G&amp;jkm_call_put!$O:$O&amp;jkm_call_put!$F:$F,0),1),"")</f>
        <v>2.6099999999999999E-3</v>
      </c>
      <c r="D24" s="7" cm="1">
        <f t="array" aca="1" ref="D24" ca="1">_xlfn.IFNA(INDEX(jkm_call_put!$M:$M,MATCH($B24&amp;D$2&amp;$A$1,jkm_call_put!$G:$G&amp;jkm_call_put!$O:$O&amp;jkm_call_put!$F:$F,0),1),"")</f>
        <v>5.2780000000000001E-2</v>
      </c>
      <c r="E24" s="7" cm="1">
        <f t="array" aca="1" ref="E24" ca="1">_xlfn.IFNA(INDEX(jkm_call_put!$M:$M,MATCH($B24&amp;E$2&amp;$A$1,jkm_call_put!$G:$G&amp;jkm_call_put!$O:$O&amp;jkm_call_put!$F:$F,0),1),"")</f>
        <v>0.27087</v>
      </c>
      <c r="F24" s="7" cm="1">
        <f t="array" aca="1" ref="F24" ca="1">_xlfn.IFNA(INDEX(jkm_call_put!$M:$M,MATCH($B24&amp;F$2&amp;$A$1,jkm_call_put!$G:$G&amp;jkm_call_put!$O:$O&amp;jkm_call_put!$F:$F,0),1),"")</f>
        <v>0.31039</v>
      </c>
      <c r="G24" s="7" cm="1">
        <f t="array" aca="1" ref="G24" ca="1">_xlfn.IFNA(INDEX(jkm_call_put!$M:$M,MATCH($B24&amp;G$2&amp;$A$1,jkm_call_put!$G:$G&amp;jkm_call_put!$O:$O&amp;jkm_call_put!$F:$F,0),1),"")</f>
        <v>0.34783999999999998</v>
      </c>
      <c r="H24" s="7" cm="1">
        <f t="array" aca="1" ref="H24" ca="1">_xlfn.IFNA(INDEX(jkm_call_put!$M:$M,MATCH($B24&amp;H$2&amp;$A$1,jkm_call_put!$G:$G&amp;jkm_call_put!$O:$O&amp;jkm_call_put!$F:$F,0),1),"")</f>
        <v>0.27681</v>
      </c>
      <c r="I24" s="7" cm="1">
        <f t="array" aca="1" ref="I24" ca="1">_xlfn.IFNA(INDEX(jkm_call_put!$M:$M,MATCH($B24&amp;I$2&amp;$A$1,jkm_call_put!$G:$G&amp;jkm_call_put!$O:$O&amp;jkm_call_put!$F:$F,0),1),"")</f>
        <v>0.30491000000000001</v>
      </c>
      <c r="J24" s="7" cm="1">
        <f t="array" aca="1" ref="J24" ca="1">_xlfn.IFNA(INDEX(jkm_call_put!$M:$M,MATCH($B24&amp;J$2&amp;$A$1,jkm_call_put!$G:$G&amp;jkm_call_put!$O:$O&amp;jkm_call_put!$F:$F,0),1),"")</f>
        <v>0.33654000000000001</v>
      </c>
      <c r="K24" s="7" cm="1">
        <f t="array" aca="1" ref="K24" ca="1">_xlfn.IFNA(INDEX(jkm_call_put!$M:$M,MATCH($B24&amp;K$2&amp;$A$1,jkm_call_put!$G:$G&amp;jkm_call_put!$O:$O&amp;jkm_call_put!$F:$F,0),1),"")</f>
        <v>0.35493000000000002</v>
      </c>
      <c r="L24" s="7" t="str" cm="1">
        <f t="array" aca="1" ref="L24" ca="1">_xlfn.IFNA(INDEX(jkm_call_put!$M:$M,MATCH($B24&amp;L$2&amp;$A$1,jkm_call_put!$G:$G&amp;jkm_call_put!$O:$O&amp;jkm_call_put!$F:$F,0),1),"")</f>
        <v/>
      </c>
      <c r="M24" s="7" t="str" cm="1">
        <f t="array" aca="1" ref="M24" ca="1">_xlfn.IFNA(INDEX(jkm_call_put!$M:$M,MATCH($B24&amp;M$2&amp;$A$1,jkm_call_put!$G:$G&amp;jkm_call_put!$O:$O&amp;jkm_call_put!$F:$F,0),1),"")</f>
        <v/>
      </c>
      <c r="N24" s="7" t="str" cm="1">
        <f t="array" aca="1" ref="N24" ca="1">_xlfn.IFNA(INDEX(jkm_call_put!$M:$M,MATCH($B24&amp;N$2&amp;$A$1,jkm_call_put!$G:$G&amp;jkm_call_put!$O:$O&amp;jkm_call_put!$F:$F,0),1),"")</f>
        <v/>
      </c>
      <c r="O24" s="7" t="str" cm="1">
        <f t="array" aca="1" ref="O24" ca="1">_xlfn.IFNA(INDEX(jkm_call_put!$M:$M,MATCH($B24&amp;O$2&amp;$A$1,jkm_call_put!$G:$G&amp;jkm_call_put!$O:$O&amp;jkm_call_put!$F:$F,0),1),"")</f>
        <v/>
      </c>
      <c r="P24" s="7" t="str" cm="1">
        <f t="array" aca="1" ref="P24" ca="1">_xlfn.IFNA(INDEX(jkm_call_put!$M:$M,MATCH($B24&amp;P$2&amp;$A$1,jkm_call_put!$G:$G&amp;jkm_call_put!$O:$O&amp;jkm_call_put!$F:$F,0),1),"")</f>
        <v/>
      </c>
      <c r="Q24" s="7" t="str" cm="1">
        <f t="array" aca="1" ref="Q24" ca="1">_xlfn.IFNA(INDEX(jkm_call_put!$M:$M,MATCH($B24&amp;Q$2&amp;$A$1,jkm_call_put!$G:$G&amp;jkm_call_put!$O:$O&amp;jkm_call_put!$F:$F,0),1),"")</f>
        <v/>
      </c>
      <c r="R24" s="7" t="str" cm="1">
        <f t="array" aca="1" ref="R24" ca="1">_xlfn.IFNA(INDEX(jkm_call_put!$M:$M,MATCH($B24&amp;R$2&amp;$A$1,jkm_call_put!$G:$G&amp;jkm_call_put!$O:$O&amp;jkm_call_put!$F:$F,0),1),"")</f>
        <v/>
      </c>
      <c r="S24" s="7" t="str" cm="1">
        <f t="array" aca="1" ref="S24" ca="1">_xlfn.IFNA(INDEX(jkm_call_put!$M:$M,MATCH($B24&amp;S$2&amp;$A$1,jkm_call_put!$G:$G&amp;jkm_call_put!$O:$O&amp;jkm_call_put!$F:$F,0),1),"")</f>
        <v/>
      </c>
      <c r="T24" s="7" t="str" cm="1">
        <f t="array" aca="1" ref="T24" ca="1">_xlfn.IFNA(INDEX(jkm_call_put!$M:$M,MATCH($B24&amp;T$2&amp;$A$1,jkm_call_put!$G:$G&amp;jkm_call_put!$O:$O&amp;jkm_call_put!$F:$F,0),1),"")</f>
        <v/>
      </c>
      <c r="U24" s="7" t="str" cm="1">
        <f t="array" aca="1" ref="U24" ca="1">_xlfn.IFNA(INDEX(jkm_call_put!$M:$M,MATCH($B24&amp;U$2&amp;$A$1,jkm_call_put!$G:$G&amp;jkm_call_put!$O:$O&amp;jkm_call_put!$F:$F,0),1),"")</f>
        <v/>
      </c>
      <c r="V24" s="7" t="str" cm="1">
        <f t="array" aca="1" ref="V24" ca="1">_xlfn.IFNA(INDEX(jkm_call_put!$M:$M,MATCH($B24&amp;V$2&amp;$A$1,jkm_call_put!$G:$G&amp;jkm_call_put!$O:$O&amp;jkm_call_put!$F:$F,0),1),"")</f>
        <v/>
      </c>
      <c r="W24" s="7" t="str" cm="1">
        <f t="array" aca="1" ref="W24" ca="1">_xlfn.IFNA(INDEX(jkm_call_put!$M:$M,MATCH($B24&amp;W$2&amp;$A$1,jkm_call_put!$G:$G&amp;jkm_call_put!$O:$O&amp;jkm_call_put!$F:$F,0),1),"")</f>
        <v/>
      </c>
      <c r="X24" s="7" t="str" cm="1">
        <f t="array" aca="1" ref="X24" ca="1">_xlfn.IFNA(INDEX(jkm_call_put!$M:$M,MATCH($B24&amp;X$2&amp;$A$1,jkm_call_put!$G:$G&amp;jkm_call_put!$O:$O&amp;jkm_call_put!$F:$F,0),1),"")</f>
        <v/>
      </c>
      <c r="Y24" s="7" t="str" cm="1">
        <f t="array" aca="1" ref="Y24" ca="1">_xlfn.IFNA(INDEX(jkm_call_put!$M:$M,MATCH($B24&amp;Y$2&amp;$A$1,jkm_call_put!$G:$G&amp;jkm_call_put!$O:$O&amp;jkm_call_put!$F:$F,0),1),"")</f>
        <v/>
      </c>
      <c r="Z24" s="7" t="str" cm="1">
        <f t="array" aca="1" ref="Z24" ca="1">_xlfn.IFNA(INDEX(jkm_call_put!$M:$M,MATCH($B24&amp;Z$2&amp;$A$1,jkm_call_put!$G:$G&amp;jkm_call_put!$O:$O&amp;jkm_call_put!$F:$F,0),1),"")</f>
        <v/>
      </c>
      <c r="AA24" s="7" t="str" cm="1">
        <f t="array" aca="1" ref="AA24" ca="1">_xlfn.IFNA(INDEX(jkm_call_put!$M:$M,MATCH($B24&amp;AA$2&amp;$A$1,jkm_call_put!$G:$G&amp;jkm_call_put!$O:$O&amp;jkm_call_put!$F:$F,0),1),"")</f>
        <v/>
      </c>
      <c r="AB24" s="7" t="str" cm="1">
        <f t="array" aca="1" ref="AB24" ca="1">_xlfn.IFNA(INDEX(jkm_call_put!$M:$M,MATCH($B24&amp;AB$2&amp;$A$1,jkm_call_put!$G:$G&amp;jkm_call_put!$O:$O&amp;jkm_call_put!$F:$F,0),1),"")</f>
        <v/>
      </c>
      <c r="AC24" s="7" t="str" cm="1">
        <f t="array" aca="1" ref="AC24" ca="1">_xlfn.IFNA(INDEX(jkm_call_put!$M:$M,MATCH($B24&amp;AC$2&amp;$A$1,jkm_call_put!$G:$G&amp;jkm_call_put!$O:$O&amp;jkm_call_put!$F:$F,0),1),"")</f>
        <v/>
      </c>
      <c r="AD24" s="7" t="str" cm="1">
        <f t="array" aca="1" ref="AD24" ca="1">_xlfn.IFNA(INDEX(jkm_call_put!$M:$M,MATCH($B24&amp;AD$2&amp;$A$1,jkm_call_put!$G:$G&amp;jkm_call_put!$O:$O&amp;jkm_call_put!$F:$F,0),1),"")</f>
        <v/>
      </c>
      <c r="AE24" s="7" t="str" cm="1">
        <f t="array" aca="1" ref="AE24" ca="1">_xlfn.IFNA(INDEX(jkm_call_put!$M:$M,MATCH($B24&amp;AE$2&amp;$A$1,jkm_call_put!$G:$G&amp;jkm_call_put!$O:$O&amp;jkm_call_put!$F:$F,0),1),"")</f>
        <v/>
      </c>
      <c r="AF24" s="7" t="str" cm="1">
        <f t="array" aca="1" ref="AF24" ca="1">_xlfn.IFNA(INDEX(jkm_call_put!$M:$M,MATCH($B24&amp;AF$2&amp;$A$1,jkm_call_put!$G:$G&amp;jkm_call_put!$O:$O&amp;jkm_call_put!$F:$F,0),1),"")</f>
        <v/>
      </c>
      <c r="AG24" s="7" t="str" cm="1">
        <f t="array" aca="1" ref="AG24" ca="1">_xlfn.IFNA(INDEX(jkm_call_put!$M:$M,MATCH($B24&amp;AG$2&amp;$A$1,jkm_call_put!$G:$G&amp;jkm_call_put!$O:$O&amp;jkm_call_put!$F:$F,0),1),"")</f>
        <v/>
      </c>
      <c r="AH24" s="7" t="str" cm="1">
        <f t="array" aca="1" ref="AH24" ca="1">_xlfn.IFNA(INDEX(jkm_call_put!$M:$M,MATCH($B24&amp;AH$2&amp;$A$1,jkm_call_put!$G:$G&amp;jkm_call_put!$O:$O&amp;jkm_call_put!$F:$F,0),1),"")</f>
        <v/>
      </c>
      <c r="AI24" s="7" t="str" cm="1">
        <f t="array" aca="1" ref="AI24" ca="1">_xlfn.IFNA(INDEX(jkm_call_put!$M:$M,MATCH($B24&amp;AI$2&amp;$A$1,jkm_call_put!$G:$G&amp;jkm_call_put!$O:$O&amp;jkm_call_put!$F:$F,0),1),"")</f>
        <v/>
      </c>
      <c r="AJ24" s="7" t="str" cm="1">
        <f t="array" aca="1" ref="AJ24" ca="1">_xlfn.IFNA(INDEX(jkm_call_put!$M:$M,MATCH($B24&amp;AJ$2&amp;$A$1,jkm_call_put!$G:$G&amp;jkm_call_put!$O:$O&amp;jkm_call_put!$F:$F,0),1),"")</f>
        <v/>
      </c>
      <c r="AK24" s="7" t="str" cm="1">
        <f t="array" aca="1" ref="AK24" ca="1">_xlfn.IFNA(INDEX(jkm_call_put!$M:$M,MATCH($B24&amp;AK$2&amp;$A$1,jkm_call_put!$G:$G&amp;jkm_call_put!$O:$O&amp;jkm_call_put!$F:$F,0),1),"")</f>
        <v/>
      </c>
      <c r="AL24" s="7" t="str" cm="1">
        <f t="array" aca="1" ref="AL24" ca="1">_xlfn.IFNA(INDEX(jkm_call_put!$M:$M,MATCH($B24&amp;AL$2&amp;$A$1,jkm_call_put!$G:$G&amp;jkm_call_put!$O:$O&amp;jkm_call_put!$F:$F,0),1),"")</f>
        <v/>
      </c>
    </row>
    <row r="25" spans="2:38" x14ac:dyDescent="0.25">
      <c r="B25">
        <v>0</v>
      </c>
      <c r="C25" s="7" t="str" cm="1">
        <f t="array" aca="1" ref="C25" ca="1">_xlfn.IFNA(INDEX(jkm_call_put!$M:$M,MATCH($B25&amp;C$2&amp;$A$1,jkm_call_put!$G:$G&amp;jkm_call_put!$O:$O&amp;jkm_call_put!$F:$F,0),1),"")</f>
        <v/>
      </c>
      <c r="D25" s="7" t="str" cm="1">
        <f t="array" aca="1" ref="D25" ca="1">_xlfn.IFNA(INDEX(jkm_call_put!$M:$M,MATCH($B25&amp;D$2&amp;$A$1,jkm_call_put!$G:$G&amp;jkm_call_put!$O:$O&amp;jkm_call_put!$F:$F,0),1),"")</f>
        <v/>
      </c>
      <c r="E25" s="7" t="str" cm="1">
        <f t="array" aca="1" ref="E25" ca="1">_xlfn.IFNA(INDEX(jkm_call_put!$M:$M,MATCH($B25&amp;E$2&amp;$A$1,jkm_call_put!$G:$G&amp;jkm_call_put!$O:$O&amp;jkm_call_put!$F:$F,0),1),"")</f>
        <v/>
      </c>
      <c r="F25" s="7" t="str" cm="1">
        <f t="array" aca="1" ref="F25" ca="1">_xlfn.IFNA(INDEX(jkm_call_put!$M:$M,MATCH($B25&amp;F$2&amp;$A$1,jkm_call_put!$G:$G&amp;jkm_call_put!$O:$O&amp;jkm_call_put!$F:$F,0),1),"")</f>
        <v/>
      </c>
      <c r="G25" s="7" t="str" cm="1">
        <f t="array" aca="1" ref="G25" ca="1">_xlfn.IFNA(INDEX(jkm_call_put!$M:$M,MATCH($B25&amp;G$2&amp;$A$1,jkm_call_put!$G:$G&amp;jkm_call_put!$O:$O&amp;jkm_call_put!$F:$F,0),1),"")</f>
        <v/>
      </c>
      <c r="H25" s="7" t="str" cm="1">
        <f t="array" aca="1" ref="H25" ca="1">_xlfn.IFNA(INDEX(jkm_call_put!$M:$M,MATCH($B25&amp;H$2&amp;$A$1,jkm_call_put!$G:$G&amp;jkm_call_put!$O:$O&amp;jkm_call_put!$F:$F,0),1),"")</f>
        <v/>
      </c>
      <c r="I25" s="7" t="str" cm="1">
        <f t="array" aca="1" ref="I25" ca="1">_xlfn.IFNA(INDEX(jkm_call_put!$M:$M,MATCH($B25&amp;I$2&amp;$A$1,jkm_call_put!$G:$G&amp;jkm_call_put!$O:$O&amp;jkm_call_put!$F:$F,0),1),"")</f>
        <v/>
      </c>
      <c r="J25" s="7" t="str" cm="1">
        <f t="array" aca="1" ref="J25" ca="1">_xlfn.IFNA(INDEX(jkm_call_put!$M:$M,MATCH($B25&amp;J$2&amp;$A$1,jkm_call_put!$G:$G&amp;jkm_call_put!$O:$O&amp;jkm_call_put!$F:$F,0),1),"")</f>
        <v/>
      </c>
      <c r="K25" s="7" t="str" cm="1">
        <f t="array" aca="1" ref="K25" ca="1">_xlfn.IFNA(INDEX(jkm_call_put!$M:$M,MATCH($B25&amp;K$2&amp;$A$1,jkm_call_put!$G:$G&amp;jkm_call_put!$O:$O&amp;jkm_call_put!$F:$F,0),1),"")</f>
        <v/>
      </c>
      <c r="L25" s="7" t="str" cm="1">
        <f t="array" aca="1" ref="L25" ca="1">_xlfn.IFNA(INDEX(jkm_call_put!$M:$M,MATCH($B25&amp;L$2&amp;$A$1,jkm_call_put!$G:$G&amp;jkm_call_put!$O:$O&amp;jkm_call_put!$F:$F,0),1),"")</f>
        <v/>
      </c>
      <c r="M25" s="7" t="str" cm="1">
        <f t="array" aca="1" ref="M25" ca="1">_xlfn.IFNA(INDEX(jkm_call_put!$M:$M,MATCH($B25&amp;M$2&amp;$A$1,jkm_call_put!$G:$G&amp;jkm_call_put!$O:$O&amp;jkm_call_put!$F:$F,0),1),"")</f>
        <v/>
      </c>
      <c r="N25" s="7" t="str" cm="1">
        <f t="array" aca="1" ref="N25" ca="1">_xlfn.IFNA(INDEX(jkm_call_put!$M:$M,MATCH($B25&amp;N$2&amp;$A$1,jkm_call_put!$G:$G&amp;jkm_call_put!$O:$O&amp;jkm_call_put!$F:$F,0),1),"")</f>
        <v/>
      </c>
      <c r="O25" s="7" t="str" cm="1">
        <f t="array" aca="1" ref="O25" ca="1">_xlfn.IFNA(INDEX(jkm_call_put!$M:$M,MATCH($B25&amp;O$2&amp;$A$1,jkm_call_put!$G:$G&amp;jkm_call_put!$O:$O&amp;jkm_call_put!$F:$F,0),1),"")</f>
        <v/>
      </c>
      <c r="P25" s="7" t="str" cm="1">
        <f t="array" aca="1" ref="P25" ca="1">_xlfn.IFNA(INDEX(jkm_call_put!$M:$M,MATCH($B25&amp;P$2&amp;$A$1,jkm_call_put!$G:$G&amp;jkm_call_put!$O:$O&amp;jkm_call_put!$F:$F,0),1),"")</f>
        <v/>
      </c>
      <c r="Q25" s="7" t="str" cm="1">
        <f t="array" aca="1" ref="Q25" ca="1">_xlfn.IFNA(INDEX(jkm_call_put!$M:$M,MATCH($B25&amp;Q$2&amp;$A$1,jkm_call_put!$G:$G&amp;jkm_call_put!$O:$O&amp;jkm_call_put!$F:$F,0),1),"")</f>
        <v/>
      </c>
      <c r="R25" s="7" t="str" cm="1">
        <f t="array" aca="1" ref="R25" ca="1">_xlfn.IFNA(INDEX(jkm_call_put!$M:$M,MATCH($B25&amp;R$2&amp;$A$1,jkm_call_put!$G:$G&amp;jkm_call_put!$O:$O&amp;jkm_call_put!$F:$F,0),1),"")</f>
        <v/>
      </c>
      <c r="S25" s="7" t="str" cm="1">
        <f t="array" aca="1" ref="S25" ca="1">_xlfn.IFNA(INDEX(jkm_call_put!$M:$M,MATCH($B25&amp;S$2&amp;$A$1,jkm_call_put!$G:$G&amp;jkm_call_put!$O:$O&amp;jkm_call_put!$F:$F,0),1),"")</f>
        <v/>
      </c>
      <c r="T25" s="7" t="str" cm="1">
        <f t="array" aca="1" ref="T25" ca="1">_xlfn.IFNA(INDEX(jkm_call_put!$M:$M,MATCH($B25&amp;T$2&amp;$A$1,jkm_call_put!$G:$G&amp;jkm_call_put!$O:$O&amp;jkm_call_put!$F:$F,0),1),"")</f>
        <v/>
      </c>
      <c r="U25" s="7" t="str" cm="1">
        <f t="array" aca="1" ref="U25" ca="1">_xlfn.IFNA(INDEX(jkm_call_put!$M:$M,MATCH($B25&amp;U$2&amp;$A$1,jkm_call_put!$G:$G&amp;jkm_call_put!$O:$O&amp;jkm_call_put!$F:$F,0),1),"")</f>
        <v/>
      </c>
      <c r="V25" s="7" t="str" cm="1">
        <f t="array" aca="1" ref="V25" ca="1">_xlfn.IFNA(INDEX(jkm_call_put!$M:$M,MATCH($B25&amp;V$2&amp;$A$1,jkm_call_put!$G:$G&amp;jkm_call_put!$O:$O&amp;jkm_call_put!$F:$F,0),1),"")</f>
        <v/>
      </c>
      <c r="W25" s="7" t="str" cm="1">
        <f t="array" aca="1" ref="W25" ca="1">_xlfn.IFNA(INDEX(jkm_call_put!$M:$M,MATCH($B25&amp;W$2&amp;$A$1,jkm_call_put!$G:$G&amp;jkm_call_put!$O:$O&amp;jkm_call_put!$F:$F,0),1),"")</f>
        <v/>
      </c>
      <c r="X25" s="7" t="str" cm="1">
        <f t="array" aca="1" ref="X25" ca="1">_xlfn.IFNA(INDEX(jkm_call_put!$M:$M,MATCH($B25&amp;X$2&amp;$A$1,jkm_call_put!$G:$G&amp;jkm_call_put!$O:$O&amp;jkm_call_put!$F:$F,0),1),"")</f>
        <v/>
      </c>
      <c r="Y25" s="7" t="str" cm="1">
        <f t="array" aca="1" ref="Y25" ca="1">_xlfn.IFNA(INDEX(jkm_call_put!$M:$M,MATCH($B25&amp;Y$2&amp;$A$1,jkm_call_put!$G:$G&amp;jkm_call_put!$O:$O&amp;jkm_call_put!$F:$F,0),1),"")</f>
        <v/>
      </c>
      <c r="Z25" s="7" t="str" cm="1">
        <f t="array" aca="1" ref="Z25" ca="1">_xlfn.IFNA(INDEX(jkm_call_put!$M:$M,MATCH($B25&amp;Z$2&amp;$A$1,jkm_call_put!$G:$G&amp;jkm_call_put!$O:$O&amp;jkm_call_put!$F:$F,0),1),"")</f>
        <v/>
      </c>
      <c r="AA25" s="7" t="str" cm="1">
        <f t="array" aca="1" ref="AA25" ca="1">_xlfn.IFNA(INDEX(jkm_call_put!$M:$M,MATCH($B25&amp;AA$2&amp;$A$1,jkm_call_put!$G:$G&amp;jkm_call_put!$O:$O&amp;jkm_call_put!$F:$F,0),1),"")</f>
        <v/>
      </c>
      <c r="AB25" s="7" t="str" cm="1">
        <f t="array" aca="1" ref="AB25" ca="1">_xlfn.IFNA(INDEX(jkm_call_put!$M:$M,MATCH($B25&amp;AB$2&amp;$A$1,jkm_call_put!$G:$G&amp;jkm_call_put!$O:$O&amp;jkm_call_put!$F:$F,0),1),"")</f>
        <v/>
      </c>
      <c r="AC25" s="7" t="str" cm="1">
        <f t="array" aca="1" ref="AC25" ca="1">_xlfn.IFNA(INDEX(jkm_call_put!$M:$M,MATCH($B25&amp;AC$2&amp;$A$1,jkm_call_put!$G:$G&amp;jkm_call_put!$O:$O&amp;jkm_call_put!$F:$F,0),1),"")</f>
        <v/>
      </c>
      <c r="AD25" s="7" t="str" cm="1">
        <f t="array" aca="1" ref="AD25" ca="1">_xlfn.IFNA(INDEX(jkm_call_put!$M:$M,MATCH($B25&amp;AD$2&amp;$A$1,jkm_call_put!$G:$G&amp;jkm_call_put!$O:$O&amp;jkm_call_put!$F:$F,0),1),"")</f>
        <v/>
      </c>
      <c r="AE25" s="7" t="str" cm="1">
        <f t="array" aca="1" ref="AE25" ca="1">_xlfn.IFNA(INDEX(jkm_call_put!$M:$M,MATCH($B25&amp;AE$2&amp;$A$1,jkm_call_put!$G:$G&amp;jkm_call_put!$O:$O&amp;jkm_call_put!$F:$F,0),1),"")</f>
        <v/>
      </c>
      <c r="AF25" s="7" t="str" cm="1">
        <f t="array" aca="1" ref="AF25" ca="1">_xlfn.IFNA(INDEX(jkm_call_put!$M:$M,MATCH($B25&amp;AF$2&amp;$A$1,jkm_call_put!$G:$G&amp;jkm_call_put!$O:$O&amp;jkm_call_put!$F:$F,0),1),"")</f>
        <v/>
      </c>
      <c r="AG25" s="7" t="str" cm="1">
        <f t="array" aca="1" ref="AG25" ca="1">_xlfn.IFNA(INDEX(jkm_call_put!$M:$M,MATCH($B25&amp;AG$2&amp;$A$1,jkm_call_put!$G:$G&amp;jkm_call_put!$O:$O&amp;jkm_call_put!$F:$F,0),1),"")</f>
        <v/>
      </c>
      <c r="AH25" s="7" t="str" cm="1">
        <f t="array" aca="1" ref="AH25" ca="1">_xlfn.IFNA(INDEX(jkm_call_put!$M:$M,MATCH($B25&amp;AH$2&amp;$A$1,jkm_call_put!$G:$G&amp;jkm_call_put!$O:$O&amp;jkm_call_put!$F:$F,0),1),"")</f>
        <v/>
      </c>
      <c r="AI25" s="7" t="str" cm="1">
        <f t="array" aca="1" ref="AI25" ca="1">_xlfn.IFNA(INDEX(jkm_call_put!$M:$M,MATCH($B25&amp;AI$2&amp;$A$1,jkm_call_put!$G:$G&amp;jkm_call_put!$O:$O&amp;jkm_call_put!$F:$F,0),1),"")</f>
        <v/>
      </c>
      <c r="AJ25" s="7" t="str" cm="1">
        <f t="array" aca="1" ref="AJ25" ca="1">_xlfn.IFNA(INDEX(jkm_call_put!$M:$M,MATCH($B25&amp;AJ$2&amp;$A$1,jkm_call_put!$G:$G&amp;jkm_call_put!$O:$O&amp;jkm_call_put!$F:$F,0),1),"")</f>
        <v/>
      </c>
      <c r="AK25" s="7" t="str" cm="1">
        <f t="array" aca="1" ref="AK25" ca="1">_xlfn.IFNA(INDEX(jkm_call_put!$M:$M,MATCH($B25&amp;AK$2&amp;$A$1,jkm_call_put!$G:$G&amp;jkm_call_put!$O:$O&amp;jkm_call_put!$F:$F,0),1),"")</f>
        <v/>
      </c>
      <c r="AL25" s="7" t="str" cm="1">
        <f t="array" aca="1" ref="AL25" ca="1">_xlfn.IFNA(INDEX(jkm_call_put!$M:$M,MATCH($B25&amp;AL$2&amp;$A$1,jkm_call_put!$G:$G&amp;jkm_call_put!$O:$O&amp;jkm_call_put!$F:$F,0),1),"")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C1DAB-2D24-4935-81AB-5946C45DB706}">
  <dimension ref="A1:AL25"/>
  <sheetViews>
    <sheetView workbookViewId="0">
      <selection activeCell="L30" sqref="L30"/>
    </sheetView>
  </sheetViews>
  <sheetFormatPr defaultRowHeight="15" x14ac:dyDescent="0.25"/>
  <sheetData>
    <row r="1" spans="1:38" x14ac:dyDescent="0.25">
      <c r="A1" t="s">
        <v>110</v>
      </c>
      <c r="C1" t="s">
        <v>56</v>
      </c>
    </row>
    <row r="2" spans="1:38" x14ac:dyDescent="0.25">
      <c r="C2">
        <f t="array" aca="1" ref="C2:AL2" ca="1">TRANSPOSE(_xlfn._xlws.SORT(Unique!B2:B37))</f>
        <v>27</v>
      </c>
      <c r="D2">
        <f ca="1"/>
        <v>57</v>
      </c>
      <c r="E2">
        <f ca="1"/>
        <v>88</v>
      </c>
      <c r="F2">
        <f ca="1"/>
        <v>118</v>
      </c>
      <c r="G2">
        <f ca="1"/>
        <v>148</v>
      </c>
      <c r="H2">
        <f ca="1"/>
        <v>180</v>
      </c>
      <c r="I2">
        <f ca="1"/>
        <v>210</v>
      </c>
      <c r="J2">
        <f ca="1"/>
        <v>239</v>
      </c>
      <c r="K2">
        <f ca="1"/>
        <v>271</v>
      </c>
      <c r="L2">
        <f ca="1"/>
        <v>302</v>
      </c>
      <c r="M2">
        <f ca="1"/>
        <v>333</v>
      </c>
      <c r="N2">
        <f ca="1"/>
        <v>361</v>
      </c>
      <c r="O2">
        <f ca="1"/>
        <v>392</v>
      </c>
      <c r="P2">
        <f ca="1"/>
        <v>421</v>
      </c>
      <c r="Q2">
        <f ca="1"/>
        <v>453</v>
      </c>
      <c r="R2">
        <f ca="1"/>
        <v>483</v>
      </c>
      <c r="S2">
        <f ca="1"/>
        <v>512</v>
      </c>
      <c r="T2">
        <f ca="1"/>
        <v>545</v>
      </c>
      <c r="U2">
        <f ca="1"/>
        <v>575</v>
      </c>
      <c r="V2">
        <f ca="1"/>
        <v>606</v>
      </c>
      <c r="W2">
        <f ca="1"/>
        <v>636</v>
      </c>
      <c r="X2">
        <f ca="1"/>
        <v>666</v>
      </c>
      <c r="Y2">
        <f ca="1"/>
        <v>698</v>
      </c>
      <c r="Z2">
        <f ca="1"/>
        <v>727</v>
      </c>
      <c r="AA2">
        <f ca="1"/>
        <v>756</v>
      </c>
      <c r="AB2">
        <f ca="1"/>
        <v>788</v>
      </c>
      <c r="AC2">
        <f ca="1"/>
        <v>819</v>
      </c>
      <c r="AD2">
        <f ca="1"/>
        <v>848</v>
      </c>
      <c r="AE2">
        <f ca="1"/>
        <v>880</v>
      </c>
      <c r="AF2">
        <f ca="1"/>
        <v>911</v>
      </c>
      <c r="AG2">
        <f ca="1"/>
        <v>939</v>
      </c>
      <c r="AH2">
        <f ca="1"/>
        <v>972</v>
      </c>
      <c r="AI2">
        <f ca="1"/>
        <v>1002</v>
      </c>
      <c r="AJ2">
        <f ca="1"/>
        <v>1033</v>
      </c>
      <c r="AK2">
        <f ca="1"/>
        <v>1064</v>
      </c>
      <c r="AL2">
        <f ca="1"/>
        <v>1092</v>
      </c>
    </row>
    <row r="3" spans="1:38" x14ac:dyDescent="0.25">
      <c r="A3" t="s">
        <v>45</v>
      </c>
      <c r="B3" cm="1">
        <f t="array" ref="B3:B25">_xlfn._xlws.SORT(Unique!A2:A24)</f>
        <v>5</v>
      </c>
      <c r="C3" s="7" cm="1">
        <f t="array" aca="1" ref="C3" ca="1">_xlfn.IFNA(INDEX(jkm_call_put!$M:$M,MATCH($B3&amp;C$2&amp;$A$1,jkm_call_put!$G:$G&amp;jkm_call_put!$O:$O&amp;jkm_call_put!$F:$F,0),1),"")</f>
        <v>0</v>
      </c>
      <c r="D3" s="7" cm="1">
        <f t="array" aca="1" ref="D3" ca="1">_xlfn.IFNA(INDEX(jkm_call_put!$M:$M,MATCH($B3&amp;D$2&amp;$A$1,jkm_call_put!$G:$G&amp;jkm_call_put!$O:$O&amp;jkm_call_put!$F:$F,0),1),"")</f>
        <v>0</v>
      </c>
      <c r="E3" s="7" cm="1">
        <f t="array" aca="1" ref="E3" ca="1">_xlfn.IFNA(INDEX(jkm_call_put!$M:$M,MATCH($B3&amp;E$2&amp;$A$1,jkm_call_put!$G:$G&amp;jkm_call_put!$O:$O&amp;jkm_call_put!$F:$F,0),1),"")</f>
        <v>-1.1E-4</v>
      </c>
      <c r="F3" s="7" cm="1">
        <f t="array" aca="1" ref="F3" ca="1">_xlfn.IFNA(INDEX(jkm_call_put!$M:$M,MATCH($B3&amp;F$2&amp;$A$1,jkm_call_put!$G:$G&amp;jkm_call_put!$O:$O&amp;jkm_call_put!$F:$F,0),1),"")</f>
        <v>-9.3000000000000005E-4</v>
      </c>
      <c r="G3" s="7" cm="1">
        <f t="array" aca="1" ref="G3" ca="1">_xlfn.IFNA(INDEX(jkm_call_put!$M:$M,MATCH($B3&amp;G$2&amp;$A$1,jkm_call_put!$G:$G&amp;jkm_call_put!$O:$O&amp;jkm_call_put!$F:$F,0),1),"")</f>
        <v>-2.9399999999999999E-3</v>
      </c>
      <c r="H3" s="7" cm="1">
        <f t="array" aca="1" ref="H3" ca="1">_xlfn.IFNA(INDEX(jkm_call_put!$M:$M,MATCH($B3&amp;H$2&amp;$A$1,jkm_call_put!$G:$G&amp;jkm_call_put!$O:$O&amp;jkm_call_put!$F:$F,0),1),"")</f>
        <v>-1.08E-3</v>
      </c>
      <c r="I3" s="7" cm="1">
        <f t="array" aca="1" ref="I3" ca="1">_xlfn.IFNA(INDEX(jkm_call_put!$M:$M,MATCH($B3&amp;I$2&amp;$A$1,jkm_call_put!$G:$G&amp;jkm_call_put!$O:$O&amp;jkm_call_put!$F:$F,0),1),"")</f>
        <v>-2.2300000000000002E-3</v>
      </c>
      <c r="J3" s="7" cm="1">
        <f t="array" aca="1" ref="J3" ca="1">_xlfn.IFNA(INDEX(jkm_call_put!$M:$M,MATCH($B3&amp;J$2&amp;$A$1,jkm_call_put!$G:$G&amp;jkm_call_put!$O:$O&amp;jkm_call_put!$F:$F,0),1),"")</f>
        <v>-3.48E-3</v>
      </c>
      <c r="K3" s="7" cm="1">
        <f t="array" aca="1" ref="K3" ca="1">_xlfn.IFNA(INDEX(jkm_call_put!$M:$M,MATCH($B3&amp;K$2&amp;$A$1,jkm_call_put!$G:$G&amp;jkm_call_put!$O:$O&amp;jkm_call_put!$F:$F,0),1),"")</f>
        <v>-5.3400000000000001E-3</v>
      </c>
      <c r="L3" s="7" cm="1">
        <f t="array" aca="1" ref="L3" ca="1">_xlfn.IFNA(INDEX(jkm_call_put!$M:$M,MATCH($B3&amp;L$2&amp;$A$1,jkm_call_put!$G:$G&amp;jkm_call_put!$O:$O&amp;jkm_call_put!$F:$F,0),1),"")</f>
        <v>-8.0099999999999998E-3</v>
      </c>
      <c r="M3" s="7" cm="1">
        <f t="array" aca="1" ref="M3" ca="1">_xlfn.IFNA(INDEX(jkm_call_put!$M:$M,MATCH($B3&amp;M$2&amp;$A$1,jkm_call_put!$G:$G&amp;jkm_call_put!$O:$O&amp;jkm_call_put!$F:$F,0),1),"")</f>
        <v>-1.452E-2</v>
      </c>
      <c r="N3" s="7" cm="1">
        <f t="array" aca="1" ref="N3" ca="1">_xlfn.IFNA(INDEX(jkm_call_put!$M:$M,MATCH($B3&amp;N$2&amp;$A$1,jkm_call_put!$G:$G&amp;jkm_call_put!$O:$O&amp;jkm_call_put!$F:$F,0),1),"")</f>
        <v>-8.8900000000000003E-3</v>
      </c>
      <c r="O3" s="7" cm="1">
        <f t="array" aca="1" ref="O3" ca="1">_xlfn.IFNA(INDEX(jkm_call_put!$M:$M,MATCH($B3&amp;O$2&amp;$A$1,jkm_call_put!$G:$G&amp;jkm_call_put!$O:$O&amp;jkm_call_put!$F:$F,0),1),"")</f>
        <v>-1.6080000000000001E-2</v>
      </c>
      <c r="P3" s="7" cm="1">
        <f t="array" aca="1" ref="P3" ca="1">_xlfn.IFNA(INDEX(jkm_call_put!$M:$M,MATCH($B3&amp;P$2&amp;$A$1,jkm_call_put!$G:$G&amp;jkm_call_put!$O:$O&amp;jkm_call_put!$F:$F,0),1),"")</f>
        <v>-2.1350000000000001E-2</v>
      </c>
      <c r="Q3" s="7" cm="1">
        <f t="array" aca="1" ref="Q3" ca="1">_xlfn.IFNA(INDEX(jkm_call_put!$M:$M,MATCH($B3&amp;Q$2&amp;$A$1,jkm_call_put!$G:$G&amp;jkm_call_put!$O:$O&amp;jkm_call_put!$F:$F,0),1),"")</f>
        <v>-2.436E-2</v>
      </c>
      <c r="R3" s="7" cm="1">
        <f t="array" aca="1" ref="R3" ca="1">_xlfn.IFNA(INDEX(jkm_call_put!$M:$M,MATCH($B3&amp;R$2&amp;$A$1,jkm_call_put!$G:$G&amp;jkm_call_put!$O:$O&amp;jkm_call_put!$F:$F,0),1),"")</f>
        <v>-2.5520000000000001E-2</v>
      </c>
      <c r="S3" s="7" cm="1">
        <f t="array" aca="1" ref="S3" ca="1">_xlfn.IFNA(INDEX(jkm_call_put!$M:$M,MATCH($B3&amp;S$2&amp;$A$1,jkm_call_put!$G:$G&amp;jkm_call_put!$O:$O&amp;jkm_call_put!$F:$F,0),1),"")</f>
        <v>-3.04E-2</v>
      </c>
      <c r="T3" s="7" cm="1">
        <f t="array" aca="1" ref="T3" ca="1">_xlfn.IFNA(INDEX(jkm_call_put!$M:$M,MATCH($B3&amp;T$2&amp;$A$1,jkm_call_put!$G:$G&amp;jkm_call_put!$O:$O&amp;jkm_call_put!$F:$F,0),1),"")</f>
        <v>-1.1089999999999999E-2</v>
      </c>
      <c r="U3" s="7" cm="1">
        <f t="array" aca="1" ref="U3" ca="1">_xlfn.IFNA(INDEX(jkm_call_put!$M:$M,MATCH($B3&amp;U$2&amp;$A$1,jkm_call_put!$G:$G&amp;jkm_call_put!$O:$O&amp;jkm_call_put!$F:$F,0),1),"")</f>
        <v>-1.179E-2</v>
      </c>
      <c r="V3" s="7" cm="1">
        <f t="array" aca="1" ref="V3" ca="1">_xlfn.IFNA(INDEX(jkm_call_put!$M:$M,MATCH($B3&amp;V$2&amp;$A$1,jkm_call_put!$G:$G&amp;jkm_call_put!$O:$O&amp;jkm_call_put!$F:$F,0),1),"")</f>
        <v>-1.1220000000000001E-2</v>
      </c>
      <c r="W3" s="7" cm="1">
        <f t="array" aca="1" ref="W3" ca="1">_xlfn.IFNA(INDEX(jkm_call_put!$M:$M,MATCH($B3&amp;W$2&amp;$A$1,jkm_call_put!$G:$G&amp;jkm_call_put!$O:$O&amp;jkm_call_put!$F:$F,0),1),"")</f>
        <v>-1.439E-2</v>
      </c>
      <c r="X3" s="7" cm="1">
        <f t="array" aca="1" ref="X3" ca="1">_xlfn.IFNA(INDEX(jkm_call_put!$M:$M,MATCH($B3&amp;X$2&amp;$A$1,jkm_call_put!$G:$G&amp;jkm_call_put!$O:$O&amp;jkm_call_put!$F:$F,0),1),"")</f>
        <v>-1.5900000000000001E-2</v>
      </c>
      <c r="Y3" s="7" cm="1">
        <f t="array" aca="1" ref="Y3" ca="1">_xlfn.IFNA(INDEX(jkm_call_put!$M:$M,MATCH($B3&amp;Y$2&amp;$A$1,jkm_call_put!$G:$G&amp;jkm_call_put!$O:$O&amp;jkm_call_put!$F:$F,0),1),"")</f>
        <v>-2.1510000000000001E-2</v>
      </c>
      <c r="Z3" s="7" cm="1">
        <f t="array" aca="1" ref="Z3" ca="1">_xlfn.IFNA(INDEX(jkm_call_put!$M:$M,MATCH($B3&amp;Z$2&amp;$A$1,jkm_call_put!$G:$G&amp;jkm_call_put!$O:$O&amp;jkm_call_put!$F:$F,0),1),"")</f>
        <v>-4.8689999999999997E-2</v>
      </c>
      <c r="AA3" s="7" cm="1">
        <f t="array" aca="1" ref="AA3" ca="1">_xlfn.IFNA(INDEX(jkm_call_put!$M:$M,MATCH($B3&amp;AA$2&amp;$A$1,jkm_call_put!$G:$G&amp;jkm_call_put!$O:$O&amp;jkm_call_put!$F:$F,0),1),"")</f>
        <v>-5.8799999999999998E-2</v>
      </c>
      <c r="AB3" s="7" cm="1">
        <f t="array" aca="1" ref="AB3" ca="1">_xlfn.IFNA(INDEX(jkm_call_put!$M:$M,MATCH($B3&amp;AB$2&amp;$A$1,jkm_call_put!$G:$G&amp;jkm_call_put!$O:$O&amp;jkm_call_put!$F:$F,0),1),"")</f>
        <v>-6.4320000000000002E-2</v>
      </c>
      <c r="AC3" s="7" cm="1">
        <f t="array" aca="1" ref="AC3" ca="1">_xlfn.IFNA(INDEX(jkm_call_put!$M:$M,MATCH($B3&amp;AC$2&amp;$A$1,jkm_call_put!$G:$G&amp;jkm_call_put!$O:$O&amp;jkm_call_put!$F:$F,0),1),"")</f>
        <v>-6.5920000000000006E-2</v>
      </c>
      <c r="AD3" s="7" cm="1">
        <f t="array" aca="1" ref="AD3" ca="1">_xlfn.IFNA(INDEX(jkm_call_put!$M:$M,MATCH($B3&amp;AD$2&amp;$A$1,jkm_call_put!$G:$G&amp;jkm_call_put!$O:$O&amp;jkm_call_put!$F:$F,0),1),"")</f>
        <v>-6.83E-2</v>
      </c>
      <c r="AE3" s="7" cm="1">
        <f t="array" aca="1" ref="AE3" ca="1">_xlfn.IFNA(INDEX(jkm_call_put!$M:$M,MATCH($B3&amp;AE$2&amp;$A$1,jkm_call_put!$G:$G&amp;jkm_call_put!$O:$O&amp;jkm_call_put!$F:$F,0),1),"")</f>
        <v>-6.8970000000000004E-2</v>
      </c>
      <c r="AF3" s="7" cm="1">
        <f t="array" aca="1" ref="AF3" ca="1">_xlfn.IFNA(INDEX(jkm_call_put!$M:$M,MATCH($B3&amp;AF$2&amp;$A$1,jkm_call_put!$G:$G&amp;jkm_call_put!$O:$O&amp;jkm_call_put!$F:$F,0),1),"")</f>
        <v>-8.8919999999999999E-2</v>
      </c>
      <c r="AG3" s="7" cm="1">
        <f t="array" aca="1" ref="AG3" ca="1">_xlfn.IFNA(INDEX(jkm_call_put!$M:$M,MATCH($B3&amp;AG$2&amp;$A$1,jkm_call_put!$G:$G&amp;jkm_call_put!$O:$O&amp;jkm_call_put!$F:$F,0),1),"")</f>
        <v>-8.6209999999999995E-2</v>
      </c>
      <c r="AH3" s="7" cm="1">
        <f t="array" aca="1" ref="AH3" ca="1">_xlfn.IFNA(INDEX(jkm_call_put!$M:$M,MATCH($B3&amp;AH$2&amp;$A$1,jkm_call_put!$G:$G&amp;jkm_call_put!$O:$O&amp;jkm_call_put!$F:$F,0),1),"")</f>
        <v>-8.48E-2</v>
      </c>
      <c r="AI3" s="7" cm="1">
        <f t="array" aca="1" ref="AI3" ca="1">_xlfn.IFNA(INDEX(jkm_call_put!$M:$M,MATCH($B3&amp;AI$2&amp;$A$1,jkm_call_put!$G:$G&amp;jkm_call_put!$O:$O&amp;jkm_call_put!$F:$F,0),1),"")</f>
        <v>-8.3669999999999994E-2</v>
      </c>
      <c r="AJ3" s="7" cm="1">
        <f t="array" aca="1" ref="AJ3" ca="1">_xlfn.IFNA(INDEX(jkm_call_put!$M:$M,MATCH($B3&amp;AJ$2&amp;$A$1,jkm_call_put!$G:$G&amp;jkm_call_put!$O:$O&amp;jkm_call_put!$F:$F,0),1),"")</f>
        <v>-8.4599999999999995E-2</v>
      </c>
      <c r="AK3" s="7" cm="1">
        <f t="array" aca="1" ref="AK3" ca="1">_xlfn.IFNA(INDEX(jkm_call_put!$M:$M,MATCH($B3&amp;AK$2&amp;$A$1,jkm_call_put!$G:$G&amp;jkm_call_put!$O:$O&amp;jkm_call_put!$F:$F,0),1),"")</f>
        <v>-8.8200000000000001E-2</v>
      </c>
      <c r="AL3" s="7" cm="1">
        <f t="array" aca="1" ref="AL3" ca="1">_xlfn.IFNA(INDEX(jkm_call_put!$M:$M,MATCH($B3&amp;AL$2&amp;$A$1,jkm_call_put!$G:$G&amp;jkm_call_put!$O:$O&amp;jkm_call_put!$F:$F,0),1),"")</f>
        <v>-0.12198000000000001</v>
      </c>
    </row>
    <row r="4" spans="1:38" x14ac:dyDescent="0.25">
      <c r="B4">
        <v>6</v>
      </c>
      <c r="C4" s="7" t="str" cm="1">
        <f t="array" aca="1" ref="C4" ca="1">_xlfn.IFNA(INDEX(jkm_call_put!$M:$M,MATCH($B4&amp;C$2&amp;$A$1,jkm_call_put!$G:$G&amp;jkm_call_put!$O:$O&amp;jkm_call_put!$F:$F,0),1),"")</f>
        <v/>
      </c>
      <c r="D4" s="7" t="str" cm="1">
        <f t="array" aca="1" ref="D4" ca="1">_xlfn.IFNA(INDEX(jkm_call_put!$M:$M,MATCH($B4&amp;D$2&amp;$A$1,jkm_call_put!$G:$G&amp;jkm_call_put!$O:$O&amp;jkm_call_put!$F:$F,0),1),"")</f>
        <v/>
      </c>
      <c r="E4" s="7" t="str" cm="1">
        <f t="array" aca="1" ref="E4" ca="1">_xlfn.IFNA(INDEX(jkm_call_put!$M:$M,MATCH($B4&amp;E$2&amp;$A$1,jkm_call_put!$G:$G&amp;jkm_call_put!$O:$O&amp;jkm_call_put!$F:$F,0),1),"")</f>
        <v/>
      </c>
      <c r="F4" s="7" t="str" cm="1">
        <f t="array" aca="1" ref="F4" ca="1">_xlfn.IFNA(INDEX(jkm_call_put!$M:$M,MATCH($B4&amp;F$2&amp;$A$1,jkm_call_put!$G:$G&amp;jkm_call_put!$O:$O&amp;jkm_call_put!$F:$F,0),1),"")</f>
        <v/>
      </c>
      <c r="G4" s="7" t="str" cm="1">
        <f t="array" aca="1" ref="G4" ca="1">_xlfn.IFNA(INDEX(jkm_call_put!$M:$M,MATCH($B4&amp;G$2&amp;$A$1,jkm_call_put!$G:$G&amp;jkm_call_put!$O:$O&amp;jkm_call_put!$F:$F,0),1),"")</f>
        <v/>
      </c>
      <c r="H4" s="7" t="str" cm="1">
        <f t="array" aca="1" ref="H4" ca="1">_xlfn.IFNA(INDEX(jkm_call_put!$M:$M,MATCH($B4&amp;H$2&amp;$A$1,jkm_call_put!$G:$G&amp;jkm_call_put!$O:$O&amp;jkm_call_put!$F:$F,0),1),"")</f>
        <v/>
      </c>
      <c r="I4" s="7" t="str" cm="1">
        <f t="array" aca="1" ref="I4" ca="1">_xlfn.IFNA(INDEX(jkm_call_put!$M:$M,MATCH($B4&amp;I$2&amp;$A$1,jkm_call_put!$G:$G&amp;jkm_call_put!$O:$O&amp;jkm_call_put!$F:$F,0),1),"")</f>
        <v/>
      </c>
      <c r="J4" s="7" t="str" cm="1">
        <f t="array" aca="1" ref="J4" ca="1">_xlfn.IFNA(INDEX(jkm_call_put!$M:$M,MATCH($B4&amp;J$2&amp;$A$1,jkm_call_put!$G:$G&amp;jkm_call_put!$O:$O&amp;jkm_call_put!$F:$F,0),1),"")</f>
        <v/>
      </c>
      <c r="K4" s="7" cm="1">
        <f t="array" aca="1" ref="K4" ca="1">_xlfn.IFNA(INDEX(jkm_call_put!$M:$M,MATCH($B4&amp;K$2&amp;$A$1,jkm_call_put!$G:$G&amp;jkm_call_put!$O:$O&amp;jkm_call_put!$F:$F,0),1),"")</f>
        <v>-1.332E-2</v>
      </c>
      <c r="L4" s="7" t="str" cm="1">
        <f t="array" aca="1" ref="L4" ca="1">_xlfn.IFNA(INDEX(jkm_call_put!$M:$M,MATCH($B4&amp;L$2&amp;$A$1,jkm_call_put!$G:$G&amp;jkm_call_put!$O:$O&amp;jkm_call_put!$F:$F,0),1),"")</f>
        <v/>
      </c>
      <c r="M4" s="7" t="str" cm="1">
        <f t="array" aca="1" ref="M4" ca="1">_xlfn.IFNA(INDEX(jkm_call_put!$M:$M,MATCH($B4&amp;M$2&amp;$A$1,jkm_call_put!$G:$G&amp;jkm_call_put!$O:$O&amp;jkm_call_put!$F:$F,0),1),"")</f>
        <v/>
      </c>
      <c r="N4" s="7" t="str" cm="1">
        <f t="array" aca="1" ref="N4" ca="1">_xlfn.IFNA(INDEX(jkm_call_put!$M:$M,MATCH($B4&amp;N$2&amp;$A$1,jkm_call_put!$G:$G&amp;jkm_call_put!$O:$O&amp;jkm_call_put!$F:$F,0),1),"")</f>
        <v/>
      </c>
      <c r="O4" s="7" t="str" cm="1">
        <f t="array" aca="1" ref="O4" ca="1">_xlfn.IFNA(INDEX(jkm_call_put!$M:$M,MATCH($B4&amp;O$2&amp;$A$1,jkm_call_put!$G:$G&amp;jkm_call_put!$O:$O&amp;jkm_call_put!$F:$F,0),1),"")</f>
        <v/>
      </c>
      <c r="P4" s="7" t="str" cm="1">
        <f t="array" aca="1" ref="P4" ca="1">_xlfn.IFNA(INDEX(jkm_call_put!$M:$M,MATCH($B4&amp;P$2&amp;$A$1,jkm_call_put!$G:$G&amp;jkm_call_put!$O:$O&amp;jkm_call_put!$F:$F,0),1),"")</f>
        <v/>
      </c>
      <c r="Q4" s="7" t="str" cm="1">
        <f t="array" aca="1" ref="Q4" ca="1">_xlfn.IFNA(INDEX(jkm_call_put!$M:$M,MATCH($B4&amp;Q$2&amp;$A$1,jkm_call_put!$G:$G&amp;jkm_call_put!$O:$O&amp;jkm_call_put!$F:$F,0),1),"")</f>
        <v/>
      </c>
      <c r="R4" s="7" t="str" cm="1">
        <f t="array" aca="1" ref="R4" ca="1">_xlfn.IFNA(INDEX(jkm_call_put!$M:$M,MATCH($B4&amp;R$2&amp;$A$1,jkm_call_put!$G:$G&amp;jkm_call_put!$O:$O&amp;jkm_call_put!$F:$F,0),1),"")</f>
        <v/>
      </c>
      <c r="S4" s="7" t="str" cm="1">
        <f t="array" aca="1" ref="S4" ca="1">_xlfn.IFNA(INDEX(jkm_call_put!$M:$M,MATCH($B4&amp;S$2&amp;$A$1,jkm_call_put!$G:$G&amp;jkm_call_put!$O:$O&amp;jkm_call_put!$F:$F,0),1),"")</f>
        <v/>
      </c>
      <c r="T4" s="7" t="str" cm="1">
        <f t="array" aca="1" ref="T4" ca="1">_xlfn.IFNA(INDEX(jkm_call_put!$M:$M,MATCH($B4&amp;T$2&amp;$A$1,jkm_call_put!$G:$G&amp;jkm_call_put!$O:$O&amp;jkm_call_put!$F:$F,0),1),"")</f>
        <v/>
      </c>
      <c r="U4" s="7" t="str" cm="1">
        <f t="array" aca="1" ref="U4" ca="1">_xlfn.IFNA(INDEX(jkm_call_put!$M:$M,MATCH($B4&amp;U$2&amp;$A$1,jkm_call_put!$G:$G&amp;jkm_call_put!$O:$O&amp;jkm_call_put!$F:$F,0),1),"")</f>
        <v/>
      </c>
      <c r="V4" s="7" t="str" cm="1">
        <f t="array" aca="1" ref="V4" ca="1">_xlfn.IFNA(INDEX(jkm_call_put!$M:$M,MATCH($B4&amp;V$2&amp;$A$1,jkm_call_put!$G:$G&amp;jkm_call_put!$O:$O&amp;jkm_call_put!$F:$F,0),1),"")</f>
        <v/>
      </c>
      <c r="W4" s="7" t="str" cm="1">
        <f t="array" aca="1" ref="W4" ca="1">_xlfn.IFNA(INDEX(jkm_call_put!$M:$M,MATCH($B4&amp;W$2&amp;$A$1,jkm_call_put!$G:$G&amp;jkm_call_put!$O:$O&amp;jkm_call_put!$F:$F,0),1),"")</f>
        <v/>
      </c>
      <c r="X4" s="7" t="str" cm="1">
        <f t="array" aca="1" ref="X4" ca="1">_xlfn.IFNA(INDEX(jkm_call_put!$M:$M,MATCH($B4&amp;X$2&amp;$A$1,jkm_call_put!$G:$G&amp;jkm_call_put!$O:$O&amp;jkm_call_put!$F:$F,0),1),"")</f>
        <v/>
      </c>
      <c r="Y4" s="7" t="str" cm="1">
        <f t="array" aca="1" ref="Y4" ca="1">_xlfn.IFNA(INDEX(jkm_call_put!$M:$M,MATCH($B4&amp;Y$2&amp;$A$1,jkm_call_put!$G:$G&amp;jkm_call_put!$O:$O&amp;jkm_call_put!$F:$F,0),1),"")</f>
        <v/>
      </c>
      <c r="Z4" s="7" t="str" cm="1">
        <f t="array" aca="1" ref="Z4" ca="1">_xlfn.IFNA(INDEX(jkm_call_put!$M:$M,MATCH($B4&amp;Z$2&amp;$A$1,jkm_call_put!$G:$G&amp;jkm_call_put!$O:$O&amp;jkm_call_put!$F:$F,0),1),"")</f>
        <v/>
      </c>
      <c r="AA4" s="7" t="str" cm="1">
        <f t="array" aca="1" ref="AA4" ca="1">_xlfn.IFNA(INDEX(jkm_call_put!$M:$M,MATCH($B4&amp;AA$2&amp;$A$1,jkm_call_put!$G:$G&amp;jkm_call_put!$O:$O&amp;jkm_call_put!$F:$F,0),1),"")</f>
        <v/>
      </c>
      <c r="AB4" s="7" t="str" cm="1">
        <f t="array" aca="1" ref="AB4" ca="1">_xlfn.IFNA(INDEX(jkm_call_put!$M:$M,MATCH($B4&amp;AB$2&amp;$A$1,jkm_call_put!$G:$G&amp;jkm_call_put!$O:$O&amp;jkm_call_put!$F:$F,0),1),"")</f>
        <v/>
      </c>
      <c r="AC4" s="7" t="str" cm="1">
        <f t="array" aca="1" ref="AC4" ca="1">_xlfn.IFNA(INDEX(jkm_call_put!$M:$M,MATCH($B4&amp;AC$2&amp;$A$1,jkm_call_put!$G:$G&amp;jkm_call_put!$O:$O&amp;jkm_call_put!$F:$F,0),1),"")</f>
        <v/>
      </c>
      <c r="AD4" s="7" t="str" cm="1">
        <f t="array" aca="1" ref="AD4" ca="1">_xlfn.IFNA(INDEX(jkm_call_put!$M:$M,MATCH($B4&amp;AD$2&amp;$A$1,jkm_call_put!$G:$G&amp;jkm_call_put!$O:$O&amp;jkm_call_put!$F:$F,0),1),"")</f>
        <v/>
      </c>
      <c r="AE4" s="7" t="str" cm="1">
        <f t="array" aca="1" ref="AE4" ca="1">_xlfn.IFNA(INDEX(jkm_call_put!$M:$M,MATCH($B4&amp;AE$2&amp;$A$1,jkm_call_put!$G:$G&amp;jkm_call_put!$O:$O&amp;jkm_call_put!$F:$F,0),1),"")</f>
        <v/>
      </c>
      <c r="AF4" s="7" t="str" cm="1">
        <f t="array" aca="1" ref="AF4" ca="1">_xlfn.IFNA(INDEX(jkm_call_put!$M:$M,MATCH($B4&amp;AF$2&amp;$A$1,jkm_call_put!$G:$G&amp;jkm_call_put!$O:$O&amp;jkm_call_put!$F:$F,0),1),"")</f>
        <v/>
      </c>
      <c r="AG4" s="7" t="str" cm="1">
        <f t="array" aca="1" ref="AG4" ca="1">_xlfn.IFNA(INDEX(jkm_call_put!$M:$M,MATCH($B4&amp;AG$2&amp;$A$1,jkm_call_put!$G:$G&amp;jkm_call_put!$O:$O&amp;jkm_call_put!$F:$F,0),1),"")</f>
        <v/>
      </c>
      <c r="AH4" s="7" t="str" cm="1">
        <f t="array" aca="1" ref="AH4" ca="1">_xlfn.IFNA(INDEX(jkm_call_put!$M:$M,MATCH($B4&amp;AH$2&amp;$A$1,jkm_call_put!$G:$G&amp;jkm_call_put!$O:$O&amp;jkm_call_put!$F:$F,0),1),"")</f>
        <v/>
      </c>
      <c r="AI4" s="7" t="str" cm="1">
        <f t="array" aca="1" ref="AI4" ca="1">_xlfn.IFNA(INDEX(jkm_call_put!$M:$M,MATCH($B4&amp;AI$2&amp;$A$1,jkm_call_put!$G:$G&amp;jkm_call_put!$O:$O&amp;jkm_call_put!$F:$F,0),1),"")</f>
        <v/>
      </c>
      <c r="AJ4" s="7" t="str" cm="1">
        <f t="array" aca="1" ref="AJ4" ca="1">_xlfn.IFNA(INDEX(jkm_call_put!$M:$M,MATCH($B4&amp;AJ$2&amp;$A$1,jkm_call_put!$G:$G&amp;jkm_call_put!$O:$O&amp;jkm_call_put!$F:$F,0),1),"")</f>
        <v/>
      </c>
      <c r="AK4" s="7" t="str" cm="1">
        <f t="array" aca="1" ref="AK4" ca="1">_xlfn.IFNA(INDEX(jkm_call_put!$M:$M,MATCH($B4&amp;AK$2&amp;$A$1,jkm_call_put!$G:$G&amp;jkm_call_put!$O:$O&amp;jkm_call_put!$F:$F,0),1),"")</f>
        <v/>
      </c>
      <c r="AL4" s="7" t="str" cm="1">
        <f t="array" aca="1" ref="AL4" ca="1">_xlfn.IFNA(INDEX(jkm_call_put!$M:$M,MATCH($B4&amp;AL$2&amp;$A$1,jkm_call_put!$G:$G&amp;jkm_call_put!$O:$O&amp;jkm_call_put!$F:$F,0),1),"")</f>
        <v/>
      </c>
    </row>
    <row r="5" spans="1:38" x14ac:dyDescent="0.25">
      <c r="B5">
        <v>7</v>
      </c>
      <c r="C5" s="7" t="str" cm="1">
        <f t="array" aca="1" ref="C5" ca="1">_xlfn.IFNA(INDEX(jkm_call_put!$M:$M,MATCH($B5&amp;C$2&amp;$A$1,jkm_call_put!$G:$G&amp;jkm_call_put!$O:$O&amp;jkm_call_put!$F:$F,0),1),"")</f>
        <v/>
      </c>
      <c r="D5" s="7" t="str" cm="1">
        <f t="array" aca="1" ref="D5" ca="1">_xlfn.IFNA(INDEX(jkm_call_put!$M:$M,MATCH($B5&amp;D$2&amp;$A$1,jkm_call_put!$G:$G&amp;jkm_call_put!$O:$O&amp;jkm_call_put!$F:$F,0),1),"")</f>
        <v/>
      </c>
      <c r="E5" s="7" t="str" cm="1">
        <f t="array" aca="1" ref="E5" ca="1">_xlfn.IFNA(INDEX(jkm_call_put!$M:$M,MATCH($B5&amp;E$2&amp;$A$1,jkm_call_put!$G:$G&amp;jkm_call_put!$O:$O&amp;jkm_call_put!$F:$F,0),1),"")</f>
        <v/>
      </c>
      <c r="F5" s="7" t="str" cm="1">
        <f t="array" aca="1" ref="F5" ca="1">_xlfn.IFNA(INDEX(jkm_call_put!$M:$M,MATCH($B5&amp;F$2&amp;$A$1,jkm_call_put!$G:$G&amp;jkm_call_put!$O:$O&amp;jkm_call_put!$F:$F,0),1),"")</f>
        <v/>
      </c>
      <c r="G5" s="7" t="str" cm="1">
        <f t="array" aca="1" ref="G5" ca="1">_xlfn.IFNA(INDEX(jkm_call_put!$M:$M,MATCH($B5&amp;G$2&amp;$A$1,jkm_call_put!$G:$G&amp;jkm_call_put!$O:$O&amp;jkm_call_put!$F:$F,0),1),"")</f>
        <v/>
      </c>
      <c r="H5" s="7" t="str" cm="1">
        <f t="array" aca="1" ref="H5" ca="1">_xlfn.IFNA(INDEX(jkm_call_put!$M:$M,MATCH($B5&amp;H$2&amp;$A$1,jkm_call_put!$G:$G&amp;jkm_call_put!$O:$O&amp;jkm_call_put!$F:$F,0),1),"")</f>
        <v/>
      </c>
      <c r="I5" s="7" t="str" cm="1">
        <f t="array" aca="1" ref="I5" ca="1">_xlfn.IFNA(INDEX(jkm_call_put!$M:$M,MATCH($B5&amp;I$2&amp;$A$1,jkm_call_put!$G:$G&amp;jkm_call_put!$O:$O&amp;jkm_call_put!$F:$F,0),1),"")</f>
        <v/>
      </c>
      <c r="J5" s="7" t="str" cm="1">
        <f t="array" aca="1" ref="J5" ca="1">_xlfn.IFNA(INDEX(jkm_call_put!$M:$M,MATCH($B5&amp;J$2&amp;$A$1,jkm_call_put!$G:$G&amp;jkm_call_put!$O:$O&amp;jkm_call_put!$F:$F,0),1),"")</f>
        <v/>
      </c>
      <c r="K5" s="7" cm="1">
        <f t="array" aca="1" ref="K5" ca="1">_xlfn.IFNA(INDEX(jkm_call_put!$M:$M,MATCH($B5&amp;K$2&amp;$A$1,jkm_call_put!$G:$G&amp;jkm_call_put!$O:$O&amp;jkm_call_put!$F:$F,0),1),"")</f>
        <v>-2.666E-2</v>
      </c>
      <c r="L5" s="7" t="str" cm="1">
        <f t="array" aca="1" ref="L5" ca="1">_xlfn.IFNA(INDEX(jkm_call_put!$M:$M,MATCH($B5&amp;L$2&amp;$A$1,jkm_call_put!$G:$G&amp;jkm_call_put!$O:$O&amp;jkm_call_put!$F:$F,0),1),"")</f>
        <v/>
      </c>
      <c r="M5" s="7" t="str" cm="1">
        <f t="array" aca="1" ref="M5" ca="1">_xlfn.IFNA(INDEX(jkm_call_put!$M:$M,MATCH($B5&amp;M$2&amp;$A$1,jkm_call_put!$G:$G&amp;jkm_call_put!$O:$O&amp;jkm_call_put!$F:$F,0),1),"")</f>
        <v/>
      </c>
      <c r="N5" s="7" t="str" cm="1">
        <f t="array" aca="1" ref="N5" ca="1">_xlfn.IFNA(INDEX(jkm_call_put!$M:$M,MATCH($B5&amp;N$2&amp;$A$1,jkm_call_put!$G:$G&amp;jkm_call_put!$O:$O&amp;jkm_call_put!$F:$F,0),1),"")</f>
        <v/>
      </c>
      <c r="O5" s="7" t="str" cm="1">
        <f t="array" aca="1" ref="O5" ca="1">_xlfn.IFNA(INDEX(jkm_call_put!$M:$M,MATCH($B5&amp;O$2&amp;$A$1,jkm_call_put!$G:$G&amp;jkm_call_put!$O:$O&amp;jkm_call_put!$F:$F,0),1),"")</f>
        <v/>
      </c>
      <c r="P5" s="7" t="str" cm="1">
        <f t="array" aca="1" ref="P5" ca="1">_xlfn.IFNA(INDEX(jkm_call_put!$M:$M,MATCH($B5&amp;P$2&amp;$A$1,jkm_call_put!$G:$G&amp;jkm_call_put!$O:$O&amp;jkm_call_put!$F:$F,0),1),"")</f>
        <v/>
      </c>
      <c r="Q5" s="7" t="str" cm="1">
        <f t="array" aca="1" ref="Q5" ca="1">_xlfn.IFNA(INDEX(jkm_call_put!$M:$M,MATCH($B5&amp;Q$2&amp;$A$1,jkm_call_put!$G:$G&amp;jkm_call_put!$O:$O&amp;jkm_call_put!$F:$F,0),1),"")</f>
        <v/>
      </c>
      <c r="R5" s="7" t="str" cm="1">
        <f t="array" aca="1" ref="R5" ca="1">_xlfn.IFNA(INDEX(jkm_call_put!$M:$M,MATCH($B5&amp;R$2&amp;$A$1,jkm_call_put!$G:$G&amp;jkm_call_put!$O:$O&amp;jkm_call_put!$F:$F,0),1),"")</f>
        <v/>
      </c>
      <c r="S5" s="7" t="str" cm="1">
        <f t="array" aca="1" ref="S5" ca="1">_xlfn.IFNA(INDEX(jkm_call_put!$M:$M,MATCH($B5&amp;S$2&amp;$A$1,jkm_call_put!$G:$G&amp;jkm_call_put!$O:$O&amp;jkm_call_put!$F:$F,0),1),"")</f>
        <v/>
      </c>
      <c r="T5" s="7" t="str" cm="1">
        <f t="array" aca="1" ref="T5" ca="1">_xlfn.IFNA(INDEX(jkm_call_put!$M:$M,MATCH($B5&amp;T$2&amp;$A$1,jkm_call_put!$G:$G&amp;jkm_call_put!$O:$O&amp;jkm_call_put!$F:$F,0),1),"")</f>
        <v/>
      </c>
      <c r="U5" s="7" t="str" cm="1">
        <f t="array" aca="1" ref="U5" ca="1">_xlfn.IFNA(INDEX(jkm_call_put!$M:$M,MATCH($B5&amp;U$2&amp;$A$1,jkm_call_put!$G:$G&amp;jkm_call_put!$O:$O&amp;jkm_call_put!$F:$F,0),1),"")</f>
        <v/>
      </c>
      <c r="V5" s="7" t="str" cm="1">
        <f t="array" aca="1" ref="V5" ca="1">_xlfn.IFNA(INDEX(jkm_call_put!$M:$M,MATCH($B5&amp;V$2&amp;$A$1,jkm_call_put!$G:$G&amp;jkm_call_put!$O:$O&amp;jkm_call_put!$F:$F,0),1),"")</f>
        <v/>
      </c>
      <c r="W5" s="7" t="str" cm="1">
        <f t="array" aca="1" ref="W5" ca="1">_xlfn.IFNA(INDEX(jkm_call_put!$M:$M,MATCH($B5&amp;W$2&amp;$A$1,jkm_call_put!$G:$G&amp;jkm_call_put!$O:$O&amp;jkm_call_put!$F:$F,0),1),"")</f>
        <v/>
      </c>
      <c r="X5" s="7" t="str" cm="1">
        <f t="array" aca="1" ref="X5" ca="1">_xlfn.IFNA(INDEX(jkm_call_put!$M:$M,MATCH($B5&amp;X$2&amp;$A$1,jkm_call_put!$G:$G&amp;jkm_call_put!$O:$O&amp;jkm_call_put!$F:$F,0),1),"")</f>
        <v/>
      </c>
      <c r="Y5" s="7" t="str" cm="1">
        <f t="array" aca="1" ref="Y5" ca="1">_xlfn.IFNA(INDEX(jkm_call_put!$M:$M,MATCH($B5&amp;Y$2&amp;$A$1,jkm_call_put!$G:$G&amp;jkm_call_put!$O:$O&amp;jkm_call_put!$F:$F,0),1),"")</f>
        <v/>
      </c>
      <c r="Z5" s="7" cm="1">
        <f t="array" aca="1" ref="Z5" ca="1">_xlfn.IFNA(INDEX(jkm_call_put!$M:$M,MATCH($B5&amp;Z$2&amp;$A$1,jkm_call_put!$G:$G&amp;jkm_call_put!$O:$O&amp;jkm_call_put!$F:$F,0),1),"")</f>
        <v>-0.18909999999999999</v>
      </c>
      <c r="AA5" s="7" cm="1">
        <f t="array" aca="1" ref="AA5" ca="1">_xlfn.IFNA(INDEX(jkm_call_put!$M:$M,MATCH($B5&amp;AA$2&amp;$A$1,jkm_call_put!$G:$G&amp;jkm_call_put!$O:$O&amp;jkm_call_put!$F:$F,0),1),"")</f>
        <v>-0.21085999999999999</v>
      </c>
      <c r="AB5" s="7" cm="1">
        <f t="array" aca="1" ref="AB5" ca="1">_xlfn.IFNA(INDEX(jkm_call_put!$M:$M,MATCH($B5&amp;AB$2&amp;$A$1,jkm_call_put!$G:$G&amp;jkm_call_put!$O:$O&amp;jkm_call_put!$F:$F,0),1),"")</f>
        <v>-0.21981000000000001</v>
      </c>
      <c r="AC5" s="7" cm="1">
        <f t="array" aca="1" ref="AC5" ca="1">_xlfn.IFNA(INDEX(jkm_call_put!$M:$M,MATCH($B5&amp;AC$2&amp;$A$1,jkm_call_put!$G:$G&amp;jkm_call_put!$O:$O&amp;jkm_call_put!$F:$F,0),1),"")</f>
        <v>-0.21922</v>
      </c>
      <c r="AD5" s="7" cm="1">
        <f t="array" aca="1" ref="AD5" ca="1">_xlfn.IFNA(INDEX(jkm_call_put!$M:$M,MATCH($B5&amp;AD$2&amp;$A$1,jkm_call_put!$G:$G&amp;jkm_call_put!$O:$O&amp;jkm_call_put!$F:$F,0),1),"")</f>
        <v>-0.22056000000000001</v>
      </c>
      <c r="AE5" s="7" cm="1">
        <f t="array" aca="1" ref="AE5" ca="1">_xlfn.IFNA(INDEX(jkm_call_put!$M:$M,MATCH($B5&amp;AE$2&amp;$A$1,jkm_call_put!$G:$G&amp;jkm_call_put!$O:$O&amp;jkm_call_put!$F:$F,0),1),"")</f>
        <v>-0.21842</v>
      </c>
      <c r="AF5" s="7" t="str" cm="1">
        <f t="array" aca="1" ref="AF5" ca="1">_xlfn.IFNA(INDEX(jkm_call_put!$M:$M,MATCH($B5&amp;AF$2&amp;$A$1,jkm_call_put!$G:$G&amp;jkm_call_put!$O:$O&amp;jkm_call_put!$F:$F,0),1),"")</f>
        <v/>
      </c>
      <c r="AG5" s="7" t="str" cm="1">
        <f t="array" aca="1" ref="AG5" ca="1">_xlfn.IFNA(INDEX(jkm_call_put!$M:$M,MATCH($B5&amp;AG$2&amp;$A$1,jkm_call_put!$G:$G&amp;jkm_call_put!$O:$O&amp;jkm_call_put!$F:$F,0),1),"")</f>
        <v/>
      </c>
      <c r="AH5" s="7" t="str" cm="1">
        <f t="array" aca="1" ref="AH5" ca="1">_xlfn.IFNA(INDEX(jkm_call_put!$M:$M,MATCH($B5&amp;AH$2&amp;$A$1,jkm_call_put!$G:$G&amp;jkm_call_put!$O:$O&amp;jkm_call_put!$F:$F,0),1),"")</f>
        <v/>
      </c>
      <c r="AI5" s="7" t="str" cm="1">
        <f t="array" aca="1" ref="AI5" ca="1">_xlfn.IFNA(INDEX(jkm_call_put!$M:$M,MATCH($B5&amp;AI$2&amp;$A$1,jkm_call_put!$G:$G&amp;jkm_call_put!$O:$O&amp;jkm_call_put!$F:$F,0),1),"")</f>
        <v/>
      </c>
      <c r="AJ5" s="7" t="str" cm="1">
        <f t="array" aca="1" ref="AJ5" ca="1">_xlfn.IFNA(INDEX(jkm_call_put!$M:$M,MATCH($B5&amp;AJ$2&amp;$A$1,jkm_call_put!$G:$G&amp;jkm_call_put!$O:$O&amp;jkm_call_put!$F:$F,0),1),"")</f>
        <v/>
      </c>
      <c r="AK5" s="7" t="str" cm="1">
        <f t="array" aca="1" ref="AK5" ca="1">_xlfn.IFNA(INDEX(jkm_call_put!$M:$M,MATCH($B5&amp;AK$2&amp;$A$1,jkm_call_put!$G:$G&amp;jkm_call_put!$O:$O&amp;jkm_call_put!$F:$F,0),1),"")</f>
        <v/>
      </c>
      <c r="AL5" s="7" t="str" cm="1">
        <f t="array" aca="1" ref="AL5" ca="1">_xlfn.IFNA(INDEX(jkm_call_put!$M:$M,MATCH($B5&amp;AL$2&amp;$A$1,jkm_call_put!$G:$G&amp;jkm_call_put!$O:$O&amp;jkm_call_put!$F:$F,0),1),"")</f>
        <v/>
      </c>
    </row>
    <row r="6" spans="1:38" x14ac:dyDescent="0.25">
      <c r="B6">
        <v>7.6</v>
      </c>
      <c r="C6" s="7" t="str" cm="1">
        <f t="array" aca="1" ref="C6" ca="1">_xlfn.IFNA(INDEX(jkm_call_put!$M:$M,MATCH($B6&amp;C$2&amp;$A$1,jkm_call_put!$G:$G&amp;jkm_call_put!$O:$O&amp;jkm_call_put!$F:$F,0),1),"")</f>
        <v/>
      </c>
      <c r="D6" s="7" t="str" cm="1">
        <f t="array" aca="1" ref="D6" ca="1">_xlfn.IFNA(INDEX(jkm_call_put!$M:$M,MATCH($B6&amp;D$2&amp;$A$1,jkm_call_put!$G:$G&amp;jkm_call_put!$O:$O&amp;jkm_call_put!$F:$F,0),1),"")</f>
        <v/>
      </c>
      <c r="E6" s="7" t="str" cm="1">
        <f t="array" aca="1" ref="E6" ca="1">_xlfn.IFNA(INDEX(jkm_call_put!$M:$M,MATCH($B6&amp;E$2&amp;$A$1,jkm_call_put!$G:$G&amp;jkm_call_put!$O:$O&amp;jkm_call_put!$F:$F,0),1),"")</f>
        <v/>
      </c>
      <c r="F6" s="7" t="str" cm="1">
        <f t="array" aca="1" ref="F6" ca="1">_xlfn.IFNA(INDEX(jkm_call_put!$M:$M,MATCH($B6&amp;F$2&amp;$A$1,jkm_call_put!$G:$G&amp;jkm_call_put!$O:$O&amp;jkm_call_put!$F:$F,0),1),"")</f>
        <v/>
      </c>
      <c r="G6" s="7" t="str" cm="1">
        <f t="array" aca="1" ref="G6" ca="1">_xlfn.IFNA(INDEX(jkm_call_put!$M:$M,MATCH($B6&amp;G$2&amp;$A$1,jkm_call_put!$G:$G&amp;jkm_call_put!$O:$O&amp;jkm_call_put!$F:$F,0),1),"")</f>
        <v/>
      </c>
      <c r="H6" s="7" t="str" cm="1">
        <f t="array" aca="1" ref="H6" ca="1">_xlfn.IFNA(INDEX(jkm_call_put!$M:$M,MATCH($B6&amp;H$2&amp;$A$1,jkm_call_put!$G:$G&amp;jkm_call_put!$O:$O&amp;jkm_call_put!$F:$F,0),1),"")</f>
        <v/>
      </c>
      <c r="I6" s="7" t="str" cm="1">
        <f t="array" aca="1" ref="I6" ca="1">_xlfn.IFNA(INDEX(jkm_call_put!$M:$M,MATCH($B6&amp;I$2&amp;$A$1,jkm_call_put!$G:$G&amp;jkm_call_put!$O:$O&amp;jkm_call_put!$F:$F,0),1),"")</f>
        <v/>
      </c>
      <c r="J6" s="7" t="str" cm="1">
        <f t="array" aca="1" ref="J6" ca="1">_xlfn.IFNA(INDEX(jkm_call_put!$M:$M,MATCH($B6&amp;J$2&amp;$A$1,jkm_call_put!$G:$G&amp;jkm_call_put!$O:$O&amp;jkm_call_put!$F:$F,0),1),"")</f>
        <v/>
      </c>
      <c r="K6" s="7" t="str" cm="1">
        <f t="array" aca="1" ref="K6" ca="1">_xlfn.IFNA(INDEX(jkm_call_put!$M:$M,MATCH($B6&amp;K$2&amp;$A$1,jkm_call_put!$G:$G&amp;jkm_call_put!$O:$O&amp;jkm_call_put!$F:$F,0),1),"")</f>
        <v/>
      </c>
      <c r="L6" s="7" t="str" cm="1">
        <f t="array" aca="1" ref="L6" ca="1">_xlfn.IFNA(INDEX(jkm_call_put!$M:$M,MATCH($B6&amp;L$2&amp;$A$1,jkm_call_put!$G:$G&amp;jkm_call_put!$O:$O&amp;jkm_call_put!$F:$F,0),1),"")</f>
        <v/>
      </c>
      <c r="M6" s="7" t="str" cm="1">
        <f t="array" aca="1" ref="M6" ca="1">_xlfn.IFNA(INDEX(jkm_call_put!$M:$M,MATCH($B6&amp;M$2&amp;$A$1,jkm_call_put!$G:$G&amp;jkm_call_put!$O:$O&amp;jkm_call_put!$F:$F,0),1),"")</f>
        <v/>
      </c>
      <c r="N6" s="7" t="str" cm="1">
        <f t="array" aca="1" ref="N6" ca="1">_xlfn.IFNA(INDEX(jkm_call_put!$M:$M,MATCH($B6&amp;N$2&amp;$A$1,jkm_call_put!$G:$G&amp;jkm_call_put!$O:$O&amp;jkm_call_put!$F:$F,0),1),"")</f>
        <v/>
      </c>
      <c r="O6" s="7" t="str" cm="1">
        <f t="array" aca="1" ref="O6" ca="1">_xlfn.IFNA(INDEX(jkm_call_put!$M:$M,MATCH($B6&amp;O$2&amp;$A$1,jkm_call_put!$G:$G&amp;jkm_call_put!$O:$O&amp;jkm_call_put!$F:$F,0),1),"")</f>
        <v/>
      </c>
      <c r="P6" s="7" t="str" cm="1">
        <f t="array" aca="1" ref="P6" ca="1">_xlfn.IFNA(INDEX(jkm_call_put!$M:$M,MATCH($B6&amp;P$2&amp;$A$1,jkm_call_put!$G:$G&amp;jkm_call_put!$O:$O&amp;jkm_call_put!$F:$F,0),1),"")</f>
        <v/>
      </c>
      <c r="Q6" s="7" t="str" cm="1">
        <f t="array" aca="1" ref="Q6" ca="1">_xlfn.IFNA(INDEX(jkm_call_put!$M:$M,MATCH($B6&amp;Q$2&amp;$A$1,jkm_call_put!$G:$G&amp;jkm_call_put!$O:$O&amp;jkm_call_put!$F:$F,0),1),"")</f>
        <v/>
      </c>
      <c r="R6" s="7" t="str" cm="1">
        <f t="array" aca="1" ref="R6" ca="1">_xlfn.IFNA(INDEX(jkm_call_put!$M:$M,MATCH($B6&amp;R$2&amp;$A$1,jkm_call_put!$G:$G&amp;jkm_call_put!$O:$O&amp;jkm_call_put!$F:$F,0),1),"")</f>
        <v/>
      </c>
      <c r="S6" s="7" t="str" cm="1">
        <f t="array" aca="1" ref="S6" ca="1">_xlfn.IFNA(INDEX(jkm_call_put!$M:$M,MATCH($B6&amp;S$2&amp;$A$1,jkm_call_put!$G:$G&amp;jkm_call_put!$O:$O&amp;jkm_call_put!$F:$F,0),1),"")</f>
        <v/>
      </c>
      <c r="T6" s="7" t="str" cm="1">
        <f t="array" aca="1" ref="T6" ca="1">_xlfn.IFNA(INDEX(jkm_call_put!$M:$M,MATCH($B6&amp;T$2&amp;$A$1,jkm_call_put!$G:$G&amp;jkm_call_put!$O:$O&amp;jkm_call_put!$F:$F,0),1),"")</f>
        <v/>
      </c>
      <c r="U6" s="7" t="str" cm="1">
        <f t="array" aca="1" ref="U6" ca="1">_xlfn.IFNA(INDEX(jkm_call_put!$M:$M,MATCH($B6&amp;U$2&amp;$A$1,jkm_call_put!$G:$G&amp;jkm_call_put!$O:$O&amp;jkm_call_put!$F:$F,0),1),"")</f>
        <v/>
      </c>
      <c r="V6" s="7" t="str" cm="1">
        <f t="array" aca="1" ref="V6" ca="1">_xlfn.IFNA(INDEX(jkm_call_put!$M:$M,MATCH($B6&amp;V$2&amp;$A$1,jkm_call_put!$G:$G&amp;jkm_call_put!$O:$O&amp;jkm_call_put!$F:$F,0),1),"")</f>
        <v/>
      </c>
      <c r="W6" s="7" t="str" cm="1">
        <f t="array" aca="1" ref="W6" ca="1">_xlfn.IFNA(INDEX(jkm_call_put!$M:$M,MATCH($B6&amp;W$2&amp;$A$1,jkm_call_put!$G:$G&amp;jkm_call_put!$O:$O&amp;jkm_call_put!$F:$F,0),1),"")</f>
        <v/>
      </c>
      <c r="X6" s="7" t="str" cm="1">
        <f t="array" aca="1" ref="X6" ca="1">_xlfn.IFNA(INDEX(jkm_call_put!$M:$M,MATCH($B6&amp;X$2&amp;$A$1,jkm_call_put!$G:$G&amp;jkm_call_put!$O:$O&amp;jkm_call_put!$F:$F,0),1),"")</f>
        <v/>
      </c>
      <c r="Y6" s="7" t="str" cm="1">
        <f t="array" aca="1" ref="Y6" ca="1">_xlfn.IFNA(INDEX(jkm_call_put!$M:$M,MATCH($B6&amp;Y$2&amp;$A$1,jkm_call_put!$G:$G&amp;jkm_call_put!$O:$O&amp;jkm_call_put!$F:$F,0),1),"")</f>
        <v/>
      </c>
      <c r="Z6" s="7" t="str" cm="1">
        <f t="array" aca="1" ref="Z6" ca="1">_xlfn.IFNA(INDEX(jkm_call_put!$M:$M,MATCH($B6&amp;Z$2&amp;$A$1,jkm_call_put!$G:$G&amp;jkm_call_put!$O:$O&amp;jkm_call_put!$F:$F,0),1),"")</f>
        <v/>
      </c>
      <c r="AA6" s="7" t="str" cm="1">
        <f t="array" aca="1" ref="AA6" ca="1">_xlfn.IFNA(INDEX(jkm_call_put!$M:$M,MATCH($B6&amp;AA$2&amp;$A$1,jkm_call_put!$G:$G&amp;jkm_call_put!$O:$O&amp;jkm_call_put!$F:$F,0),1),"")</f>
        <v/>
      </c>
      <c r="AB6" s="7" t="str" cm="1">
        <f t="array" aca="1" ref="AB6" ca="1">_xlfn.IFNA(INDEX(jkm_call_put!$M:$M,MATCH($B6&amp;AB$2&amp;$A$1,jkm_call_put!$G:$G&amp;jkm_call_put!$O:$O&amp;jkm_call_put!$F:$F,0),1),"")</f>
        <v/>
      </c>
      <c r="AC6" s="7" t="str" cm="1">
        <f t="array" aca="1" ref="AC6" ca="1">_xlfn.IFNA(INDEX(jkm_call_put!$M:$M,MATCH($B6&amp;AC$2&amp;$A$1,jkm_call_put!$G:$G&amp;jkm_call_put!$O:$O&amp;jkm_call_put!$F:$F,0),1),"")</f>
        <v/>
      </c>
      <c r="AD6" s="7" t="str" cm="1">
        <f t="array" aca="1" ref="AD6" ca="1">_xlfn.IFNA(INDEX(jkm_call_put!$M:$M,MATCH($B6&amp;AD$2&amp;$A$1,jkm_call_put!$G:$G&amp;jkm_call_put!$O:$O&amp;jkm_call_put!$F:$F,0),1),"")</f>
        <v/>
      </c>
      <c r="AE6" s="7" cm="1">
        <f t="array" aca="1" ref="AE6" ca="1">_xlfn.IFNA(INDEX(jkm_call_put!$M:$M,MATCH($B6&amp;AE$2&amp;$A$1,jkm_call_put!$G:$G&amp;jkm_call_put!$O:$O&amp;jkm_call_put!$F:$F,0),1),"")</f>
        <v>-0.27304</v>
      </c>
      <c r="AF6" s="7" t="str" cm="1">
        <f t="array" aca="1" ref="AF6" ca="1">_xlfn.IFNA(INDEX(jkm_call_put!$M:$M,MATCH($B6&amp;AF$2&amp;$A$1,jkm_call_put!$G:$G&amp;jkm_call_put!$O:$O&amp;jkm_call_put!$F:$F,0),1),"")</f>
        <v/>
      </c>
      <c r="AG6" s="7" t="str" cm="1">
        <f t="array" aca="1" ref="AG6" ca="1">_xlfn.IFNA(INDEX(jkm_call_put!$M:$M,MATCH($B6&amp;AG$2&amp;$A$1,jkm_call_put!$G:$G&amp;jkm_call_put!$O:$O&amp;jkm_call_put!$F:$F,0),1),"")</f>
        <v/>
      </c>
      <c r="AH6" s="7" t="str" cm="1">
        <f t="array" aca="1" ref="AH6" ca="1">_xlfn.IFNA(INDEX(jkm_call_put!$M:$M,MATCH($B6&amp;AH$2&amp;$A$1,jkm_call_put!$G:$G&amp;jkm_call_put!$O:$O&amp;jkm_call_put!$F:$F,0),1),"")</f>
        <v/>
      </c>
      <c r="AI6" s="7" t="str" cm="1">
        <f t="array" aca="1" ref="AI6" ca="1">_xlfn.IFNA(INDEX(jkm_call_put!$M:$M,MATCH($B6&amp;AI$2&amp;$A$1,jkm_call_put!$G:$G&amp;jkm_call_put!$O:$O&amp;jkm_call_put!$F:$F,0),1),"")</f>
        <v/>
      </c>
      <c r="AJ6" s="7" t="str" cm="1">
        <f t="array" aca="1" ref="AJ6" ca="1">_xlfn.IFNA(INDEX(jkm_call_put!$M:$M,MATCH($B6&amp;AJ$2&amp;$A$1,jkm_call_put!$G:$G&amp;jkm_call_put!$O:$O&amp;jkm_call_put!$F:$F,0),1),"")</f>
        <v/>
      </c>
      <c r="AK6" s="7" t="str" cm="1">
        <f t="array" aca="1" ref="AK6" ca="1">_xlfn.IFNA(INDEX(jkm_call_put!$M:$M,MATCH($B6&amp;AK$2&amp;$A$1,jkm_call_put!$G:$G&amp;jkm_call_put!$O:$O&amp;jkm_call_put!$F:$F,0),1),"")</f>
        <v/>
      </c>
      <c r="AL6" s="7" t="str" cm="1">
        <f t="array" aca="1" ref="AL6" ca="1">_xlfn.IFNA(INDEX(jkm_call_put!$M:$M,MATCH($B6&amp;AL$2&amp;$A$1,jkm_call_put!$G:$G&amp;jkm_call_put!$O:$O&amp;jkm_call_put!$F:$F,0),1),"")</f>
        <v/>
      </c>
    </row>
    <row r="7" spans="1:38" x14ac:dyDescent="0.25">
      <c r="B7">
        <v>8</v>
      </c>
      <c r="C7" s="7" cm="1">
        <f t="array" aca="1" ref="C7" ca="1">_xlfn.IFNA(INDEX(jkm_call_put!$M:$M,MATCH($B7&amp;C$2&amp;$A$1,jkm_call_put!$G:$G&amp;jkm_call_put!$O:$O&amp;jkm_call_put!$F:$F,0),1),"")</f>
        <v>0</v>
      </c>
      <c r="D7" s="7" cm="1">
        <f t="array" aca="1" ref="D7" ca="1">_xlfn.IFNA(INDEX(jkm_call_put!$M:$M,MATCH($B7&amp;D$2&amp;$A$1,jkm_call_put!$G:$G&amp;jkm_call_put!$O:$O&amp;jkm_call_put!$F:$F,0),1),"")</f>
        <v>0</v>
      </c>
      <c r="E7" s="7" cm="1">
        <f t="array" aca="1" ref="E7" ca="1">_xlfn.IFNA(INDEX(jkm_call_put!$M:$M,MATCH($B7&amp;E$2&amp;$A$1,jkm_call_put!$G:$G&amp;jkm_call_put!$O:$O&amp;jkm_call_put!$F:$F,0),1),"")</f>
        <v>-7.4900000000000001E-3</v>
      </c>
      <c r="F7" s="7" cm="1">
        <f t="array" aca="1" ref="F7" ca="1">_xlfn.IFNA(INDEX(jkm_call_put!$M:$M,MATCH($B7&amp;F$2&amp;$A$1,jkm_call_put!$G:$G&amp;jkm_call_put!$O:$O&amp;jkm_call_put!$F:$F,0),1),"")</f>
        <v>-1.9890000000000001E-2</v>
      </c>
      <c r="G7" s="7" cm="1">
        <f t="array" aca="1" ref="G7" ca="1">_xlfn.IFNA(INDEX(jkm_call_put!$M:$M,MATCH($B7&amp;G$2&amp;$A$1,jkm_call_put!$G:$G&amp;jkm_call_put!$O:$O&amp;jkm_call_put!$F:$F,0),1),"")</f>
        <v>-3.3730000000000003E-2</v>
      </c>
      <c r="H7" s="7" t="str" cm="1">
        <f t="array" aca="1" ref="H7" ca="1">_xlfn.IFNA(INDEX(jkm_call_put!$M:$M,MATCH($B7&amp;H$2&amp;$A$1,jkm_call_put!$G:$G&amp;jkm_call_put!$O:$O&amp;jkm_call_put!$F:$F,0),1),"")</f>
        <v/>
      </c>
      <c r="I7" s="7" t="str" cm="1">
        <f t="array" aca="1" ref="I7" ca="1">_xlfn.IFNA(INDEX(jkm_call_put!$M:$M,MATCH($B7&amp;I$2&amp;$A$1,jkm_call_put!$G:$G&amp;jkm_call_put!$O:$O&amp;jkm_call_put!$F:$F,0),1),"")</f>
        <v/>
      </c>
      <c r="J7" s="7" cm="1">
        <f t="array" aca="1" ref="J7" ca="1">_xlfn.IFNA(INDEX(jkm_call_put!$M:$M,MATCH($B7&amp;J$2&amp;$A$1,jkm_call_put!$G:$G&amp;jkm_call_put!$O:$O&amp;jkm_call_put!$F:$F,0),1),"")</f>
        <v>-3.8039999999999997E-2</v>
      </c>
      <c r="K7" s="7" cm="1">
        <f t="array" aca="1" ref="K7" ca="1">_xlfn.IFNA(INDEX(jkm_call_put!$M:$M,MATCH($B7&amp;K$2&amp;$A$1,jkm_call_put!$G:$G&amp;jkm_call_put!$O:$O&amp;jkm_call_put!$F:$F,0),1),"")</f>
        <v>-4.5870000000000001E-2</v>
      </c>
      <c r="L7" s="7" cm="1">
        <f t="array" aca="1" ref="L7" ca="1">_xlfn.IFNA(INDEX(jkm_call_put!$M:$M,MATCH($B7&amp;L$2&amp;$A$1,jkm_call_put!$G:$G&amp;jkm_call_put!$O:$O&amp;jkm_call_put!$F:$F,0),1),"")</f>
        <v>-5.5840000000000001E-2</v>
      </c>
      <c r="M7" s="7" cm="1">
        <f t="array" aca="1" ref="M7" ca="1">_xlfn.IFNA(INDEX(jkm_call_put!$M:$M,MATCH($B7&amp;M$2&amp;$A$1,jkm_call_put!$G:$G&amp;jkm_call_put!$O:$O&amp;jkm_call_put!$F:$F,0),1),"")</f>
        <v>-7.9780000000000004E-2</v>
      </c>
      <c r="N7" s="7" t="str" cm="1">
        <f t="array" aca="1" ref="N7" ca="1">_xlfn.IFNA(INDEX(jkm_call_put!$M:$M,MATCH($B7&amp;N$2&amp;$A$1,jkm_call_put!$G:$G&amp;jkm_call_put!$O:$O&amp;jkm_call_put!$F:$F,0),1),"")</f>
        <v/>
      </c>
      <c r="O7" s="7" cm="1">
        <f t="array" aca="1" ref="O7" ca="1">_xlfn.IFNA(INDEX(jkm_call_put!$M:$M,MATCH($B7&amp;O$2&amp;$A$1,jkm_call_put!$G:$G&amp;jkm_call_put!$O:$O&amp;jkm_call_put!$F:$F,0),1),"")</f>
        <v>-0.11441</v>
      </c>
      <c r="P7" s="7" cm="1">
        <f t="array" aca="1" ref="P7" ca="1">_xlfn.IFNA(INDEX(jkm_call_put!$M:$M,MATCH($B7&amp;P$2&amp;$A$1,jkm_call_put!$G:$G&amp;jkm_call_put!$O:$O&amp;jkm_call_put!$F:$F,0),1),"")</f>
        <v>-0.13045000000000001</v>
      </c>
      <c r="Q7" s="7" t="str" cm="1">
        <f t="array" aca="1" ref="Q7" ca="1">_xlfn.IFNA(INDEX(jkm_call_put!$M:$M,MATCH($B7&amp;Q$2&amp;$A$1,jkm_call_put!$G:$G&amp;jkm_call_put!$O:$O&amp;jkm_call_put!$F:$F,0),1),"")</f>
        <v/>
      </c>
      <c r="R7" s="7" t="str" cm="1">
        <f t="array" aca="1" ref="R7" ca="1">_xlfn.IFNA(INDEX(jkm_call_put!$M:$M,MATCH($B7&amp;R$2&amp;$A$1,jkm_call_put!$G:$G&amp;jkm_call_put!$O:$O&amp;jkm_call_put!$F:$F,0),1),"")</f>
        <v/>
      </c>
      <c r="S7" s="7" t="str" cm="1">
        <f t="array" aca="1" ref="S7" ca="1">_xlfn.IFNA(INDEX(jkm_call_put!$M:$M,MATCH($B7&amp;S$2&amp;$A$1,jkm_call_put!$G:$G&amp;jkm_call_put!$O:$O&amp;jkm_call_put!$F:$F,0),1),"")</f>
        <v/>
      </c>
      <c r="T7" s="7" t="str" cm="1">
        <f t="array" aca="1" ref="T7" ca="1">_xlfn.IFNA(INDEX(jkm_call_put!$M:$M,MATCH($B7&amp;T$2&amp;$A$1,jkm_call_put!$G:$G&amp;jkm_call_put!$O:$O&amp;jkm_call_put!$F:$F,0),1),"")</f>
        <v/>
      </c>
      <c r="U7" s="7" t="str" cm="1">
        <f t="array" aca="1" ref="U7" ca="1">_xlfn.IFNA(INDEX(jkm_call_put!$M:$M,MATCH($B7&amp;U$2&amp;$A$1,jkm_call_put!$G:$G&amp;jkm_call_put!$O:$O&amp;jkm_call_put!$F:$F,0),1),"")</f>
        <v/>
      </c>
      <c r="V7" s="7" t="str" cm="1">
        <f t="array" aca="1" ref="V7" ca="1">_xlfn.IFNA(INDEX(jkm_call_put!$M:$M,MATCH($B7&amp;V$2&amp;$A$1,jkm_call_put!$G:$G&amp;jkm_call_put!$O:$O&amp;jkm_call_put!$F:$F,0),1),"")</f>
        <v/>
      </c>
      <c r="W7" s="7" cm="1">
        <f t="array" aca="1" ref="W7" ca="1">_xlfn.IFNA(INDEX(jkm_call_put!$M:$M,MATCH($B7&amp;W$2&amp;$A$1,jkm_call_put!$G:$G&amp;jkm_call_put!$O:$O&amp;jkm_call_put!$F:$F,0),1),"")</f>
        <v>-0.11845</v>
      </c>
      <c r="X7" s="7" cm="1">
        <f t="array" aca="1" ref="X7" ca="1">_xlfn.IFNA(INDEX(jkm_call_put!$M:$M,MATCH($B7&amp;X$2&amp;$A$1,jkm_call_put!$G:$G&amp;jkm_call_put!$O:$O&amp;jkm_call_put!$F:$F,0),1),"")</f>
        <v>-0.12155000000000001</v>
      </c>
      <c r="Y7" s="7" cm="1">
        <f t="array" aca="1" ref="Y7" ca="1">_xlfn.IFNA(INDEX(jkm_call_put!$M:$M,MATCH($B7&amp;Y$2&amp;$A$1,jkm_call_put!$G:$G&amp;jkm_call_put!$O:$O&amp;jkm_call_put!$F:$F,0),1),"")</f>
        <v>-0.14316000000000001</v>
      </c>
      <c r="Z7" s="7" cm="1">
        <f t="array" aca="1" ref="Z7" ca="1">_xlfn.IFNA(INDEX(jkm_call_put!$M:$M,MATCH($B7&amp;Z$2&amp;$A$1,jkm_call_put!$G:$G&amp;jkm_call_put!$O:$O&amp;jkm_call_put!$F:$F,0),1),"")</f>
        <v>-0.28443000000000002</v>
      </c>
      <c r="AA7" s="7" cm="1">
        <f t="array" aca="1" ref="AA7" ca="1">_xlfn.IFNA(INDEX(jkm_call_put!$M:$M,MATCH($B7&amp;AA$2&amp;$A$1,jkm_call_put!$G:$G&amp;jkm_call_put!$O:$O&amp;jkm_call_put!$F:$F,0),1),"")</f>
        <v>-0.30928</v>
      </c>
      <c r="AB7" s="7" cm="1">
        <f t="array" aca="1" ref="AB7" ca="1">_xlfn.IFNA(INDEX(jkm_call_put!$M:$M,MATCH($B7&amp;AB$2&amp;$A$1,jkm_call_put!$G:$G&amp;jkm_call_put!$O:$O&amp;jkm_call_put!$F:$F,0),1),"")</f>
        <v>-0.31802999999999998</v>
      </c>
      <c r="AC7" s="7" cm="1">
        <f t="array" aca="1" ref="AC7" ca="1">_xlfn.IFNA(INDEX(jkm_call_put!$M:$M,MATCH($B7&amp;AC$2&amp;$A$1,jkm_call_put!$G:$G&amp;jkm_call_put!$O:$O&amp;jkm_call_put!$F:$F,0),1),"")</f>
        <v>-0.31522</v>
      </c>
      <c r="AD7" s="7" cm="1">
        <f t="array" aca="1" ref="AD7" ca="1">_xlfn.IFNA(INDEX(jkm_call_put!$M:$M,MATCH($B7&amp;AD$2&amp;$A$1,jkm_call_put!$G:$G&amp;jkm_call_put!$O:$O&amp;jkm_call_put!$F:$F,0),1),"")</f>
        <v>-0.31486999999999998</v>
      </c>
      <c r="AE7" s="7" cm="1">
        <f t="array" aca="1" ref="AE7" ca="1">_xlfn.IFNA(INDEX(jkm_call_put!$M:$M,MATCH($B7&amp;AE$2&amp;$A$1,jkm_call_put!$G:$G&amp;jkm_call_put!$O:$O&amp;jkm_call_put!$F:$F,0),1),"")</f>
        <v>-0.31037999999999999</v>
      </c>
      <c r="AF7" s="7" cm="1">
        <f t="array" aca="1" ref="AF7" ca="1">_xlfn.IFNA(INDEX(jkm_call_put!$M:$M,MATCH($B7&amp;AF$2&amp;$A$1,jkm_call_put!$G:$G&amp;jkm_call_put!$O:$O&amp;jkm_call_put!$F:$F,0),1),"")</f>
        <v>-0.30482999999999999</v>
      </c>
      <c r="AG7" s="7" cm="1">
        <f t="array" aca="1" ref="AG7" ca="1">_xlfn.IFNA(INDEX(jkm_call_put!$M:$M,MATCH($B7&amp;AG$2&amp;$A$1,jkm_call_put!$G:$G&amp;jkm_call_put!$O:$O&amp;jkm_call_put!$F:$F,0),1),"")</f>
        <v>-0.29383999999999999</v>
      </c>
      <c r="AH7" s="7" cm="1">
        <f t="array" aca="1" ref="AH7" ca="1">_xlfn.IFNA(INDEX(jkm_call_put!$M:$M,MATCH($B7&amp;AH$2&amp;$A$1,jkm_call_put!$G:$G&amp;jkm_call_put!$O:$O&amp;jkm_call_put!$F:$F,0),1),"")</f>
        <v>-0.28616000000000003</v>
      </c>
      <c r="AI7" s="7" t="str" cm="1">
        <f t="array" aca="1" ref="AI7" ca="1">_xlfn.IFNA(INDEX(jkm_call_put!$M:$M,MATCH($B7&amp;AI$2&amp;$A$1,jkm_call_put!$G:$G&amp;jkm_call_put!$O:$O&amp;jkm_call_put!$F:$F,0),1),"")</f>
        <v/>
      </c>
      <c r="AJ7" s="7" t="str" cm="1">
        <f t="array" aca="1" ref="AJ7" ca="1">_xlfn.IFNA(INDEX(jkm_call_put!$M:$M,MATCH($B7&amp;AJ$2&amp;$A$1,jkm_call_put!$G:$G&amp;jkm_call_put!$O:$O&amp;jkm_call_put!$F:$F,0),1),"")</f>
        <v/>
      </c>
      <c r="AK7" s="7" t="str" cm="1">
        <f t="array" aca="1" ref="AK7" ca="1">_xlfn.IFNA(INDEX(jkm_call_put!$M:$M,MATCH($B7&amp;AK$2&amp;$A$1,jkm_call_put!$G:$G&amp;jkm_call_put!$O:$O&amp;jkm_call_put!$F:$F,0),1),"")</f>
        <v/>
      </c>
      <c r="AL7" s="7" t="str" cm="1">
        <f t="array" aca="1" ref="AL7" ca="1">_xlfn.IFNA(INDEX(jkm_call_put!$M:$M,MATCH($B7&amp;AL$2&amp;$A$1,jkm_call_put!$G:$G&amp;jkm_call_put!$O:$O&amp;jkm_call_put!$F:$F,0),1),"")</f>
        <v/>
      </c>
    </row>
    <row r="8" spans="1:38" x14ac:dyDescent="0.25">
      <c r="B8">
        <v>8.5</v>
      </c>
      <c r="C8" s="7" t="str" cm="1">
        <f t="array" aca="1" ref="C8" ca="1">_xlfn.IFNA(INDEX(jkm_call_put!$M:$M,MATCH($B8&amp;C$2&amp;$A$1,jkm_call_put!$G:$G&amp;jkm_call_put!$O:$O&amp;jkm_call_put!$F:$F,0),1),"")</f>
        <v/>
      </c>
      <c r="D8" s="7" cm="1">
        <f t="array" aca="1" ref="D8" ca="1">_xlfn.IFNA(INDEX(jkm_call_put!$M:$M,MATCH($B8&amp;D$2&amp;$A$1,jkm_call_put!$G:$G&amp;jkm_call_put!$O:$O&amp;jkm_call_put!$F:$F,0),1),"")</f>
        <v>0</v>
      </c>
      <c r="E8" s="7" cm="1">
        <f t="array" aca="1" ref="E8" ca="1">_xlfn.IFNA(INDEX(jkm_call_put!$M:$M,MATCH($B8&amp;E$2&amp;$A$1,jkm_call_put!$G:$G&amp;jkm_call_put!$O:$O&amp;jkm_call_put!$F:$F,0),1),"")</f>
        <v>-1.159E-2</v>
      </c>
      <c r="F8" s="7" t="str" cm="1">
        <f t="array" aca="1" ref="F8" ca="1">_xlfn.IFNA(INDEX(jkm_call_put!$M:$M,MATCH($B8&amp;F$2&amp;$A$1,jkm_call_put!$G:$G&amp;jkm_call_put!$O:$O&amp;jkm_call_put!$F:$F,0),1),"")</f>
        <v/>
      </c>
      <c r="G8" s="7" t="str" cm="1">
        <f t="array" aca="1" ref="G8" ca="1">_xlfn.IFNA(INDEX(jkm_call_put!$M:$M,MATCH($B8&amp;G$2&amp;$A$1,jkm_call_put!$G:$G&amp;jkm_call_put!$O:$O&amp;jkm_call_put!$F:$F,0),1),"")</f>
        <v/>
      </c>
      <c r="H8" s="7" cm="1">
        <f t="array" aca="1" ref="H8" ca="1">_xlfn.IFNA(INDEX(jkm_call_put!$M:$M,MATCH($B8&amp;H$2&amp;$A$1,jkm_call_put!$G:$G&amp;jkm_call_put!$O:$O&amp;jkm_call_put!$F:$F,0),1),"")</f>
        <v>-3.2530000000000003E-2</v>
      </c>
      <c r="I8" s="7" cm="1">
        <f t="array" aca="1" ref="I8" ca="1">_xlfn.IFNA(INDEX(jkm_call_put!$M:$M,MATCH($B8&amp;I$2&amp;$A$1,jkm_call_put!$G:$G&amp;jkm_call_put!$O:$O&amp;jkm_call_put!$F:$F,0),1),"")</f>
        <v>-4.2470000000000001E-2</v>
      </c>
      <c r="J8" s="7" t="str" cm="1">
        <f t="array" aca="1" ref="J8" ca="1">_xlfn.IFNA(INDEX(jkm_call_put!$M:$M,MATCH($B8&amp;J$2&amp;$A$1,jkm_call_put!$G:$G&amp;jkm_call_put!$O:$O&amp;jkm_call_put!$F:$F,0),1),"")</f>
        <v/>
      </c>
      <c r="K8" s="7" cm="1">
        <f t="array" aca="1" ref="K8" ca="1">_xlfn.IFNA(INDEX(jkm_call_put!$M:$M,MATCH($B8&amp;K$2&amp;$A$1,jkm_call_put!$G:$G&amp;jkm_call_put!$O:$O&amp;jkm_call_put!$F:$F,0),1),"")</f>
        <v>-5.7669999999999999E-2</v>
      </c>
      <c r="L8" s="7" t="str" cm="1">
        <f t="array" aca="1" ref="L8" ca="1">_xlfn.IFNA(INDEX(jkm_call_put!$M:$M,MATCH($B8&amp;L$2&amp;$A$1,jkm_call_put!$G:$G&amp;jkm_call_put!$O:$O&amp;jkm_call_put!$F:$F,0),1),"")</f>
        <v/>
      </c>
      <c r="M8" s="7" t="str" cm="1">
        <f t="array" aca="1" ref="M8" ca="1">_xlfn.IFNA(INDEX(jkm_call_put!$M:$M,MATCH($B8&amp;M$2&amp;$A$1,jkm_call_put!$G:$G&amp;jkm_call_put!$O:$O&amp;jkm_call_put!$F:$F,0),1),"")</f>
        <v/>
      </c>
      <c r="N8" s="7" t="str" cm="1">
        <f t="array" aca="1" ref="N8" ca="1">_xlfn.IFNA(INDEX(jkm_call_put!$M:$M,MATCH($B8&amp;N$2&amp;$A$1,jkm_call_put!$G:$G&amp;jkm_call_put!$O:$O&amp;jkm_call_put!$F:$F,0),1),"")</f>
        <v/>
      </c>
      <c r="O8" s="7" t="str" cm="1">
        <f t="array" aca="1" ref="O8" ca="1">_xlfn.IFNA(INDEX(jkm_call_put!$M:$M,MATCH($B8&amp;O$2&amp;$A$1,jkm_call_put!$G:$G&amp;jkm_call_put!$O:$O&amp;jkm_call_put!$F:$F,0),1),"")</f>
        <v/>
      </c>
      <c r="P8" s="7" t="str" cm="1">
        <f t="array" aca="1" ref="P8" ca="1">_xlfn.IFNA(INDEX(jkm_call_put!$M:$M,MATCH($B8&amp;P$2&amp;$A$1,jkm_call_put!$G:$G&amp;jkm_call_put!$O:$O&amp;jkm_call_put!$F:$F,0),1),"")</f>
        <v/>
      </c>
      <c r="Q8" s="7" t="str" cm="1">
        <f t="array" aca="1" ref="Q8" ca="1">_xlfn.IFNA(INDEX(jkm_call_put!$M:$M,MATCH($B8&amp;Q$2&amp;$A$1,jkm_call_put!$G:$G&amp;jkm_call_put!$O:$O&amp;jkm_call_put!$F:$F,0),1),"")</f>
        <v/>
      </c>
      <c r="R8" s="7" t="str" cm="1">
        <f t="array" aca="1" ref="R8" ca="1">_xlfn.IFNA(INDEX(jkm_call_put!$M:$M,MATCH($B8&amp;R$2&amp;$A$1,jkm_call_put!$G:$G&amp;jkm_call_put!$O:$O&amp;jkm_call_put!$F:$F,0),1),"")</f>
        <v/>
      </c>
      <c r="S8" s="7" t="str" cm="1">
        <f t="array" aca="1" ref="S8" ca="1">_xlfn.IFNA(INDEX(jkm_call_put!$M:$M,MATCH($B8&amp;S$2&amp;$A$1,jkm_call_put!$G:$G&amp;jkm_call_put!$O:$O&amp;jkm_call_put!$F:$F,0),1),"")</f>
        <v/>
      </c>
      <c r="T8" s="7" t="str" cm="1">
        <f t="array" aca="1" ref="T8" ca="1">_xlfn.IFNA(INDEX(jkm_call_put!$M:$M,MATCH($B8&amp;T$2&amp;$A$1,jkm_call_put!$G:$G&amp;jkm_call_put!$O:$O&amp;jkm_call_put!$F:$F,0),1),"")</f>
        <v/>
      </c>
      <c r="U8" s="7" t="str" cm="1">
        <f t="array" aca="1" ref="U8" ca="1">_xlfn.IFNA(INDEX(jkm_call_put!$M:$M,MATCH($B8&amp;U$2&amp;$A$1,jkm_call_put!$G:$G&amp;jkm_call_put!$O:$O&amp;jkm_call_put!$F:$F,0),1),"")</f>
        <v/>
      </c>
      <c r="V8" s="7" t="str" cm="1">
        <f t="array" aca="1" ref="V8" ca="1">_xlfn.IFNA(INDEX(jkm_call_put!$M:$M,MATCH($B8&amp;V$2&amp;$A$1,jkm_call_put!$G:$G&amp;jkm_call_put!$O:$O&amp;jkm_call_put!$F:$F,0),1),"")</f>
        <v/>
      </c>
      <c r="W8" s="7" t="str" cm="1">
        <f t="array" aca="1" ref="W8" ca="1">_xlfn.IFNA(INDEX(jkm_call_put!$M:$M,MATCH($B8&amp;W$2&amp;$A$1,jkm_call_put!$G:$G&amp;jkm_call_put!$O:$O&amp;jkm_call_put!$F:$F,0),1),"")</f>
        <v/>
      </c>
      <c r="X8" s="7" t="str" cm="1">
        <f t="array" aca="1" ref="X8" ca="1">_xlfn.IFNA(INDEX(jkm_call_put!$M:$M,MATCH($B8&amp;X$2&amp;$A$1,jkm_call_put!$G:$G&amp;jkm_call_put!$O:$O&amp;jkm_call_put!$F:$F,0),1),"")</f>
        <v/>
      </c>
      <c r="Y8" s="7" t="str" cm="1">
        <f t="array" aca="1" ref="Y8" ca="1">_xlfn.IFNA(INDEX(jkm_call_put!$M:$M,MATCH($B8&amp;Y$2&amp;$A$1,jkm_call_put!$G:$G&amp;jkm_call_put!$O:$O&amp;jkm_call_put!$F:$F,0),1),"")</f>
        <v/>
      </c>
      <c r="Z8" s="7" t="str" cm="1">
        <f t="array" aca="1" ref="Z8" ca="1">_xlfn.IFNA(INDEX(jkm_call_put!$M:$M,MATCH($B8&amp;Z$2&amp;$A$1,jkm_call_put!$G:$G&amp;jkm_call_put!$O:$O&amp;jkm_call_put!$F:$F,0),1),"")</f>
        <v/>
      </c>
      <c r="AA8" s="7" t="str" cm="1">
        <f t="array" aca="1" ref="AA8" ca="1">_xlfn.IFNA(INDEX(jkm_call_put!$M:$M,MATCH($B8&amp;AA$2&amp;$A$1,jkm_call_put!$G:$G&amp;jkm_call_put!$O:$O&amp;jkm_call_put!$F:$F,0),1),"")</f>
        <v/>
      </c>
      <c r="AB8" s="7" t="str" cm="1">
        <f t="array" aca="1" ref="AB8" ca="1">_xlfn.IFNA(INDEX(jkm_call_put!$M:$M,MATCH($B8&amp;AB$2&amp;$A$1,jkm_call_put!$G:$G&amp;jkm_call_put!$O:$O&amp;jkm_call_put!$F:$F,0),1),"")</f>
        <v/>
      </c>
      <c r="AC8" s="7" t="str" cm="1">
        <f t="array" aca="1" ref="AC8" ca="1">_xlfn.IFNA(INDEX(jkm_call_put!$M:$M,MATCH($B8&amp;AC$2&amp;$A$1,jkm_call_put!$G:$G&amp;jkm_call_put!$O:$O&amp;jkm_call_put!$F:$F,0),1),"")</f>
        <v/>
      </c>
      <c r="AD8" s="7" t="str" cm="1">
        <f t="array" aca="1" ref="AD8" ca="1">_xlfn.IFNA(INDEX(jkm_call_put!$M:$M,MATCH($B8&amp;AD$2&amp;$A$1,jkm_call_put!$G:$G&amp;jkm_call_put!$O:$O&amp;jkm_call_put!$F:$F,0),1),"")</f>
        <v/>
      </c>
      <c r="AE8" s="7" t="str" cm="1">
        <f t="array" aca="1" ref="AE8" ca="1">_xlfn.IFNA(INDEX(jkm_call_put!$M:$M,MATCH($B8&amp;AE$2&amp;$A$1,jkm_call_put!$G:$G&amp;jkm_call_put!$O:$O&amp;jkm_call_put!$F:$F,0),1),"")</f>
        <v/>
      </c>
      <c r="AF8" s="7" t="str" cm="1">
        <f t="array" aca="1" ref="AF8" ca="1">_xlfn.IFNA(INDEX(jkm_call_put!$M:$M,MATCH($B8&amp;AF$2&amp;$A$1,jkm_call_put!$G:$G&amp;jkm_call_put!$O:$O&amp;jkm_call_put!$F:$F,0),1),"")</f>
        <v/>
      </c>
      <c r="AG8" s="7" t="str" cm="1">
        <f t="array" aca="1" ref="AG8" ca="1">_xlfn.IFNA(INDEX(jkm_call_put!$M:$M,MATCH($B8&amp;AG$2&amp;$A$1,jkm_call_put!$G:$G&amp;jkm_call_put!$O:$O&amp;jkm_call_put!$F:$F,0),1),"")</f>
        <v/>
      </c>
      <c r="AH8" s="7" t="str" cm="1">
        <f t="array" aca="1" ref="AH8" ca="1">_xlfn.IFNA(INDEX(jkm_call_put!$M:$M,MATCH($B8&amp;AH$2&amp;$A$1,jkm_call_put!$G:$G&amp;jkm_call_put!$O:$O&amp;jkm_call_put!$F:$F,0),1),"")</f>
        <v/>
      </c>
      <c r="AI8" s="7" t="str" cm="1">
        <f t="array" aca="1" ref="AI8" ca="1">_xlfn.IFNA(INDEX(jkm_call_put!$M:$M,MATCH($B8&amp;AI$2&amp;$A$1,jkm_call_put!$G:$G&amp;jkm_call_put!$O:$O&amp;jkm_call_put!$F:$F,0),1),"")</f>
        <v/>
      </c>
      <c r="AJ8" s="7" t="str" cm="1">
        <f t="array" aca="1" ref="AJ8" ca="1">_xlfn.IFNA(INDEX(jkm_call_put!$M:$M,MATCH($B8&amp;AJ$2&amp;$A$1,jkm_call_put!$G:$G&amp;jkm_call_put!$O:$O&amp;jkm_call_put!$F:$F,0),1),"")</f>
        <v/>
      </c>
      <c r="AK8" s="7" t="str" cm="1">
        <f t="array" aca="1" ref="AK8" ca="1">_xlfn.IFNA(INDEX(jkm_call_put!$M:$M,MATCH($B8&amp;AK$2&amp;$A$1,jkm_call_put!$G:$G&amp;jkm_call_put!$O:$O&amp;jkm_call_put!$F:$F,0),1),"")</f>
        <v/>
      </c>
      <c r="AL8" s="7" t="str" cm="1">
        <f t="array" aca="1" ref="AL8" ca="1">_xlfn.IFNA(INDEX(jkm_call_put!$M:$M,MATCH($B8&amp;AL$2&amp;$A$1,jkm_call_put!$G:$G&amp;jkm_call_put!$O:$O&amp;jkm_call_put!$F:$F,0),1),"")</f>
        <v/>
      </c>
    </row>
    <row r="9" spans="1:38" x14ac:dyDescent="0.25">
      <c r="B9">
        <v>9</v>
      </c>
      <c r="C9" s="7" cm="1">
        <f t="array" aca="1" ref="C9" ca="1">_xlfn.IFNA(INDEX(jkm_call_put!$M:$M,MATCH($B9&amp;C$2&amp;$A$1,jkm_call_put!$G:$G&amp;jkm_call_put!$O:$O&amp;jkm_call_put!$F:$F,0),1),"")</f>
        <v>0</v>
      </c>
      <c r="D9" s="7" cm="1">
        <f t="array" aca="1" ref="D9" ca="1">_xlfn.IFNA(INDEX(jkm_call_put!$M:$M,MATCH($B9&amp;D$2&amp;$A$1,jkm_call_put!$G:$G&amp;jkm_call_put!$O:$O&amp;jkm_call_put!$F:$F,0),1),"")</f>
        <v>-1.0000000000000001E-5</v>
      </c>
      <c r="E9" s="7" cm="1">
        <f t="array" aca="1" ref="E9" ca="1">_xlfn.IFNA(INDEX(jkm_call_put!$M:$M,MATCH($B9&amp;E$2&amp;$A$1,jkm_call_put!$G:$G&amp;jkm_call_put!$O:$O&amp;jkm_call_put!$F:$F,0),1),"")</f>
        <v>-1.712E-2</v>
      </c>
      <c r="F9" s="7" cm="1">
        <f t="array" aca="1" ref="F9" ca="1">_xlfn.IFNA(INDEX(jkm_call_put!$M:$M,MATCH($B9&amp;F$2&amp;$A$1,jkm_call_put!$G:$G&amp;jkm_call_put!$O:$O&amp;jkm_call_put!$F:$F,0),1),"")</f>
        <v>-3.662E-2</v>
      </c>
      <c r="G9" s="7" cm="1">
        <f t="array" aca="1" ref="G9" ca="1">_xlfn.IFNA(INDEX(jkm_call_put!$M:$M,MATCH($B9&amp;G$2&amp;$A$1,jkm_call_put!$G:$G&amp;jkm_call_put!$O:$O&amp;jkm_call_put!$F:$F,0),1),"")</f>
        <v>-5.5160000000000001E-2</v>
      </c>
      <c r="H9" s="7" cm="1">
        <f t="array" aca="1" ref="H9" ca="1">_xlfn.IFNA(INDEX(jkm_call_put!$M:$M,MATCH($B9&amp;H$2&amp;$A$1,jkm_call_put!$G:$G&amp;jkm_call_put!$O:$O&amp;jkm_call_put!$F:$F,0),1),"")</f>
        <v>-4.333E-2</v>
      </c>
      <c r="I9" s="7" cm="1">
        <f t="array" aca="1" ref="I9" ca="1">_xlfn.IFNA(INDEX(jkm_call_put!$M:$M,MATCH($B9&amp;I$2&amp;$A$1,jkm_call_put!$G:$G&amp;jkm_call_put!$O:$O&amp;jkm_call_put!$F:$F,0),1),"")</f>
        <v>-5.4559999999999997E-2</v>
      </c>
      <c r="J9" s="7" cm="1">
        <f t="array" aca="1" ref="J9" ca="1">_xlfn.IFNA(INDEX(jkm_call_put!$M:$M,MATCH($B9&amp;J$2&amp;$A$1,jkm_call_put!$G:$G&amp;jkm_call_put!$O:$O&amp;jkm_call_put!$F:$F,0),1),"")</f>
        <v>-6.1440000000000002E-2</v>
      </c>
      <c r="K9" s="7" cm="1">
        <f t="array" aca="1" ref="K9" ca="1">_xlfn.IFNA(INDEX(jkm_call_put!$M:$M,MATCH($B9&amp;K$2&amp;$A$1,jkm_call_put!$G:$G&amp;jkm_call_put!$O:$O&amp;jkm_call_put!$F:$F,0),1),"")</f>
        <v>-7.0860000000000006E-2</v>
      </c>
      <c r="L9" s="7" cm="1">
        <f t="array" aca="1" ref="L9" ca="1">_xlfn.IFNA(INDEX(jkm_call_put!$M:$M,MATCH($B9&amp;L$2&amp;$A$1,jkm_call_put!$G:$G&amp;jkm_call_put!$O:$O&amp;jkm_call_put!$F:$F,0),1),"")</f>
        <v>-8.2849999999999993E-2</v>
      </c>
      <c r="M9" s="7" cm="1">
        <f t="array" aca="1" ref="M9" ca="1">_xlfn.IFNA(INDEX(jkm_call_put!$M:$M,MATCH($B9&amp;M$2&amp;$A$1,jkm_call_put!$G:$G&amp;jkm_call_put!$O:$O&amp;jkm_call_put!$F:$F,0),1),"")</f>
        <v>-0.11266</v>
      </c>
      <c r="N9" s="7" t="str" cm="1">
        <f t="array" aca="1" ref="N9" ca="1">_xlfn.IFNA(INDEX(jkm_call_put!$M:$M,MATCH($B9&amp;N$2&amp;$A$1,jkm_call_put!$G:$G&amp;jkm_call_put!$O:$O&amp;jkm_call_put!$F:$F,0),1),"")</f>
        <v/>
      </c>
      <c r="O9" s="7" t="str" cm="1">
        <f t="array" aca="1" ref="O9" ca="1">_xlfn.IFNA(INDEX(jkm_call_put!$M:$M,MATCH($B9&amp;O$2&amp;$A$1,jkm_call_put!$G:$G&amp;jkm_call_put!$O:$O&amp;jkm_call_put!$F:$F,0),1),"")</f>
        <v/>
      </c>
      <c r="P9" s="7" t="str" cm="1">
        <f t="array" aca="1" ref="P9" ca="1">_xlfn.IFNA(INDEX(jkm_call_put!$M:$M,MATCH($B9&amp;P$2&amp;$A$1,jkm_call_put!$G:$G&amp;jkm_call_put!$O:$O&amp;jkm_call_put!$F:$F,0),1),"")</f>
        <v/>
      </c>
      <c r="Q9" s="7" t="str" cm="1">
        <f t="array" aca="1" ref="Q9" ca="1">_xlfn.IFNA(INDEX(jkm_call_put!$M:$M,MATCH($B9&amp;Q$2&amp;$A$1,jkm_call_put!$G:$G&amp;jkm_call_put!$O:$O&amp;jkm_call_put!$F:$F,0),1),"")</f>
        <v/>
      </c>
      <c r="R9" s="7" t="str" cm="1">
        <f t="array" aca="1" ref="R9" ca="1">_xlfn.IFNA(INDEX(jkm_call_put!$M:$M,MATCH($B9&amp;R$2&amp;$A$1,jkm_call_put!$G:$G&amp;jkm_call_put!$O:$O&amp;jkm_call_put!$F:$F,0),1),"")</f>
        <v/>
      </c>
      <c r="S9" s="7" t="str" cm="1">
        <f t="array" aca="1" ref="S9" ca="1">_xlfn.IFNA(INDEX(jkm_call_put!$M:$M,MATCH($B9&amp;S$2&amp;$A$1,jkm_call_put!$G:$G&amp;jkm_call_put!$O:$O&amp;jkm_call_put!$F:$F,0),1),"")</f>
        <v/>
      </c>
      <c r="T9" s="7" t="str" cm="1">
        <f t="array" aca="1" ref="T9" ca="1">_xlfn.IFNA(INDEX(jkm_call_put!$M:$M,MATCH($B9&amp;T$2&amp;$A$1,jkm_call_put!$G:$G&amp;jkm_call_put!$O:$O&amp;jkm_call_put!$F:$F,0),1),"")</f>
        <v/>
      </c>
      <c r="U9" s="7" t="str" cm="1">
        <f t="array" aca="1" ref="U9" ca="1">_xlfn.IFNA(INDEX(jkm_call_put!$M:$M,MATCH($B9&amp;U$2&amp;$A$1,jkm_call_put!$G:$G&amp;jkm_call_put!$O:$O&amp;jkm_call_put!$F:$F,0),1),"")</f>
        <v/>
      </c>
      <c r="V9" s="7" t="str" cm="1">
        <f t="array" aca="1" ref="V9" ca="1">_xlfn.IFNA(INDEX(jkm_call_put!$M:$M,MATCH($B9&amp;V$2&amp;$A$1,jkm_call_put!$G:$G&amp;jkm_call_put!$O:$O&amp;jkm_call_put!$F:$F,0),1),"")</f>
        <v/>
      </c>
      <c r="W9" s="7" t="str" cm="1">
        <f t="array" aca="1" ref="W9" ca="1">_xlfn.IFNA(INDEX(jkm_call_put!$M:$M,MATCH($B9&amp;W$2&amp;$A$1,jkm_call_put!$G:$G&amp;jkm_call_put!$O:$O&amp;jkm_call_put!$F:$F,0),1),"")</f>
        <v/>
      </c>
      <c r="X9" s="7" t="str" cm="1">
        <f t="array" aca="1" ref="X9" ca="1">_xlfn.IFNA(INDEX(jkm_call_put!$M:$M,MATCH($B9&amp;X$2&amp;$A$1,jkm_call_put!$G:$G&amp;jkm_call_put!$O:$O&amp;jkm_call_put!$F:$F,0),1),"")</f>
        <v/>
      </c>
      <c r="Y9" s="7" t="str" cm="1">
        <f t="array" aca="1" ref="Y9" ca="1">_xlfn.IFNA(INDEX(jkm_call_put!$M:$M,MATCH($B9&amp;Y$2&amp;$A$1,jkm_call_put!$G:$G&amp;jkm_call_put!$O:$O&amp;jkm_call_put!$F:$F,0),1),"")</f>
        <v/>
      </c>
      <c r="Z9" s="7" t="str" cm="1">
        <f t="array" aca="1" ref="Z9" ca="1">_xlfn.IFNA(INDEX(jkm_call_put!$M:$M,MATCH($B9&amp;Z$2&amp;$A$1,jkm_call_put!$G:$G&amp;jkm_call_put!$O:$O&amp;jkm_call_put!$F:$F,0),1),"")</f>
        <v/>
      </c>
      <c r="AA9" s="7" t="str" cm="1">
        <f t="array" aca="1" ref="AA9" ca="1">_xlfn.IFNA(INDEX(jkm_call_put!$M:$M,MATCH($B9&amp;AA$2&amp;$A$1,jkm_call_put!$G:$G&amp;jkm_call_put!$O:$O&amp;jkm_call_put!$F:$F,0),1),"")</f>
        <v/>
      </c>
      <c r="AB9" s="7" t="str" cm="1">
        <f t="array" aca="1" ref="AB9" ca="1">_xlfn.IFNA(INDEX(jkm_call_put!$M:$M,MATCH($B9&amp;AB$2&amp;$A$1,jkm_call_put!$G:$G&amp;jkm_call_put!$O:$O&amp;jkm_call_put!$F:$F,0),1),"")</f>
        <v/>
      </c>
      <c r="AC9" s="7" t="str" cm="1">
        <f t="array" aca="1" ref="AC9" ca="1">_xlfn.IFNA(INDEX(jkm_call_put!$M:$M,MATCH($B9&amp;AC$2&amp;$A$1,jkm_call_put!$G:$G&amp;jkm_call_put!$O:$O&amp;jkm_call_put!$F:$F,0),1),"")</f>
        <v/>
      </c>
      <c r="AD9" s="7" t="str" cm="1">
        <f t="array" aca="1" ref="AD9" ca="1">_xlfn.IFNA(INDEX(jkm_call_put!$M:$M,MATCH($B9&amp;AD$2&amp;$A$1,jkm_call_put!$G:$G&amp;jkm_call_put!$O:$O&amp;jkm_call_put!$F:$F,0),1),"")</f>
        <v/>
      </c>
      <c r="AE9" s="7" t="str" cm="1">
        <f t="array" aca="1" ref="AE9" ca="1">_xlfn.IFNA(INDEX(jkm_call_put!$M:$M,MATCH($B9&amp;AE$2&amp;$A$1,jkm_call_put!$G:$G&amp;jkm_call_put!$O:$O&amp;jkm_call_put!$F:$F,0),1),"")</f>
        <v/>
      </c>
      <c r="AF9" s="7" t="str" cm="1">
        <f t="array" aca="1" ref="AF9" ca="1">_xlfn.IFNA(INDEX(jkm_call_put!$M:$M,MATCH($B9&amp;AF$2&amp;$A$1,jkm_call_put!$G:$G&amp;jkm_call_put!$O:$O&amp;jkm_call_put!$F:$F,0),1),"")</f>
        <v/>
      </c>
      <c r="AG9" s="7" t="str" cm="1">
        <f t="array" aca="1" ref="AG9" ca="1">_xlfn.IFNA(INDEX(jkm_call_put!$M:$M,MATCH($B9&amp;AG$2&amp;$A$1,jkm_call_put!$G:$G&amp;jkm_call_put!$O:$O&amp;jkm_call_put!$F:$F,0),1),"")</f>
        <v/>
      </c>
      <c r="AH9" s="7" t="str" cm="1">
        <f t="array" aca="1" ref="AH9" ca="1">_xlfn.IFNA(INDEX(jkm_call_put!$M:$M,MATCH($B9&amp;AH$2&amp;$A$1,jkm_call_put!$G:$G&amp;jkm_call_put!$O:$O&amp;jkm_call_put!$F:$F,0),1),"")</f>
        <v/>
      </c>
      <c r="AI9" s="7" t="str" cm="1">
        <f t="array" aca="1" ref="AI9" ca="1">_xlfn.IFNA(INDEX(jkm_call_put!$M:$M,MATCH($B9&amp;AI$2&amp;$A$1,jkm_call_put!$G:$G&amp;jkm_call_put!$O:$O&amp;jkm_call_put!$F:$F,0),1),"")</f>
        <v/>
      </c>
      <c r="AJ9" s="7" t="str" cm="1">
        <f t="array" aca="1" ref="AJ9" ca="1">_xlfn.IFNA(INDEX(jkm_call_put!$M:$M,MATCH($B9&amp;AJ$2&amp;$A$1,jkm_call_put!$G:$G&amp;jkm_call_put!$O:$O&amp;jkm_call_put!$F:$F,0),1),"")</f>
        <v/>
      </c>
      <c r="AK9" s="7" t="str" cm="1">
        <f t="array" aca="1" ref="AK9" ca="1">_xlfn.IFNA(INDEX(jkm_call_put!$M:$M,MATCH($B9&amp;AK$2&amp;$A$1,jkm_call_put!$G:$G&amp;jkm_call_put!$O:$O&amp;jkm_call_put!$F:$F,0),1),"")</f>
        <v/>
      </c>
      <c r="AL9" s="7" t="str" cm="1">
        <f t="array" aca="1" ref="AL9" ca="1">_xlfn.IFNA(INDEX(jkm_call_put!$M:$M,MATCH($B9&amp;AL$2&amp;$A$1,jkm_call_put!$G:$G&amp;jkm_call_put!$O:$O&amp;jkm_call_put!$F:$F,0),1),"")</f>
        <v/>
      </c>
    </row>
    <row r="10" spans="1:38" x14ac:dyDescent="0.25">
      <c r="B10">
        <v>9.5</v>
      </c>
      <c r="C10" s="7" t="str" cm="1">
        <f t="array" aca="1" ref="C10" ca="1">_xlfn.IFNA(INDEX(jkm_call_put!$M:$M,MATCH($B10&amp;C$2&amp;$A$1,jkm_call_put!$G:$G&amp;jkm_call_put!$O:$O&amp;jkm_call_put!$F:$F,0),1),"")</f>
        <v/>
      </c>
      <c r="D10" s="7" t="str" cm="1">
        <f t="array" aca="1" ref="D10" ca="1">_xlfn.IFNA(INDEX(jkm_call_put!$M:$M,MATCH($B10&amp;D$2&amp;$A$1,jkm_call_put!$G:$G&amp;jkm_call_put!$O:$O&amp;jkm_call_put!$F:$F,0),1),"")</f>
        <v/>
      </c>
      <c r="E10" s="7" cm="1">
        <f t="array" aca="1" ref="E10" ca="1">_xlfn.IFNA(INDEX(jkm_call_put!$M:$M,MATCH($B10&amp;E$2&amp;$A$1,jkm_call_put!$G:$G&amp;jkm_call_put!$O:$O&amp;jkm_call_put!$F:$F,0),1),"")</f>
        <v>-2.4279999999999999E-2</v>
      </c>
      <c r="F10" s="7" t="str" cm="1">
        <f t="array" aca="1" ref="F10" ca="1">_xlfn.IFNA(INDEX(jkm_call_put!$M:$M,MATCH($B10&amp;F$2&amp;$A$1,jkm_call_put!$G:$G&amp;jkm_call_put!$O:$O&amp;jkm_call_put!$F:$F,0),1),"")</f>
        <v/>
      </c>
      <c r="G10" s="7" t="str" cm="1">
        <f t="array" aca="1" ref="G10" ca="1">_xlfn.IFNA(INDEX(jkm_call_put!$M:$M,MATCH($B10&amp;G$2&amp;$A$1,jkm_call_put!$G:$G&amp;jkm_call_put!$O:$O&amp;jkm_call_put!$F:$F,0),1),"")</f>
        <v/>
      </c>
      <c r="H10" s="7" cm="1">
        <f t="array" aca="1" ref="H10" ca="1">_xlfn.IFNA(INDEX(jkm_call_put!$M:$M,MATCH($B10&amp;H$2&amp;$A$1,jkm_call_put!$G:$G&amp;jkm_call_put!$O:$O&amp;jkm_call_put!$F:$F,0),1),"")</f>
        <v>-5.6030000000000003E-2</v>
      </c>
      <c r="I10" s="7" cm="1">
        <f t="array" aca="1" ref="I10" ca="1">_xlfn.IFNA(INDEX(jkm_call_put!$M:$M,MATCH($B10&amp;I$2&amp;$A$1,jkm_call_put!$G:$G&amp;jkm_call_put!$O:$O&amp;jkm_call_put!$F:$F,0),1),"")</f>
        <v>-6.8360000000000004E-2</v>
      </c>
      <c r="J10" s="7" cm="1">
        <f t="array" aca="1" ref="J10" ca="1">_xlfn.IFNA(INDEX(jkm_call_put!$M:$M,MATCH($B10&amp;J$2&amp;$A$1,jkm_call_put!$G:$G&amp;jkm_call_put!$O:$O&amp;jkm_call_put!$F:$F,0),1),"")</f>
        <v>-7.5399999999999995E-2</v>
      </c>
      <c r="K10" s="7" cm="1">
        <f t="array" aca="1" ref="K10" ca="1">_xlfn.IFNA(INDEX(jkm_call_put!$M:$M,MATCH($B10&amp;K$2&amp;$A$1,jkm_call_put!$G:$G&amp;jkm_call_put!$O:$O&amp;jkm_call_put!$F:$F,0),1),"")</f>
        <v>-8.5339999999999999E-2</v>
      </c>
      <c r="L10" s="7" cm="1">
        <f t="array" aca="1" ref="L10" ca="1">_xlfn.IFNA(INDEX(jkm_call_put!$M:$M,MATCH($B10&amp;L$2&amp;$A$1,jkm_call_put!$G:$G&amp;jkm_call_put!$O:$O&amp;jkm_call_put!$F:$F,0),1),"")</f>
        <v>-9.8110000000000003E-2</v>
      </c>
      <c r="M10" s="7" cm="1">
        <f t="array" aca="1" ref="M10" ca="1">_xlfn.IFNA(INDEX(jkm_call_put!$M:$M,MATCH($B10&amp;M$2&amp;$A$1,jkm_call_put!$G:$G&amp;jkm_call_put!$O:$O&amp;jkm_call_put!$F:$F,0),1),"")</f>
        <v>-0.13062000000000001</v>
      </c>
      <c r="N10" s="7" t="str" cm="1">
        <f t="array" aca="1" ref="N10" ca="1">_xlfn.IFNA(INDEX(jkm_call_put!$M:$M,MATCH($B10&amp;N$2&amp;$A$1,jkm_call_put!$G:$G&amp;jkm_call_put!$O:$O&amp;jkm_call_put!$F:$F,0),1),"")</f>
        <v/>
      </c>
      <c r="O10" s="7" t="str" cm="1">
        <f t="array" aca="1" ref="O10" ca="1">_xlfn.IFNA(INDEX(jkm_call_put!$M:$M,MATCH($B10&amp;O$2&amp;$A$1,jkm_call_put!$G:$G&amp;jkm_call_put!$O:$O&amp;jkm_call_put!$F:$F,0),1),"")</f>
        <v/>
      </c>
      <c r="P10" s="7" t="str" cm="1">
        <f t="array" aca="1" ref="P10" ca="1">_xlfn.IFNA(INDEX(jkm_call_put!$M:$M,MATCH($B10&amp;P$2&amp;$A$1,jkm_call_put!$G:$G&amp;jkm_call_put!$O:$O&amp;jkm_call_put!$F:$F,0),1),"")</f>
        <v/>
      </c>
      <c r="Q10" s="7" t="str" cm="1">
        <f t="array" aca="1" ref="Q10" ca="1">_xlfn.IFNA(INDEX(jkm_call_put!$M:$M,MATCH($B10&amp;Q$2&amp;$A$1,jkm_call_put!$G:$G&amp;jkm_call_put!$O:$O&amp;jkm_call_put!$F:$F,0),1),"")</f>
        <v/>
      </c>
      <c r="R10" s="7" t="str" cm="1">
        <f t="array" aca="1" ref="R10" ca="1">_xlfn.IFNA(INDEX(jkm_call_put!$M:$M,MATCH($B10&amp;R$2&amp;$A$1,jkm_call_put!$G:$G&amp;jkm_call_put!$O:$O&amp;jkm_call_put!$F:$F,0),1),"")</f>
        <v/>
      </c>
      <c r="S10" s="7" t="str" cm="1">
        <f t="array" aca="1" ref="S10" ca="1">_xlfn.IFNA(INDEX(jkm_call_put!$M:$M,MATCH($B10&amp;S$2&amp;$A$1,jkm_call_put!$G:$G&amp;jkm_call_put!$O:$O&amp;jkm_call_put!$F:$F,0),1),"")</f>
        <v/>
      </c>
      <c r="T10" s="7" t="str" cm="1">
        <f t="array" aca="1" ref="T10" ca="1">_xlfn.IFNA(INDEX(jkm_call_put!$M:$M,MATCH($B10&amp;T$2&amp;$A$1,jkm_call_put!$G:$G&amp;jkm_call_put!$O:$O&amp;jkm_call_put!$F:$F,0),1),"")</f>
        <v/>
      </c>
      <c r="U10" s="7" t="str" cm="1">
        <f t="array" aca="1" ref="U10" ca="1">_xlfn.IFNA(INDEX(jkm_call_put!$M:$M,MATCH($B10&amp;U$2&amp;$A$1,jkm_call_put!$G:$G&amp;jkm_call_put!$O:$O&amp;jkm_call_put!$F:$F,0),1),"")</f>
        <v/>
      </c>
      <c r="V10" s="7" t="str" cm="1">
        <f t="array" aca="1" ref="V10" ca="1">_xlfn.IFNA(INDEX(jkm_call_put!$M:$M,MATCH($B10&amp;V$2&amp;$A$1,jkm_call_put!$G:$G&amp;jkm_call_put!$O:$O&amp;jkm_call_put!$F:$F,0),1),"")</f>
        <v/>
      </c>
      <c r="W10" s="7" t="str" cm="1">
        <f t="array" aca="1" ref="W10" ca="1">_xlfn.IFNA(INDEX(jkm_call_put!$M:$M,MATCH($B10&amp;W$2&amp;$A$1,jkm_call_put!$G:$G&amp;jkm_call_put!$O:$O&amp;jkm_call_put!$F:$F,0),1),"")</f>
        <v/>
      </c>
      <c r="X10" s="7" t="str" cm="1">
        <f t="array" aca="1" ref="X10" ca="1">_xlfn.IFNA(INDEX(jkm_call_put!$M:$M,MATCH($B10&amp;X$2&amp;$A$1,jkm_call_put!$G:$G&amp;jkm_call_put!$O:$O&amp;jkm_call_put!$F:$F,0),1),"")</f>
        <v/>
      </c>
      <c r="Y10" s="7" t="str" cm="1">
        <f t="array" aca="1" ref="Y10" ca="1">_xlfn.IFNA(INDEX(jkm_call_put!$M:$M,MATCH($B10&amp;Y$2&amp;$A$1,jkm_call_put!$G:$G&amp;jkm_call_put!$O:$O&amp;jkm_call_put!$F:$F,0),1),"")</f>
        <v/>
      </c>
      <c r="Z10" s="7" t="str" cm="1">
        <f t="array" aca="1" ref="Z10" ca="1">_xlfn.IFNA(INDEX(jkm_call_put!$M:$M,MATCH($B10&amp;Z$2&amp;$A$1,jkm_call_put!$G:$G&amp;jkm_call_put!$O:$O&amp;jkm_call_put!$F:$F,0),1),"")</f>
        <v/>
      </c>
      <c r="AA10" s="7" t="str" cm="1">
        <f t="array" aca="1" ref="AA10" ca="1">_xlfn.IFNA(INDEX(jkm_call_put!$M:$M,MATCH($B10&amp;AA$2&amp;$A$1,jkm_call_put!$G:$G&amp;jkm_call_put!$O:$O&amp;jkm_call_put!$F:$F,0),1),"")</f>
        <v/>
      </c>
      <c r="AB10" s="7" t="str" cm="1">
        <f t="array" aca="1" ref="AB10" ca="1">_xlfn.IFNA(INDEX(jkm_call_put!$M:$M,MATCH($B10&amp;AB$2&amp;$A$1,jkm_call_put!$G:$G&amp;jkm_call_put!$O:$O&amp;jkm_call_put!$F:$F,0),1),"")</f>
        <v/>
      </c>
      <c r="AC10" s="7" t="str" cm="1">
        <f t="array" aca="1" ref="AC10" ca="1">_xlfn.IFNA(INDEX(jkm_call_put!$M:$M,MATCH($B10&amp;AC$2&amp;$A$1,jkm_call_put!$G:$G&amp;jkm_call_put!$O:$O&amp;jkm_call_put!$F:$F,0),1),"")</f>
        <v/>
      </c>
      <c r="AD10" s="7" t="str" cm="1">
        <f t="array" aca="1" ref="AD10" ca="1">_xlfn.IFNA(INDEX(jkm_call_put!$M:$M,MATCH($B10&amp;AD$2&amp;$A$1,jkm_call_put!$G:$G&amp;jkm_call_put!$O:$O&amp;jkm_call_put!$F:$F,0),1),"")</f>
        <v/>
      </c>
      <c r="AE10" s="7" t="str" cm="1">
        <f t="array" aca="1" ref="AE10" ca="1">_xlfn.IFNA(INDEX(jkm_call_put!$M:$M,MATCH($B10&amp;AE$2&amp;$A$1,jkm_call_put!$G:$G&amp;jkm_call_put!$O:$O&amp;jkm_call_put!$F:$F,0),1),"")</f>
        <v/>
      </c>
      <c r="AF10" s="7" t="str" cm="1">
        <f t="array" aca="1" ref="AF10" ca="1">_xlfn.IFNA(INDEX(jkm_call_put!$M:$M,MATCH($B10&amp;AF$2&amp;$A$1,jkm_call_put!$G:$G&amp;jkm_call_put!$O:$O&amp;jkm_call_put!$F:$F,0),1),"")</f>
        <v/>
      </c>
      <c r="AG10" s="7" t="str" cm="1">
        <f t="array" aca="1" ref="AG10" ca="1">_xlfn.IFNA(INDEX(jkm_call_put!$M:$M,MATCH($B10&amp;AG$2&amp;$A$1,jkm_call_put!$G:$G&amp;jkm_call_put!$O:$O&amp;jkm_call_put!$F:$F,0),1),"")</f>
        <v/>
      </c>
      <c r="AH10" s="7" t="str" cm="1">
        <f t="array" aca="1" ref="AH10" ca="1">_xlfn.IFNA(INDEX(jkm_call_put!$M:$M,MATCH($B10&amp;AH$2&amp;$A$1,jkm_call_put!$G:$G&amp;jkm_call_put!$O:$O&amp;jkm_call_put!$F:$F,0),1),"")</f>
        <v/>
      </c>
      <c r="AI10" s="7" t="str" cm="1">
        <f t="array" aca="1" ref="AI10" ca="1">_xlfn.IFNA(INDEX(jkm_call_put!$M:$M,MATCH($B10&amp;AI$2&amp;$A$1,jkm_call_put!$G:$G&amp;jkm_call_put!$O:$O&amp;jkm_call_put!$F:$F,0),1),"")</f>
        <v/>
      </c>
      <c r="AJ10" s="7" t="str" cm="1">
        <f t="array" aca="1" ref="AJ10" ca="1">_xlfn.IFNA(INDEX(jkm_call_put!$M:$M,MATCH($B10&amp;AJ$2&amp;$A$1,jkm_call_put!$G:$G&amp;jkm_call_put!$O:$O&amp;jkm_call_put!$F:$F,0),1),"")</f>
        <v/>
      </c>
      <c r="AK10" s="7" t="str" cm="1">
        <f t="array" aca="1" ref="AK10" ca="1">_xlfn.IFNA(INDEX(jkm_call_put!$M:$M,MATCH($B10&amp;AK$2&amp;$A$1,jkm_call_put!$G:$G&amp;jkm_call_put!$O:$O&amp;jkm_call_put!$F:$F,0),1),"")</f>
        <v/>
      </c>
      <c r="AL10" s="7" t="str" cm="1">
        <f t="array" aca="1" ref="AL10" ca="1">_xlfn.IFNA(INDEX(jkm_call_put!$M:$M,MATCH($B10&amp;AL$2&amp;$A$1,jkm_call_put!$G:$G&amp;jkm_call_put!$O:$O&amp;jkm_call_put!$F:$F,0),1),"")</f>
        <v/>
      </c>
    </row>
    <row r="11" spans="1:38" x14ac:dyDescent="0.25">
      <c r="B11">
        <v>9.6999999999999993</v>
      </c>
      <c r="C11" s="7" t="str" cm="1">
        <f t="array" aca="1" ref="C11" ca="1">_xlfn.IFNA(INDEX(jkm_call_put!$M:$M,MATCH($B11&amp;C$2&amp;$A$1,jkm_call_put!$G:$G&amp;jkm_call_put!$O:$O&amp;jkm_call_put!$F:$F,0),1),"")</f>
        <v/>
      </c>
      <c r="D11" s="7" t="str" cm="1">
        <f t="array" aca="1" ref="D11" ca="1">_xlfn.IFNA(INDEX(jkm_call_put!$M:$M,MATCH($B11&amp;D$2&amp;$A$1,jkm_call_put!$G:$G&amp;jkm_call_put!$O:$O&amp;jkm_call_put!$F:$F,0),1),"")</f>
        <v/>
      </c>
      <c r="E11" s="7" t="str" cm="1">
        <f t="array" aca="1" ref="E11" ca="1">_xlfn.IFNA(INDEX(jkm_call_put!$M:$M,MATCH($B11&amp;E$2&amp;$A$1,jkm_call_put!$G:$G&amp;jkm_call_put!$O:$O&amp;jkm_call_put!$F:$F,0),1),"")</f>
        <v/>
      </c>
      <c r="F11" s="7" t="str" cm="1">
        <f t="array" aca="1" ref="F11" ca="1">_xlfn.IFNA(INDEX(jkm_call_put!$M:$M,MATCH($B11&amp;F$2&amp;$A$1,jkm_call_put!$G:$G&amp;jkm_call_put!$O:$O&amp;jkm_call_put!$F:$F,0),1),"")</f>
        <v/>
      </c>
      <c r="G11" s="7" cm="1">
        <f t="array" aca="1" ref="G11" ca="1">_xlfn.IFNA(INDEX(jkm_call_put!$M:$M,MATCH($B11&amp;G$2&amp;$A$1,jkm_call_put!$G:$G&amp;jkm_call_put!$O:$O&amp;jkm_call_put!$F:$F,0),1),"")</f>
        <v>-7.3630000000000001E-2</v>
      </c>
      <c r="H11" s="7" t="str" cm="1">
        <f t="array" aca="1" ref="H11" ca="1">_xlfn.IFNA(INDEX(jkm_call_put!$M:$M,MATCH($B11&amp;H$2&amp;$A$1,jkm_call_put!$G:$G&amp;jkm_call_put!$O:$O&amp;jkm_call_put!$F:$F,0),1),"")</f>
        <v/>
      </c>
      <c r="I11" s="7" t="str" cm="1">
        <f t="array" aca="1" ref="I11" ca="1">_xlfn.IFNA(INDEX(jkm_call_put!$M:$M,MATCH($B11&amp;I$2&amp;$A$1,jkm_call_put!$G:$G&amp;jkm_call_put!$O:$O&amp;jkm_call_put!$F:$F,0),1),"")</f>
        <v/>
      </c>
      <c r="J11" s="7" t="str" cm="1">
        <f t="array" aca="1" ref="J11" ca="1">_xlfn.IFNA(INDEX(jkm_call_put!$M:$M,MATCH($B11&amp;J$2&amp;$A$1,jkm_call_put!$G:$G&amp;jkm_call_put!$O:$O&amp;jkm_call_put!$F:$F,0),1),"")</f>
        <v/>
      </c>
      <c r="K11" s="7" t="str" cm="1">
        <f t="array" aca="1" ref="K11" ca="1">_xlfn.IFNA(INDEX(jkm_call_put!$M:$M,MATCH($B11&amp;K$2&amp;$A$1,jkm_call_put!$G:$G&amp;jkm_call_put!$O:$O&amp;jkm_call_put!$F:$F,0),1),"")</f>
        <v/>
      </c>
      <c r="L11" s="7" t="str" cm="1">
        <f t="array" aca="1" ref="L11" ca="1">_xlfn.IFNA(INDEX(jkm_call_put!$M:$M,MATCH($B11&amp;L$2&amp;$A$1,jkm_call_put!$G:$G&amp;jkm_call_put!$O:$O&amp;jkm_call_put!$F:$F,0),1),"")</f>
        <v/>
      </c>
      <c r="M11" s="7" t="str" cm="1">
        <f t="array" aca="1" ref="M11" ca="1">_xlfn.IFNA(INDEX(jkm_call_put!$M:$M,MATCH($B11&amp;M$2&amp;$A$1,jkm_call_put!$G:$G&amp;jkm_call_put!$O:$O&amp;jkm_call_put!$F:$F,0),1),"")</f>
        <v/>
      </c>
      <c r="N11" s="7" t="str" cm="1">
        <f t="array" aca="1" ref="N11" ca="1">_xlfn.IFNA(INDEX(jkm_call_put!$M:$M,MATCH($B11&amp;N$2&amp;$A$1,jkm_call_put!$G:$G&amp;jkm_call_put!$O:$O&amp;jkm_call_put!$F:$F,0),1),"")</f>
        <v/>
      </c>
      <c r="O11" s="7" t="str" cm="1">
        <f t="array" aca="1" ref="O11" ca="1">_xlfn.IFNA(INDEX(jkm_call_put!$M:$M,MATCH($B11&amp;O$2&amp;$A$1,jkm_call_put!$G:$G&amp;jkm_call_put!$O:$O&amp;jkm_call_put!$F:$F,0),1),"")</f>
        <v/>
      </c>
      <c r="P11" s="7" t="str" cm="1">
        <f t="array" aca="1" ref="P11" ca="1">_xlfn.IFNA(INDEX(jkm_call_put!$M:$M,MATCH($B11&amp;P$2&amp;$A$1,jkm_call_put!$G:$G&amp;jkm_call_put!$O:$O&amp;jkm_call_put!$F:$F,0),1),"")</f>
        <v/>
      </c>
      <c r="Q11" s="7" t="str" cm="1">
        <f t="array" aca="1" ref="Q11" ca="1">_xlfn.IFNA(INDEX(jkm_call_put!$M:$M,MATCH($B11&amp;Q$2&amp;$A$1,jkm_call_put!$G:$G&amp;jkm_call_put!$O:$O&amp;jkm_call_put!$F:$F,0),1),"")</f>
        <v/>
      </c>
      <c r="R11" s="7" t="str" cm="1">
        <f t="array" aca="1" ref="R11" ca="1">_xlfn.IFNA(INDEX(jkm_call_put!$M:$M,MATCH($B11&amp;R$2&amp;$A$1,jkm_call_put!$G:$G&amp;jkm_call_put!$O:$O&amp;jkm_call_put!$F:$F,0),1),"")</f>
        <v/>
      </c>
      <c r="S11" s="7" t="str" cm="1">
        <f t="array" aca="1" ref="S11" ca="1">_xlfn.IFNA(INDEX(jkm_call_put!$M:$M,MATCH($B11&amp;S$2&amp;$A$1,jkm_call_put!$G:$G&amp;jkm_call_put!$O:$O&amp;jkm_call_put!$F:$F,0),1),"")</f>
        <v/>
      </c>
      <c r="T11" s="7" t="str" cm="1">
        <f t="array" aca="1" ref="T11" ca="1">_xlfn.IFNA(INDEX(jkm_call_put!$M:$M,MATCH($B11&amp;T$2&amp;$A$1,jkm_call_put!$G:$G&amp;jkm_call_put!$O:$O&amp;jkm_call_put!$F:$F,0),1),"")</f>
        <v/>
      </c>
      <c r="U11" s="7" t="str" cm="1">
        <f t="array" aca="1" ref="U11" ca="1">_xlfn.IFNA(INDEX(jkm_call_put!$M:$M,MATCH($B11&amp;U$2&amp;$A$1,jkm_call_put!$G:$G&amp;jkm_call_put!$O:$O&amp;jkm_call_put!$F:$F,0),1),"")</f>
        <v/>
      </c>
      <c r="V11" s="7" t="str" cm="1">
        <f t="array" aca="1" ref="V11" ca="1">_xlfn.IFNA(INDEX(jkm_call_put!$M:$M,MATCH($B11&amp;V$2&amp;$A$1,jkm_call_put!$G:$G&amp;jkm_call_put!$O:$O&amp;jkm_call_put!$F:$F,0),1),"")</f>
        <v/>
      </c>
      <c r="W11" s="7" t="str" cm="1">
        <f t="array" aca="1" ref="W11" ca="1">_xlfn.IFNA(INDEX(jkm_call_put!$M:$M,MATCH($B11&amp;W$2&amp;$A$1,jkm_call_put!$G:$G&amp;jkm_call_put!$O:$O&amp;jkm_call_put!$F:$F,0),1),"")</f>
        <v/>
      </c>
      <c r="X11" s="7" t="str" cm="1">
        <f t="array" aca="1" ref="X11" ca="1">_xlfn.IFNA(INDEX(jkm_call_put!$M:$M,MATCH($B11&amp;X$2&amp;$A$1,jkm_call_put!$G:$G&amp;jkm_call_put!$O:$O&amp;jkm_call_put!$F:$F,0),1),"")</f>
        <v/>
      </c>
      <c r="Y11" s="7" t="str" cm="1">
        <f t="array" aca="1" ref="Y11" ca="1">_xlfn.IFNA(INDEX(jkm_call_put!$M:$M,MATCH($B11&amp;Y$2&amp;$A$1,jkm_call_put!$G:$G&amp;jkm_call_put!$O:$O&amp;jkm_call_put!$F:$F,0),1),"")</f>
        <v/>
      </c>
      <c r="Z11" s="7" t="str" cm="1">
        <f t="array" aca="1" ref="Z11" ca="1">_xlfn.IFNA(INDEX(jkm_call_put!$M:$M,MATCH($B11&amp;Z$2&amp;$A$1,jkm_call_put!$G:$G&amp;jkm_call_put!$O:$O&amp;jkm_call_put!$F:$F,0),1),"")</f>
        <v/>
      </c>
      <c r="AA11" s="7" t="str" cm="1">
        <f t="array" aca="1" ref="AA11" ca="1">_xlfn.IFNA(INDEX(jkm_call_put!$M:$M,MATCH($B11&amp;AA$2&amp;$A$1,jkm_call_put!$G:$G&amp;jkm_call_put!$O:$O&amp;jkm_call_put!$F:$F,0),1),"")</f>
        <v/>
      </c>
      <c r="AB11" s="7" t="str" cm="1">
        <f t="array" aca="1" ref="AB11" ca="1">_xlfn.IFNA(INDEX(jkm_call_put!$M:$M,MATCH($B11&amp;AB$2&amp;$A$1,jkm_call_put!$G:$G&amp;jkm_call_put!$O:$O&amp;jkm_call_put!$F:$F,0),1),"")</f>
        <v/>
      </c>
      <c r="AC11" s="7" t="str" cm="1">
        <f t="array" aca="1" ref="AC11" ca="1">_xlfn.IFNA(INDEX(jkm_call_put!$M:$M,MATCH($B11&amp;AC$2&amp;$A$1,jkm_call_put!$G:$G&amp;jkm_call_put!$O:$O&amp;jkm_call_put!$F:$F,0),1),"")</f>
        <v/>
      </c>
      <c r="AD11" s="7" t="str" cm="1">
        <f t="array" aca="1" ref="AD11" ca="1">_xlfn.IFNA(INDEX(jkm_call_put!$M:$M,MATCH($B11&amp;AD$2&amp;$A$1,jkm_call_put!$G:$G&amp;jkm_call_put!$O:$O&amp;jkm_call_put!$F:$F,0),1),"")</f>
        <v/>
      </c>
      <c r="AE11" s="7" t="str" cm="1">
        <f t="array" aca="1" ref="AE11" ca="1">_xlfn.IFNA(INDEX(jkm_call_put!$M:$M,MATCH($B11&amp;AE$2&amp;$A$1,jkm_call_put!$G:$G&amp;jkm_call_put!$O:$O&amp;jkm_call_put!$F:$F,0),1),"")</f>
        <v/>
      </c>
      <c r="AF11" s="7" t="str" cm="1">
        <f t="array" aca="1" ref="AF11" ca="1">_xlfn.IFNA(INDEX(jkm_call_put!$M:$M,MATCH($B11&amp;AF$2&amp;$A$1,jkm_call_put!$G:$G&amp;jkm_call_put!$O:$O&amp;jkm_call_put!$F:$F,0),1),"")</f>
        <v/>
      </c>
      <c r="AG11" s="7" t="str" cm="1">
        <f t="array" aca="1" ref="AG11" ca="1">_xlfn.IFNA(INDEX(jkm_call_put!$M:$M,MATCH($B11&amp;AG$2&amp;$A$1,jkm_call_put!$G:$G&amp;jkm_call_put!$O:$O&amp;jkm_call_put!$F:$F,0),1),"")</f>
        <v/>
      </c>
      <c r="AH11" s="7" t="str" cm="1">
        <f t="array" aca="1" ref="AH11" ca="1">_xlfn.IFNA(INDEX(jkm_call_put!$M:$M,MATCH($B11&amp;AH$2&amp;$A$1,jkm_call_put!$G:$G&amp;jkm_call_put!$O:$O&amp;jkm_call_put!$F:$F,0),1),"")</f>
        <v/>
      </c>
      <c r="AI11" s="7" t="str" cm="1">
        <f t="array" aca="1" ref="AI11" ca="1">_xlfn.IFNA(INDEX(jkm_call_put!$M:$M,MATCH($B11&amp;AI$2&amp;$A$1,jkm_call_put!$G:$G&amp;jkm_call_put!$O:$O&amp;jkm_call_put!$F:$F,0),1),"")</f>
        <v/>
      </c>
      <c r="AJ11" s="7" t="str" cm="1">
        <f t="array" aca="1" ref="AJ11" ca="1">_xlfn.IFNA(INDEX(jkm_call_put!$M:$M,MATCH($B11&amp;AJ$2&amp;$A$1,jkm_call_put!$G:$G&amp;jkm_call_put!$O:$O&amp;jkm_call_put!$F:$F,0),1),"")</f>
        <v/>
      </c>
      <c r="AK11" s="7" t="str" cm="1">
        <f t="array" aca="1" ref="AK11" ca="1">_xlfn.IFNA(INDEX(jkm_call_put!$M:$M,MATCH($B11&amp;AK$2&amp;$A$1,jkm_call_put!$G:$G&amp;jkm_call_put!$O:$O&amp;jkm_call_put!$F:$F,0),1),"")</f>
        <v/>
      </c>
      <c r="AL11" s="7" t="str" cm="1">
        <f t="array" aca="1" ref="AL11" ca="1">_xlfn.IFNA(INDEX(jkm_call_put!$M:$M,MATCH($B11&amp;AL$2&amp;$A$1,jkm_call_put!$G:$G&amp;jkm_call_put!$O:$O&amp;jkm_call_put!$F:$F,0),1),"")</f>
        <v/>
      </c>
    </row>
    <row r="12" spans="1:38" x14ac:dyDescent="0.25">
      <c r="B12">
        <v>9.8000000000000007</v>
      </c>
      <c r="C12" s="7" t="str" cm="1">
        <f t="array" aca="1" ref="C12" ca="1">_xlfn.IFNA(INDEX(jkm_call_put!$M:$M,MATCH($B12&amp;C$2&amp;$A$1,jkm_call_put!$G:$G&amp;jkm_call_put!$O:$O&amp;jkm_call_put!$F:$F,0),1),"")</f>
        <v/>
      </c>
      <c r="D12" s="7" t="str" cm="1">
        <f t="array" aca="1" ref="D12" ca="1">_xlfn.IFNA(INDEX(jkm_call_put!$M:$M,MATCH($B12&amp;D$2&amp;$A$1,jkm_call_put!$G:$G&amp;jkm_call_put!$O:$O&amp;jkm_call_put!$F:$F,0),1),"")</f>
        <v/>
      </c>
      <c r="E12" s="7" t="str" cm="1">
        <f t="array" aca="1" ref="E12" ca="1">_xlfn.IFNA(INDEX(jkm_call_put!$M:$M,MATCH($B12&amp;E$2&amp;$A$1,jkm_call_put!$G:$G&amp;jkm_call_put!$O:$O&amp;jkm_call_put!$F:$F,0),1),"")</f>
        <v/>
      </c>
      <c r="F12" s="7" t="str" cm="1">
        <f t="array" aca="1" ref="F12" ca="1">_xlfn.IFNA(INDEX(jkm_call_put!$M:$M,MATCH($B12&amp;F$2&amp;$A$1,jkm_call_put!$G:$G&amp;jkm_call_put!$O:$O&amp;jkm_call_put!$F:$F,0),1),"")</f>
        <v/>
      </c>
      <c r="G12" s="7" cm="1">
        <f t="array" aca="1" ref="G12" ca="1">_xlfn.IFNA(INDEX(jkm_call_put!$M:$M,MATCH($B12&amp;G$2&amp;$A$1,jkm_call_put!$G:$G&amp;jkm_call_put!$O:$O&amp;jkm_call_put!$F:$F,0),1),"")</f>
        <v>-7.6490000000000002E-2</v>
      </c>
      <c r="H12" s="7" t="str" cm="1">
        <f t="array" aca="1" ref="H12" ca="1">_xlfn.IFNA(INDEX(jkm_call_put!$M:$M,MATCH($B12&amp;H$2&amp;$A$1,jkm_call_put!$G:$G&amp;jkm_call_put!$O:$O&amp;jkm_call_put!$F:$F,0),1),"")</f>
        <v/>
      </c>
      <c r="I12" s="7" t="str" cm="1">
        <f t="array" aca="1" ref="I12" ca="1">_xlfn.IFNA(INDEX(jkm_call_put!$M:$M,MATCH($B12&amp;I$2&amp;$A$1,jkm_call_put!$G:$G&amp;jkm_call_put!$O:$O&amp;jkm_call_put!$F:$F,0),1),"")</f>
        <v/>
      </c>
      <c r="J12" s="7" t="str" cm="1">
        <f t="array" aca="1" ref="J12" ca="1">_xlfn.IFNA(INDEX(jkm_call_put!$M:$M,MATCH($B12&amp;J$2&amp;$A$1,jkm_call_put!$G:$G&amp;jkm_call_put!$O:$O&amp;jkm_call_put!$F:$F,0),1),"")</f>
        <v/>
      </c>
      <c r="K12" s="7" t="str" cm="1">
        <f t="array" aca="1" ref="K12" ca="1">_xlfn.IFNA(INDEX(jkm_call_put!$M:$M,MATCH($B12&amp;K$2&amp;$A$1,jkm_call_put!$G:$G&amp;jkm_call_put!$O:$O&amp;jkm_call_put!$F:$F,0),1),"")</f>
        <v/>
      </c>
      <c r="L12" s="7" t="str" cm="1">
        <f t="array" aca="1" ref="L12" ca="1">_xlfn.IFNA(INDEX(jkm_call_put!$M:$M,MATCH($B12&amp;L$2&amp;$A$1,jkm_call_put!$G:$G&amp;jkm_call_put!$O:$O&amp;jkm_call_put!$F:$F,0),1),"")</f>
        <v/>
      </c>
      <c r="M12" s="7" t="str" cm="1">
        <f t="array" aca="1" ref="M12" ca="1">_xlfn.IFNA(INDEX(jkm_call_put!$M:$M,MATCH($B12&amp;M$2&amp;$A$1,jkm_call_put!$G:$G&amp;jkm_call_put!$O:$O&amp;jkm_call_put!$F:$F,0),1),"")</f>
        <v/>
      </c>
      <c r="N12" s="7" t="str" cm="1">
        <f t="array" aca="1" ref="N12" ca="1">_xlfn.IFNA(INDEX(jkm_call_put!$M:$M,MATCH($B12&amp;N$2&amp;$A$1,jkm_call_put!$G:$G&amp;jkm_call_put!$O:$O&amp;jkm_call_put!$F:$F,0),1),"")</f>
        <v/>
      </c>
      <c r="O12" s="7" t="str" cm="1">
        <f t="array" aca="1" ref="O12" ca="1">_xlfn.IFNA(INDEX(jkm_call_put!$M:$M,MATCH($B12&amp;O$2&amp;$A$1,jkm_call_put!$G:$G&amp;jkm_call_put!$O:$O&amp;jkm_call_put!$F:$F,0),1),"")</f>
        <v/>
      </c>
      <c r="P12" s="7" t="str" cm="1">
        <f t="array" aca="1" ref="P12" ca="1">_xlfn.IFNA(INDEX(jkm_call_put!$M:$M,MATCH($B12&amp;P$2&amp;$A$1,jkm_call_put!$G:$G&amp;jkm_call_put!$O:$O&amp;jkm_call_put!$F:$F,0),1),"")</f>
        <v/>
      </c>
      <c r="Q12" s="7" t="str" cm="1">
        <f t="array" aca="1" ref="Q12" ca="1">_xlfn.IFNA(INDEX(jkm_call_put!$M:$M,MATCH($B12&amp;Q$2&amp;$A$1,jkm_call_put!$G:$G&amp;jkm_call_put!$O:$O&amp;jkm_call_put!$F:$F,0),1),"")</f>
        <v/>
      </c>
      <c r="R12" s="7" t="str" cm="1">
        <f t="array" aca="1" ref="R12" ca="1">_xlfn.IFNA(INDEX(jkm_call_put!$M:$M,MATCH($B12&amp;R$2&amp;$A$1,jkm_call_put!$G:$G&amp;jkm_call_put!$O:$O&amp;jkm_call_put!$F:$F,0),1),"")</f>
        <v/>
      </c>
      <c r="S12" s="7" t="str" cm="1">
        <f t="array" aca="1" ref="S12" ca="1">_xlfn.IFNA(INDEX(jkm_call_put!$M:$M,MATCH($B12&amp;S$2&amp;$A$1,jkm_call_put!$G:$G&amp;jkm_call_put!$O:$O&amp;jkm_call_put!$F:$F,0),1),"")</f>
        <v/>
      </c>
      <c r="T12" s="7" t="str" cm="1">
        <f t="array" aca="1" ref="T12" ca="1">_xlfn.IFNA(INDEX(jkm_call_put!$M:$M,MATCH($B12&amp;T$2&amp;$A$1,jkm_call_put!$G:$G&amp;jkm_call_put!$O:$O&amp;jkm_call_put!$F:$F,0),1),"")</f>
        <v/>
      </c>
      <c r="U12" s="7" t="str" cm="1">
        <f t="array" aca="1" ref="U12" ca="1">_xlfn.IFNA(INDEX(jkm_call_put!$M:$M,MATCH($B12&amp;U$2&amp;$A$1,jkm_call_put!$G:$G&amp;jkm_call_put!$O:$O&amp;jkm_call_put!$F:$F,0),1),"")</f>
        <v/>
      </c>
      <c r="V12" s="7" t="str" cm="1">
        <f t="array" aca="1" ref="V12" ca="1">_xlfn.IFNA(INDEX(jkm_call_put!$M:$M,MATCH($B12&amp;V$2&amp;$A$1,jkm_call_put!$G:$G&amp;jkm_call_put!$O:$O&amp;jkm_call_put!$F:$F,0),1),"")</f>
        <v/>
      </c>
      <c r="W12" s="7" t="str" cm="1">
        <f t="array" aca="1" ref="W12" ca="1">_xlfn.IFNA(INDEX(jkm_call_put!$M:$M,MATCH($B12&amp;W$2&amp;$A$1,jkm_call_put!$G:$G&amp;jkm_call_put!$O:$O&amp;jkm_call_put!$F:$F,0),1),"")</f>
        <v/>
      </c>
      <c r="X12" s="7" t="str" cm="1">
        <f t="array" aca="1" ref="X12" ca="1">_xlfn.IFNA(INDEX(jkm_call_put!$M:$M,MATCH($B12&amp;X$2&amp;$A$1,jkm_call_put!$G:$G&amp;jkm_call_put!$O:$O&amp;jkm_call_put!$F:$F,0),1),"")</f>
        <v/>
      </c>
      <c r="Y12" s="7" t="str" cm="1">
        <f t="array" aca="1" ref="Y12" ca="1">_xlfn.IFNA(INDEX(jkm_call_put!$M:$M,MATCH($B12&amp;Y$2&amp;$A$1,jkm_call_put!$G:$G&amp;jkm_call_put!$O:$O&amp;jkm_call_put!$F:$F,0),1),"")</f>
        <v/>
      </c>
      <c r="Z12" s="7" t="str" cm="1">
        <f t="array" aca="1" ref="Z12" ca="1">_xlfn.IFNA(INDEX(jkm_call_put!$M:$M,MATCH($B12&amp;Z$2&amp;$A$1,jkm_call_put!$G:$G&amp;jkm_call_put!$O:$O&amp;jkm_call_put!$F:$F,0),1),"")</f>
        <v/>
      </c>
      <c r="AA12" s="7" t="str" cm="1">
        <f t="array" aca="1" ref="AA12" ca="1">_xlfn.IFNA(INDEX(jkm_call_put!$M:$M,MATCH($B12&amp;AA$2&amp;$A$1,jkm_call_put!$G:$G&amp;jkm_call_put!$O:$O&amp;jkm_call_put!$F:$F,0),1),"")</f>
        <v/>
      </c>
      <c r="AB12" s="7" t="str" cm="1">
        <f t="array" aca="1" ref="AB12" ca="1">_xlfn.IFNA(INDEX(jkm_call_put!$M:$M,MATCH($B12&amp;AB$2&amp;$A$1,jkm_call_put!$G:$G&amp;jkm_call_put!$O:$O&amp;jkm_call_put!$F:$F,0),1),"")</f>
        <v/>
      </c>
      <c r="AC12" s="7" t="str" cm="1">
        <f t="array" aca="1" ref="AC12" ca="1">_xlfn.IFNA(INDEX(jkm_call_put!$M:$M,MATCH($B12&amp;AC$2&amp;$A$1,jkm_call_put!$G:$G&amp;jkm_call_put!$O:$O&amp;jkm_call_put!$F:$F,0),1),"")</f>
        <v/>
      </c>
      <c r="AD12" s="7" t="str" cm="1">
        <f t="array" aca="1" ref="AD12" ca="1">_xlfn.IFNA(INDEX(jkm_call_put!$M:$M,MATCH($B12&amp;AD$2&amp;$A$1,jkm_call_put!$G:$G&amp;jkm_call_put!$O:$O&amp;jkm_call_put!$F:$F,0),1),"")</f>
        <v/>
      </c>
      <c r="AE12" s="7" t="str" cm="1">
        <f t="array" aca="1" ref="AE12" ca="1">_xlfn.IFNA(INDEX(jkm_call_put!$M:$M,MATCH($B12&amp;AE$2&amp;$A$1,jkm_call_put!$G:$G&amp;jkm_call_put!$O:$O&amp;jkm_call_put!$F:$F,0),1),"")</f>
        <v/>
      </c>
      <c r="AF12" s="7" t="str" cm="1">
        <f t="array" aca="1" ref="AF12" ca="1">_xlfn.IFNA(INDEX(jkm_call_put!$M:$M,MATCH($B12&amp;AF$2&amp;$A$1,jkm_call_put!$G:$G&amp;jkm_call_put!$O:$O&amp;jkm_call_put!$F:$F,0),1),"")</f>
        <v/>
      </c>
      <c r="AG12" s="7" t="str" cm="1">
        <f t="array" aca="1" ref="AG12" ca="1">_xlfn.IFNA(INDEX(jkm_call_put!$M:$M,MATCH($B12&amp;AG$2&amp;$A$1,jkm_call_put!$G:$G&amp;jkm_call_put!$O:$O&amp;jkm_call_put!$F:$F,0),1),"")</f>
        <v/>
      </c>
      <c r="AH12" s="7" t="str" cm="1">
        <f t="array" aca="1" ref="AH12" ca="1">_xlfn.IFNA(INDEX(jkm_call_put!$M:$M,MATCH($B12&amp;AH$2&amp;$A$1,jkm_call_put!$G:$G&amp;jkm_call_put!$O:$O&amp;jkm_call_put!$F:$F,0),1),"")</f>
        <v/>
      </c>
      <c r="AI12" s="7" t="str" cm="1">
        <f t="array" aca="1" ref="AI12" ca="1">_xlfn.IFNA(INDEX(jkm_call_put!$M:$M,MATCH($B12&amp;AI$2&amp;$A$1,jkm_call_put!$G:$G&amp;jkm_call_put!$O:$O&amp;jkm_call_put!$F:$F,0),1),"")</f>
        <v/>
      </c>
      <c r="AJ12" s="7" t="str" cm="1">
        <f t="array" aca="1" ref="AJ12" ca="1">_xlfn.IFNA(INDEX(jkm_call_put!$M:$M,MATCH($B12&amp;AJ$2&amp;$A$1,jkm_call_put!$G:$G&amp;jkm_call_put!$O:$O&amp;jkm_call_put!$F:$F,0),1),"")</f>
        <v/>
      </c>
      <c r="AK12" s="7" t="str" cm="1">
        <f t="array" aca="1" ref="AK12" ca="1">_xlfn.IFNA(INDEX(jkm_call_put!$M:$M,MATCH($B12&amp;AK$2&amp;$A$1,jkm_call_put!$G:$G&amp;jkm_call_put!$O:$O&amp;jkm_call_put!$F:$F,0),1),"")</f>
        <v/>
      </c>
      <c r="AL12" s="7" t="str" cm="1">
        <f t="array" aca="1" ref="AL12" ca="1">_xlfn.IFNA(INDEX(jkm_call_put!$M:$M,MATCH($B12&amp;AL$2&amp;$A$1,jkm_call_put!$G:$G&amp;jkm_call_put!$O:$O&amp;jkm_call_put!$F:$F,0),1),"")</f>
        <v/>
      </c>
    </row>
    <row r="13" spans="1:38" x14ac:dyDescent="0.25">
      <c r="B13">
        <v>10</v>
      </c>
      <c r="C13" s="7" cm="1">
        <f t="array" aca="1" ref="C13" ca="1">_xlfn.IFNA(INDEX(jkm_call_put!$M:$M,MATCH($B13&amp;C$2&amp;$A$1,jkm_call_put!$G:$G&amp;jkm_call_put!$O:$O&amp;jkm_call_put!$F:$F,0),1),"")</f>
        <v>0</v>
      </c>
      <c r="D13" s="7" cm="1">
        <f t="array" aca="1" ref="D13" ca="1">_xlfn.IFNA(INDEX(jkm_call_put!$M:$M,MATCH($B13&amp;D$2&amp;$A$1,jkm_call_put!$G:$G&amp;jkm_call_put!$O:$O&amp;jkm_call_put!$F:$F,0),1),"")</f>
        <v>-9.0000000000000006E-5</v>
      </c>
      <c r="E13" s="7" cm="1">
        <f t="array" aca="1" ref="E13" ca="1">_xlfn.IFNA(INDEX(jkm_call_put!$M:$M,MATCH($B13&amp;E$2&amp;$A$1,jkm_call_put!$G:$G&amp;jkm_call_put!$O:$O&amp;jkm_call_put!$F:$F,0),1),"")</f>
        <v>-3.3239999999999999E-2</v>
      </c>
      <c r="F13" s="7" cm="1">
        <f t="array" aca="1" ref="F13" ca="1">_xlfn.IFNA(INDEX(jkm_call_put!$M:$M,MATCH($B13&amp;F$2&amp;$A$1,jkm_call_put!$G:$G&amp;jkm_call_put!$O:$O&amp;jkm_call_put!$F:$F,0),1),"")</f>
        <v>-6.0019999999999997E-2</v>
      </c>
      <c r="G13" s="7" cm="1">
        <f t="array" aca="1" ref="G13" ca="1">_xlfn.IFNA(INDEX(jkm_call_put!$M:$M,MATCH($B13&amp;G$2&amp;$A$1,jkm_call_put!$G:$G&amp;jkm_call_put!$O:$O&amp;jkm_call_put!$F:$F,0),1),"")</f>
        <v>-8.2369999999999999E-2</v>
      </c>
      <c r="H13" s="7" cm="1">
        <f t="array" aca="1" ref="H13" ca="1">_xlfn.IFNA(INDEX(jkm_call_put!$M:$M,MATCH($B13&amp;H$2&amp;$A$1,jkm_call_put!$G:$G&amp;jkm_call_put!$O:$O&amp;jkm_call_put!$F:$F,0),1),"")</f>
        <v>-7.0629999999999998E-2</v>
      </c>
      <c r="I13" s="7" cm="1">
        <f t="array" aca="1" ref="I13" ca="1">_xlfn.IFNA(INDEX(jkm_call_put!$M:$M,MATCH($B13&amp;I$2&amp;$A$1,jkm_call_put!$G:$G&amp;jkm_call_put!$O:$O&amp;jkm_call_put!$F:$F,0),1),"")</f>
        <v>-8.3779999999999993E-2</v>
      </c>
      <c r="J13" s="7" cm="1">
        <f t="array" aca="1" ref="J13" ca="1">_xlfn.IFNA(INDEX(jkm_call_put!$M:$M,MATCH($B13&amp;J$2&amp;$A$1,jkm_call_put!$G:$G&amp;jkm_call_put!$O:$O&amp;jkm_call_put!$F:$F,0),1),"")</f>
        <v>-9.0740000000000001E-2</v>
      </c>
      <c r="K13" s="7" cm="1">
        <f t="array" aca="1" ref="K13" ca="1">_xlfn.IFNA(INDEX(jkm_call_put!$M:$M,MATCH($B13&amp;K$2&amp;$A$1,jkm_call_put!$G:$G&amp;jkm_call_put!$O:$O&amp;jkm_call_put!$F:$F,0),1),"")</f>
        <v>-0.10102999999999999</v>
      </c>
      <c r="L13" s="7" cm="1">
        <f t="array" aca="1" ref="L13" ca="1">_xlfn.IFNA(INDEX(jkm_call_put!$M:$M,MATCH($B13&amp;L$2&amp;$A$1,jkm_call_put!$G:$G&amp;jkm_call_put!$O:$O&amp;jkm_call_put!$F:$F,0),1),"")</f>
        <v>-0.1144</v>
      </c>
      <c r="M13" s="7" cm="1">
        <f t="array" aca="1" ref="M13" ca="1">_xlfn.IFNA(INDEX(jkm_call_put!$M:$M,MATCH($B13&amp;M$2&amp;$A$1,jkm_call_put!$G:$G&amp;jkm_call_put!$O:$O&amp;jkm_call_put!$F:$F,0),1),"")</f>
        <v>-0.14938000000000001</v>
      </c>
      <c r="N13" s="7" cm="1">
        <f t="array" aca="1" ref="N13" ca="1">_xlfn.IFNA(INDEX(jkm_call_put!$M:$M,MATCH($B13&amp;N$2&amp;$A$1,jkm_call_put!$G:$G&amp;jkm_call_put!$O:$O&amp;jkm_call_put!$F:$F,0),1),"")</f>
        <v>-0.17752999999999999</v>
      </c>
      <c r="O13" s="7" cm="1">
        <f t="array" aca="1" ref="O13" ca="1">_xlfn.IFNA(INDEX(jkm_call_put!$M:$M,MATCH($B13&amp;O$2&amp;$A$1,jkm_call_put!$G:$G&amp;jkm_call_put!$O:$O&amp;jkm_call_put!$F:$F,0),1),"")</f>
        <v>-0.22494</v>
      </c>
      <c r="P13" s="7" cm="1">
        <f t="array" aca="1" ref="P13" ca="1">_xlfn.IFNA(INDEX(jkm_call_put!$M:$M,MATCH($B13&amp;P$2&amp;$A$1,jkm_call_put!$G:$G&amp;jkm_call_put!$O:$O&amp;jkm_call_put!$F:$F,0),1),"")</f>
        <v>-0.24393999999999999</v>
      </c>
      <c r="Q13" s="7" cm="1">
        <f t="array" aca="1" ref="Q13" ca="1">_xlfn.IFNA(INDEX(jkm_call_put!$M:$M,MATCH($B13&amp;Q$2&amp;$A$1,jkm_call_put!$G:$G&amp;jkm_call_put!$O:$O&amp;jkm_call_put!$F:$F,0),1),"")</f>
        <v>-0.24686</v>
      </c>
      <c r="R13" s="7" cm="1">
        <f t="array" aca="1" ref="R13" ca="1">_xlfn.IFNA(INDEX(jkm_call_put!$M:$M,MATCH($B13&amp;R$2&amp;$A$1,jkm_call_put!$G:$G&amp;jkm_call_put!$O:$O&amp;jkm_call_put!$F:$F,0),1),"")</f>
        <v>-0.24068999999999999</v>
      </c>
      <c r="S13" s="7" cm="1">
        <f t="array" aca="1" ref="S13" ca="1">_xlfn.IFNA(INDEX(jkm_call_put!$M:$M,MATCH($B13&amp;S$2&amp;$A$1,jkm_call_put!$G:$G&amp;jkm_call_put!$O:$O&amp;jkm_call_put!$F:$F,0),1),"")</f>
        <v>-0.25272</v>
      </c>
      <c r="T13" s="7" cm="1">
        <f t="array" aca="1" ref="T13" ca="1">_xlfn.IFNA(INDEX(jkm_call_put!$M:$M,MATCH($B13&amp;T$2&amp;$A$1,jkm_call_put!$G:$G&amp;jkm_call_put!$O:$O&amp;jkm_call_put!$F:$F,0),1),"")</f>
        <v>-0.24296999999999999</v>
      </c>
      <c r="U13" s="7" cm="1">
        <f t="array" aca="1" ref="U13" ca="1">_xlfn.IFNA(INDEX(jkm_call_put!$M:$M,MATCH($B13&amp;U$2&amp;$A$1,jkm_call_put!$G:$G&amp;jkm_call_put!$O:$O&amp;jkm_call_put!$F:$F,0),1),"")</f>
        <v>-0.23866000000000001</v>
      </c>
      <c r="V13" s="7" cm="1">
        <f t="array" aca="1" ref="V13" ca="1">_xlfn.IFNA(INDEX(jkm_call_put!$M:$M,MATCH($B13&amp;V$2&amp;$A$1,jkm_call_put!$G:$G&amp;jkm_call_put!$O:$O&amp;jkm_call_put!$F:$F,0),1),"")</f>
        <v>-0.22239999999999999</v>
      </c>
      <c r="W13" s="7" cm="1">
        <f t="array" aca="1" ref="W13" ca="1">_xlfn.IFNA(INDEX(jkm_call_put!$M:$M,MATCH($B13&amp;W$2&amp;$A$1,jkm_call_put!$G:$G&amp;jkm_call_put!$O:$O&amp;jkm_call_put!$F:$F,0),1),"")</f>
        <v>-0.24124000000000001</v>
      </c>
      <c r="X13" s="7" cm="1">
        <f t="array" aca="1" ref="X13" ca="1">_xlfn.IFNA(INDEX(jkm_call_put!$M:$M,MATCH($B13&amp;X$2&amp;$A$1,jkm_call_put!$G:$G&amp;jkm_call_put!$O:$O&amp;jkm_call_put!$F:$F,0),1),"")</f>
        <v>-0.24246999999999999</v>
      </c>
      <c r="Y13" s="7" cm="1">
        <f t="array" aca="1" ref="Y13" ca="1">_xlfn.IFNA(INDEX(jkm_call_put!$M:$M,MATCH($B13&amp;Y$2&amp;$A$1,jkm_call_put!$G:$G&amp;jkm_call_put!$O:$O&amp;jkm_call_put!$F:$F,0),1),"")</f>
        <v>-0.27173000000000003</v>
      </c>
      <c r="Z13" s="7" cm="1">
        <f t="array" aca="1" ref="Z13" ca="1">_xlfn.IFNA(INDEX(jkm_call_put!$M:$M,MATCH($B13&amp;Z$2&amp;$A$1,jkm_call_put!$G:$G&amp;jkm_call_put!$O:$O&amp;jkm_call_put!$F:$F,0),1),"")</f>
        <v>-0.48188999999999999</v>
      </c>
      <c r="AA13" s="7" cm="1">
        <f t="array" aca="1" ref="AA13" ca="1">_xlfn.IFNA(INDEX(jkm_call_put!$M:$M,MATCH($B13&amp;AA$2&amp;$A$1,jkm_call_put!$G:$G&amp;jkm_call_put!$O:$O&amp;jkm_call_put!$F:$F,0),1),"")</f>
        <v>-0.50653000000000004</v>
      </c>
      <c r="AB13" s="7" cm="1">
        <f t="array" aca="1" ref="AB13" ca="1">_xlfn.IFNA(INDEX(jkm_call_put!$M:$M,MATCH($B13&amp;AB$2&amp;$A$1,jkm_call_put!$G:$G&amp;jkm_call_put!$O:$O&amp;jkm_call_put!$F:$F,0),1),"")</f>
        <v>-0.51241000000000003</v>
      </c>
      <c r="AC13" s="7" cm="1">
        <f t="array" aca="1" ref="AC13" ca="1">_xlfn.IFNA(INDEX(jkm_call_put!$M:$M,MATCH($B13&amp;AC$2&amp;$A$1,jkm_call_put!$G:$G&amp;jkm_call_put!$O:$O&amp;jkm_call_put!$F:$F,0),1),"")</f>
        <v>-0.50529999999999997</v>
      </c>
      <c r="AD13" s="7" cm="1">
        <f t="array" aca="1" ref="AD13" ca="1">_xlfn.IFNA(INDEX(jkm_call_put!$M:$M,MATCH($B13&amp;AD$2&amp;$A$1,jkm_call_put!$G:$G&amp;jkm_call_put!$O:$O&amp;jkm_call_put!$F:$F,0),1),"")</f>
        <v>-0.50116000000000005</v>
      </c>
      <c r="AE13" s="7" cm="1">
        <f t="array" aca="1" ref="AE13" ca="1">_xlfn.IFNA(INDEX(jkm_call_put!$M:$M,MATCH($B13&amp;AE$2&amp;$A$1,jkm_call_put!$G:$G&amp;jkm_call_put!$O:$O&amp;jkm_call_put!$F:$F,0),1),"")</f>
        <v>-0.49273</v>
      </c>
      <c r="AF13" s="7" cm="1">
        <f t="array" aca="1" ref="AF13" ca="1">_xlfn.IFNA(INDEX(jkm_call_put!$M:$M,MATCH($B13&amp;AF$2&amp;$A$1,jkm_call_put!$G:$G&amp;jkm_call_put!$O:$O&amp;jkm_call_put!$F:$F,0),1),"")</f>
        <v>-0.45690999999999998</v>
      </c>
      <c r="AG13" s="7" cm="1">
        <f t="array" aca="1" ref="AG13" ca="1">_xlfn.IFNA(INDEX(jkm_call_put!$M:$M,MATCH($B13&amp;AG$2&amp;$A$1,jkm_call_put!$G:$G&amp;jkm_call_put!$O:$O&amp;jkm_call_put!$F:$F,0),1),"")</f>
        <v>-0.44167000000000001</v>
      </c>
      <c r="AH13" s="7" cm="1">
        <f t="array" aca="1" ref="AH13" ca="1">_xlfn.IFNA(INDEX(jkm_call_put!$M:$M,MATCH($B13&amp;AH$2&amp;$A$1,jkm_call_put!$G:$G&amp;jkm_call_put!$O:$O&amp;jkm_call_put!$F:$F,0),1),"")</f>
        <v>-0.43031999999999998</v>
      </c>
      <c r="AI13" s="7" cm="1">
        <f t="array" aca="1" ref="AI13" ca="1">_xlfn.IFNA(INDEX(jkm_call_put!$M:$M,MATCH($B13&amp;AI$2&amp;$A$1,jkm_call_put!$G:$G&amp;jkm_call_put!$O:$O&amp;jkm_call_put!$F:$F,0),1),"")</f>
        <v>-0.41991000000000001</v>
      </c>
      <c r="AJ13" s="7" cm="1">
        <f t="array" aca="1" ref="AJ13" ca="1">_xlfn.IFNA(INDEX(jkm_call_put!$M:$M,MATCH($B13&amp;AJ$2&amp;$A$1,jkm_call_put!$G:$G&amp;jkm_call_put!$O:$O&amp;jkm_call_put!$F:$F,0),1),"")</f>
        <v>-0.41526999999999997</v>
      </c>
      <c r="AK13" s="7" cm="1">
        <f t="array" aca="1" ref="AK13" ca="1">_xlfn.IFNA(INDEX(jkm_call_put!$M:$M,MATCH($B13&amp;AK$2&amp;$A$1,jkm_call_put!$G:$G&amp;jkm_call_put!$O:$O&amp;jkm_call_put!$F:$F,0),1),"")</f>
        <v>-0.41808000000000001</v>
      </c>
      <c r="AL13" s="7" cm="1">
        <f t="array" aca="1" ref="AL13" ca="1">_xlfn.IFNA(INDEX(jkm_call_put!$M:$M,MATCH($B13&amp;AL$2&amp;$A$1,jkm_call_put!$G:$G&amp;jkm_call_put!$O:$O&amp;jkm_call_put!$F:$F,0),1),"")</f>
        <v>-0.48669000000000001</v>
      </c>
    </row>
    <row r="14" spans="1:38" x14ac:dyDescent="0.25">
      <c r="B14">
        <v>10.5</v>
      </c>
      <c r="C14" s="7" t="str" cm="1">
        <f t="array" aca="1" ref="C14" ca="1">_xlfn.IFNA(INDEX(jkm_call_put!$M:$M,MATCH($B14&amp;C$2&amp;$A$1,jkm_call_put!$G:$G&amp;jkm_call_put!$O:$O&amp;jkm_call_put!$F:$F,0),1),"")</f>
        <v/>
      </c>
      <c r="D14" s="7" t="str" cm="1">
        <f t="array" aca="1" ref="D14" ca="1">_xlfn.IFNA(INDEX(jkm_call_put!$M:$M,MATCH($B14&amp;D$2&amp;$A$1,jkm_call_put!$G:$G&amp;jkm_call_put!$O:$O&amp;jkm_call_put!$F:$F,0),1),"")</f>
        <v/>
      </c>
      <c r="E14" s="7" t="str" cm="1">
        <f t="array" aca="1" ref="E14" ca="1">_xlfn.IFNA(INDEX(jkm_call_put!$M:$M,MATCH($B14&amp;E$2&amp;$A$1,jkm_call_put!$G:$G&amp;jkm_call_put!$O:$O&amp;jkm_call_put!$F:$F,0),1),"")</f>
        <v/>
      </c>
      <c r="F14" s="7" t="str" cm="1">
        <f t="array" aca="1" ref="F14" ca="1">_xlfn.IFNA(INDEX(jkm_call_put!$M:$M,MATCH($B14&amp;F$2&amp;$A$1,jkm_call_put!$G:$G&amp;jkm_call_put!$O:$O&amp;jkm_call_put!$F:$F,0),1),"")</f>
        <v/>
      </c>
      <c r="G14" s="7" t="str" cm="1">
        <f t="array" aca="1" ref="G14" ca="1">_xlfn.IFNA(INDEX(jkm_call_put!$M:$M,MATCH($B14&amp;G$2&amp;$A$1,jkm_call_put!$G:$G&amp;jkm_call_put!$O:$O&amp;jkm_call_put!$F:$F,0),1),"")</f>
        <v/>
      </c>
      <c r="H14" s="7" cm="1">
        <f t="array" aca="1" ref="H14" ca="1">_xlfn.IFNA(INDEX(jkm_call_put!$M:$M,MATCH($B14&amp;H$2&amp;$A$1,jkm_call_put!$G:$G&amp;jkm_call_put!$O:$O&amp;jkm_call_put!$F:$F,0),1),"")</f>
        <v>-8.7069999999999995E-2</v>
      </c>
      <c r="I14" s="7" cm="1">
        <f t="array" aca="1" ref="I14" ca="1">_xlfn.IFNA(INDEX(jkm_call_put!$M:$M,MATCH($B14&amp;I$2&amp;$A$1,jkm_call_put!$G:$G&amp;jkm_call_put!$O:$O&amp;jkm_call_put!$F:$F,0),1),"")</f>
        <v>-0.10074</v>
      </c>
      <c r="J14" s="7" cm="1">
        <f t="array" aca="1" ref="J14" ca="1">_xlfn.IFNA(INDEX(jkm_call_put!$M:$M,MATCH($B14&amp;J$2&amp;$A$1,jkm_call_put!$G:$G&amp;jkm_call_put!$O:$O&amp;jkm_call_put!$F:$F,0),1),"")</f>
        <v>-0.10736999999999999</v>
      </c>
      <c r="K14" s="7" cm="1">
        <f t="array" aca="1" ref="K14" ca="1">_xlfn.IFNA(INDEX(jkm_call_put!$M:$M,MATCH($B14&amp;K$2&amp;$A$1,jkm_call_put!$G:$G&amp;jkm_call_put!$O:$O&amp;jkm_call_put!$F:$F,0),1),"")</f>
        <v>-0.11779000000000001</v>
      </c>
      <c r="L14" s="7" cm="1">
        <f t="array" aca="1" ref="L14" ca="1">_xlfn.IFNA(INDEX(jkm_call_put!$M:$M,MATCH($B14&amp;L$2&amp;$A$1,jkm_call_put!$G:$G&amp;jkm_call_put!$O:$O&amp;jkm_call_put!$F:$F,0),1),"")</f>
        <v>-0.13158</v>
      </c>
      <c r="M14" s="7" cm="1">
        <f t="array" aca="1" ref="M14" ca="1">_xlfn.IFNA(INDEX(jkm_call_put!$M:$M,MATCH($B14&amp;M$2&amp;$A$1,jkm_call_put!$G:$G&amp;jkm_call_put!$O:$O&amp;jkm_call_put!$F:$F,0),1),"")</f>
        <v>-0.16880999999999999</v>
      </c>
      <c r="N14" s="7" cm="1">
        <f t="array" aca="1" ref="N14" ca="1">_xlfn.IFNA(INDEX(jkm_call_put!$M:$M,MATCH($B14&amp;N$2&amp;$A$1,jkm_call_put!$G:$G&amp;jkm_call_put!$O:$O&amp;jkm_call_put!$F:$F,0),1),"")</f>
        <v>-0.20537</v>
      </c>
      <c r="O14" s="7" cm="1">
        <f t="array" aca="1" ref="O14" ca="1">_xlfn.IFNA(INDEX(jkm_call_put!$M:$M,MATCH($B14&amp;O$2&amp;$A$1,jkm_call_put!$G:$G&amp;jkm_call_put!$O:$O&amp;jkm_call_put!$F:$F,0),1),"")</f>
        <v>-0.25547999999999998</v>
      </c>
      <c r="P14" s="7" cm="1">
        <f t="array" aca="1" ref="P14" ca="1">_xlfn.IFNA(INDEX(jkm_call_put!$M:$M,MATCH($B14&amp;P$2&amp;$A$1,jkm_call_put!$G:$G&amp;jkm_call_put!$O:$O&amp;jkm_call_put!$F:$F,0),1),"")</f>
        <v>-0.27451999999999999</v>
      </c>
      <c r="Q14" s="7" cm="1">
        <f t="array" aca="1" ref="Q14" ca="1">_xlfn.IFNA(INDEX(jkm_call_put!$M:$M,MATCH($B14&amp;Q$2&amp;$A$1,jkm_call_put!$G:$G&amp;jkm_call_put!$O:$O&amp;jkm_call_put!$F:$F,0),1),"")</f>
        <v>-0.27653</v>
      </c>
      <c r="R14" s="7" cm="1">
        <f t="array" aca="1" ref="R14" ca="1">_xlfn.IFNA(INDEX(jkm_call_put!$M:$M,MATCH($B14&amp;R$2&amp;$A$1,jkm_call_put!$G:$G&amp;jkm_call_put!$O:$O&amp;jkm_call_put!$F:$F,0),1),"")</f>
        <v>-0.26905000000000001</v>
      </c>
      <c r="S14" s="7" cm="1">
        <f t="array" aca="1" ref="S14" ca="1">_xlfn.IFNA(INDEX(jkm_call_put!$M:$M,MATCH($B14&amp;S$2&amp;$A$1,jkm_call_put!$G:$G&amp;jkm_call_put!$O:$O&amp;jkm_call_put!$F:$F,0),1),"")</f>
        <v>-0.28088999999999997</v>
      </c>
      <c r="T14" s="7" t="str" cm="1">
        <f t="array" aca="1" ref="T14" ca="1">_xlfn.IFNA(INDEX(jkm_call_put!$M:$M,MATCH($B14&amp;T$2&amp;$A$1,jkm_call_put!$G:$G&amp;jkm_call_put!$O:$O&amp;jkm_call_put!$F:$F,0),1),"")</f>
        <v/>
      </c>
      <c r="U14" s="7" t="str" cm="1">
        <f t="array" aca="1" ref="U14" ca="1">_xlfn.IFNA(INDEX(jkm_call_put!$M:$M,MATCH($B14&amp;U$2&amp;$A$1,jkm_call_put!$G:$G&amp;jkm_call_put!$O:$O&amp;jkm_call_put!$F:$F,0),1),"")</f>
        <v/>
      </c>
      <c r="V14" s="7" t="str" cm="1">
        <f t="array" aca="1" ref="V14" ca="1">_xlfn.IFNA(INDEX(jkm_call_put!$M:$M,MATCH($B14&amp;V$2&amp;$A$1,jkm_call_put!$G:$G&amp;jkm_call_put!$O:$O&amp;jkm_call_put!$F:$F,0),1),"")</f>
        <v/>
      </c>
      <c r="W14" s="7" t="str" cm="1">
        <f t="array" aca="1" ref="W14" ca="1">_xlfn.IFNA(INDEX(jkm_call_put!$M:$M,MATCH($B14&amp;W$2&amp;$A$1,jkm_call_put!$G:$G&amp;jkm_call_put!$O:$O&amp;jkm_call_put!$F:$F,0),1),"")</f>
        <v/>
      </c>
      <c r="X14" s="7" t="str" cm="1">
        <f t="array" aca="1" ref="X14" ca="1">_xlfn.IFNA(INDEX(jkm_call_put!$M:$M,MATCH($B14&amp;X$2&amp;$A$1,jkm_call_put!$G:$G&amp;jkm_call_put!$O:$O&amp;jkm_call_put!$F:$F,0),1),"")</f>
        <v/>
      </c>
      <c r="Y14" s="7" t="str" cm="1">
        <f t="array" aca="1" ref="Y14" ca="1">_xlfn.IFNA(INDEX(jkm_call_put!$M:$M,MATCH($B14&amp;Y$2&amp;$A$1,jkm_call_put!$G:$G&amp;jkm_call_put!$O:$O&amp;jkm_call_put!$F:$F,0),1),"")</f>
        <v/>
      </c>
      <c r="Z14" s="7" t="str" cm="1">
        <f t="array" aca="1" ref="Z14" ca="1">_xlfn.IFNA(INDEX(jkm_call_put!$M:$M,MATCH($B14&amp;Z$2&amp;$A$1,jkm_call_put!$G:$G&amp;jkm_call_put!$O:$O&amp;jkm_call_put!$F:$F,0),1),"")</f>
        <v/>
      </c>
      <c r="AA14" s="7" t="str" cm="1">
        <f t="array" aca="1" ref="AA14" ca="1">_xlfn.IFNA(INDEX(jkm_call_put!$M:$M,MATCH($B14&amp;AA$2&amp;$A$1,jkm_call_put!$G:$G&amp;jkm_call_put!$O:$O&amp;jkm_call_put!$F:$F,0),1),"")</f>
        <v/>
      </c>
      <c r="AB14" s="7" t="str" cm="1">
        <f t="array" aca="1" ref="AB14" ca="1">_xlfn.IFNA(INDEX(jkm_call_put!$M:$M,MATCH($B14&amp;AB$2&amp;$A$1,jkm_call_put!$G:$G&amp;jkm_call_put!$O:$O&amp;jkm_call_put!$F:$F,0),1),"")</f>
        <v/>
      </c>
      <c r="AC14" s="7" t="str" cm="1">
        <f t="array" aca="1" ref="AC14" ca="1">_xlfn.IFNA(INDEX(jkm_call_put!$M:$M,MATCH($B14&amp;AC$2&amp;$A$1,jkm_call_put!$G:$G&amp;jkm_call_put!$O:$O&amp;jkm_call_put!$F:$F,0),1),"")</f>
        <v/>
      </c>
      <c r="AD14" s="7" t="str" cm="1">
        <f t="array" aca="1" ref="AD14" ca="1">_xlfn.IFNA(INDEX(jkm_call_put!$M:$M,MATCH($B14&amp;AD$2&amp;$A$1,jkm_call_put!$G:$G&amp;jkm_call_put!$O:$O&amp;jkm_call_put!$F:$F,0),1),"")</f>
        <v/>
      </c>
      <c r="AE14" s="7" t="str" cm="1">
        <f t="array" aca="1" ref="AE14" ca="1">_xlfn.IFNA(INDEX(jkm_call_put!$M:$M,MATCH($B14&amp;AE$2&amp;$A$1,jkm_call_put!$G:$G&amp;jkm_call_put!$O:$O&amp;jkm_call_put!$F:$F,0),1),"")</f>
        <v/>
      </c>
      <c r="AF14" s="7" t="str" cm="1">
        <f t="array" aca="1" ref="AF14" ca="1">_xlfn.IFNA(INDEX(jkm_call_put!$M:$M,MATCH($B14&amp;AF$2&amp;$A$1,jkm_call_put!$G:$G&amp;jkm_call_put!$O:$O&amp;jkm_call_put!$F:$F,0),1),"")</f>
        <v/>
      </c>
      <c r="AG14" s="7" t="str" cm="1">
        <f t="array" aca="1" ref="AG14" ca="1">_xlfn.IFNA(INDEX(jkm_call_put!$M:$M,MATCH($B14&amp;AG$2&amp;$A$1,jkm_call_put!$G:$G&amp;jkm_call_put!$O:$O&amp;jkm_call_put!$F:$F,0),1),"")</f>
        <v/>
      </c>
      <c r="AH14" s="7" t="str" cm="1">
        <f t="array" aca="1" ref="AH14" ca="1">_xlfn.IFNA(INDEX(jkm_call_put!$M:$M,MATCH($B14&amp;AH$2&amp;$A$1,jkm_call_put!$G:$G&amp;jkm_call_put!$O:$O&amp;jkm_call_put!$F:$F,0),1),"")</f>
        <v/>
      </c>
      <c r="AI14" s="7" t="str" cm="1">
        <f t="array" aca="1" ref="AI14" ca="1">_xlfn.IFNA(INDEX(jkm_call_put!$M:$M,MATCH($B14&amp;AI$2&amp;$A$1,jkm_call_put!$G:$G&amp;jkm_call_put!$O:$O&amp;jkm_call_put!$F:$F,0),1),"")</f>
        <v/>
      </c>
      <c r="AJ14" s="7" t="str" cm="1">
        <f t="array" aca="1" ref="AJ14" ca="1">_xlfn.IFNA(INDEX(jkm_call_put!$M:$M,MATCH($B14&amp;AJ$2&amp;$A$1,jkm_call_put!$G:$G&amp;jkm_call_put!$O:$O&amp;jkm_call_put!$F:$F,0),1),"")</f>
        <v/>
      </c>
      <c r="AK14" s="7" t="str" cm="1">
        <f t="array" aca="1" ref="AK14" ca="1">_xlfn.IFNA(INDEX(jkm_call_put!$M:$M,MATCH($B14&amp;AK$2&amp;$A$1,jkm_call_put!$G:$G&amp;jkm_call_put!$O:$O&amp;jkm_call_put!$F:$F,0),1),"")</f>
        <v/>
      </c>
      <c r="AL14" s="7" t="str" cm="1">
        <f t="array" aca="1" ref="AL14" ca="1">_xlfn.IFNA(INDEX(jkm_call_put!$M:$M,MATCH($B14&amp;AL$2&amp;$A$1,jkm_call_put!$G:$G&amp;jkm_call_put!$O:$O&amp;jkm_call_put!$F:$F,0),1),"")</f>
        <v/>
      </c>
    </row>
    <row r="15" spans="1:38" x14ac:dyDescent="0.25">
      <c r="B15">
        <v>11</v>
      </c>
      <c r="C15" s="7" t="str" cm="1">
        <f t="array" aca="1" ref="C15" ca="1">_xlfn.IFNA(INDEX(jkm_call_put!$M:$M,MATCH($B15&amp;C$2&amp;$A$1,jkm_call_put!$G:$G&amp;jkm_call_put!$O:$O&amp;jkm_call_put!$F:$F,0),1),"")</f>
        <v/>
      </c>
      <c r="D15" s="7" t="str" cm="1">
        <f t="array" aca="1" ref="D15" ca="1">_xlfn.IFNA(INDEX(jkm_call_put!$M:$M,MATCH($B15&amp;D$2&amp;$A$1,jkm_call_put!$G:$G&amp;jkm_call_put!$O:$O&amp;jkm_call_put!$F:$F,0),1),"")</f>
        <v/>
      </c>
      <c r="E15" s="7" t="str" cm="1">
        <f t="array" aca="1" ref="E15" ca="1">_xlfn.IFNA(INDEX(jkm_call_put!$M:$M,MATCH($B15&amp;E$2&amp;$A$1,jkm_call_put!$G:$G&amp;jkm_call_put!$O:$O&amp;jkm_call_put!$F:$F,0),1),"")</f>
        <v/>
      </c>
      <c r="F15" s="7" t="str" cm="1">
        <f t="array" aca="1" ref="F15" ca="1">_xlfn.IFNA(INDEX(jkm_call_put!$M:$M,MATCH($B15&amp;F$2&amp;$A$1,jkm_call_put!$G:$G&amp;jkm_call_put!$O:$O&amp;jkm_call_put!$F:$F,0),1),"")</f>
        <v/>
      </c>
      <c r="G15" s="7" t="str" cm="1">
        <f t="array" aca="1" ref="G15" ca="1">_xlfn.IFNA(INDEX(jkm_call_put!$M:$M,MATCH($B15&amp;G$2&amp;$A$1,jkm_call_put!$G:$G&amp;jkm_call_put!$O:$O&amp;jkm_call_put!$F:$F,0),1),"")</f>
        <v/>
      </c>
      <c r="H15" s="7" cm="1">
        <f t="array" aca="1" ref="H15" ca="1">_xlfn.IFNA(INDEX(jkm_call_put!$M:$M,MATCH($B15&amp;H$2&amp;$A$1,jkm_call_put!$G:$G&amp;jkm_call_put!$O:$O&amp;jkm_call_put!$F:$F,0),1),"")</f>
        <v>-0.10524</v>
      </c>
      <c r="I15" s="7" cm="1">
        <f t="array" aca="1" ref="I15" ca="1">_xlfn.IFNA(INDEX(jkm_call_put!$M:$M,MATCH($B15&amp;I$2&amp;$A$1,jkm_call_put!$G:$G&amp;jkm_call_put!$O:$O&amp;jkm_call_put!$F:$F,0),1),"")</f>
        <v>-0.1191</v>
      </c>
      <c r="J15" s="7" cm="1">
        <f t="array" aca="1" ref="J15" ca="1">_xlfn.IFNA(INDEX(jkm_call_put!$M:$M,MATCH($B15&amp;J$2&amp;$A$1,jkm_call_put!$G:$G&amp;jkm_call_put!$O:$O&amp;jkm_call_put!$F:$F,0),1),"")</f>
        <v>-0.12515999999999999</v>
      </c>
      <c r="K15" s="7" cm="1">
        <f t="array" aca="1" ref="K15" ca="1">_xlfn.IFNA(INDEX(jkm_call_put!$M:$M,MATCH($B15&amp;K$2&amp;$A$1,jkm_call_put!$G:$G&amp;jkm_call_put!$O:$O&amp;jkm_call_put!$F:$F,0),1),"")</f>
        <v>-0.13550999999999999</v>
      </c>
      <c r="L15" s="7" t="str" cm="1">
        <f t="array" aca="1" ref="L15" ca="1">_xlfn.IFNA(INDEX(jkm_call_put!$M:$M,MATCH($B15&amp;L$2&amp;$A$1,jkm_call_put!$G:$G&amp;jkm_call_put!$O:$O&amp;jkm_call_put!$F:$F,0),1),"")</f>
        <v/>
      </c>
      <c r="M15" s="7" t="str" cm="1">
        <f t="array" aca="1" ref="M15" ca="1">_xlfn.IFNA(INDEX(jkm_call_put!$M:$M,MATCH($B15&amp;M$2&amp;$A$1,jkm_call_put!$G:$G&amp;jkm_call_put!$O:$O&amp;jkm_call_put!$F:$F,0),1),"")</f>
        <v/>
      </c>
      <c r="N15" s="7" cm="1">
        <f t="array" aca="1" ref="N15" ca="1">_xlfn.IFNA(INDEX(jkm_call_put!$M:$M,MATCH($B15&amp;N$2&amp;$A$1,jkm_call_put!$G:$G&amp;jkm_call_put!$O:$O&amp;jkm_call_put!$F:$F,0),1),"")</f>
        <v>-0.23424</v>
      </c>
      <c r="O15" s="7" cm="1">
        <f t="array" aca="1" ref="O15" ca="1">_xlfn.IFNA(INDEX(jkm_call_put!$M:$M,MATCH($B15&amp;O$2&amp;$A$1,jkm_call_put!$G:$G&amp;jkm_call_put!$O:$O&amp;jkm_call_put!$F:$F,0),1),"")</f>
        <v>-0.28654000000000002</v>
      </c>
      <c r="P15" s="7" cm="1">
        <f t="array" aca="1" ref="P15" ca="1">_xlfn.IFNA(INDEX(jkm_call_put!$M:$M,MATCH($B15&amp;P$2&amp;$A$1,jkm_call_put!$G:$G&amp;jkm_call_put!$O:$O&amp;jkm_call_put!$F:$F,0),1),"")</f>
        <v>-0.30537999999999998</v>
      </c>
      <c r="Q15" s="7" cm="1">
        <f t="array" aca="1" ref="Q15" ca="1">_xlfn.IFNA(INDEX(jkm_call_put!$M:$M,MATCH($B15&amp;Q$2&amp;$A$1,jkm_call_put!$G:$G&amp;jkm_call_put!$O:$O&amp;jkm_call_put!$F:$F,0),1),"")</f>
        <v>-0.30640000000000001</v>
      </c>
      <c r="R15" s="7" cm="1">
        <f t="array" aca="1" ref="R15" ca="1">_xlfn.IFNA(INDEX(jkm_call_put!$M:$M,MATCH($B15&amp;R$2&amp;$A$1,jkm_call_put!$G:$G&amp;jkm_call_put!$O:$O&amp;jkm_call_put!$F:$F,0),1),"")</f>
        <v>-0.29759999999999998</v>
      </c>
      <c r="S15" s="7" cm="1">
        <f t="array" aca="1" ref="S15" ca="1">_xlfn.IFNA(INDEX(jkm_call_put!$M:$M,MATCH($B15&amp;S$2&amp;$A$1,jkm_call_put!$G:$G&amp;jkm_call_put!$O:$O&amp;jkm_call_put!$F:$F,0),1),"")</f>
        <v>-0.30911</v>
      </c>
      <c r="T15" s="7" t="str" cm="1">
        <f t="array" aca="1" ref="T15" ca="1">_xlfn.IFNA(INDEX(jkm_call_put!$M:$M,MATCH($B15&amp;T$2&amp;$A$1,jkm_call_put!$G:$G&amp;jkm_call_put!$O:$O&amp;jkm_call_put!$F:$F,0),1),"")</f>
        <v/>
      </c>
      <c r="U15" s="7" t="str" cm="1">
        <f t="array" aca="1" ref="U15" ca="1">_xlfn.IFNA(INDEX(jkm_call_put!$M:$M,MATCH($B15&amp;U$2&amp;$A$1,jkm_call_put!$G:$G&amp;jkm_call_put!$O:$O&amp;jkm_call_put!$F:$F,0),1),"")</f>
        <v/>
      </c>
      <c r="V15" s="7" t="str" cm="1">
        <f t="array" aca="1" ref="V15" ca="1">_xlfn.IFNA(INDEX(jkm_call_put!$M:$M,MATCH($B15&amp;V$2&amp;$A$1,jkm_call_put!$G:$G&amp;jkm_call_put!$O:$O&amp;jkm_call_put!$F:$F,0),1),"")</f>
        <v/>
      </c>
      <c r="W15" s="7" t="str" cm="1">
        <f t="array" aca="1" ref="W15" ca="1">_xlfn.IFNA(INDEX(jkm_call_put!$M:$M,MATCH($B15&amp;W$2&amp;$A$1,jkm_call_put!$G:$G&amp;jkm_call_put!$O:$O&amp;jkm_call_put!$F:$F,0),1),"")</f>
        <v/>
      </c>
      <c r="X15" s="7" t="str" cm="1">
        <f t="array" aca="1" ref="X15" ca="1">_xlfn.IFNA(INDEX(jkm_call_put!$M:$M,MATCH($B15&amp;X$2&amp;$A$1,jkm_call_put!$G:$G&amp;jkm_call_put!$O:$O&amp;jkm_call_put!$F:$F,0),1),"")</f>
        <v/>
      </c>
      <c r="Y15" s="7" t="str" cm="1">
        <f t="array" aca="1" ref="Y15" ca="1">_xlfn.IFNA(INDEX(jkm_call_put!$M:$M,MATCH($B15&amp;Y$2&amp;$A$1,jkm_call_put!$G:$G&amp;jkm_call_put!$O:$O&amp;jkm_call_put!$F:$F,0),1),"")</f>
        <v/>
      </c>
      <c r="Z15" s="7" t="str" cm="1">
        <f t="array" aca="1" ref="Z15" ca="1">_xlfn.IFNA(INDEX(jkm_call_put!$M:$M,MATCH($B15&amp;Z$2&amp;$A$1,jkm_call_put!$G:$G&amp;jkm_call_put!$O:$O&amp;jkm_call_put!$F:$F,0),1),"")</f>
        <v/>
      </c>
      <c r="AA15" s="7" t="str" cm="1">
        <f t="array" aca="1" ref="AA15" ca="1">_xlfn.IFNA(INDEX(jkm_call_put!$M:$M,MATCH($B15&amp;AA$2&amp;$A$1,jkm_call_put!$G:$G&amp;jkm_call_put!$O:$O&amp;jkm_call_put!$F:$F,0),1),"")</f>
        <v/>
      </c>
      <c r="AB15" s="7" t="str" cm="1">
        <f t="array" aca="1" ref="AB15" ca="1">_xlfn.IFNA(INDEX(jkm_call_put!$M:$M,MATCH($B15&amp;AB$2&amp;$A$1,jkm_call_put!$G:$G&amp;jkm_call_put!$O:$O&amp;jkm_call_put!$F:$F,0),1),"")</f>
        <v/>
      </c>
      <c r="AC15" s="7" t="str" cm="1">
        <f t="array" aca="1" ref="AC15" ca="1">_xlfn.IFNA(INDEX(jkm_call_put!$M:$M,MATCH($B15&amp;AC$2&amp;$A$1,jkm_call_put!$G:$G&amp;jkm_call_put!$O:$O&amp;jkm_call_put!$F:$F,0),1),"")</f>
        <v/>
      </c>
      <c r="AD15" s="7" t="str" cm="1">
        <f t="array" aca="1" ref="AD15" ca="1">_xlfn.IFNA(INDEX(jkm_call_put!$M:$M,MATCH($B15&amp;AD$2&amp;$A$1,jkm_call_put!$G:$G&amp;jkm_call_put!$O:$O&amp;jkm_call_put!$F:$F,0),1),"")</f>
        <v/>
      </c>
      <c r="AE15" s="7" t="str" cm="1">
        <f t="array" aca="1" ref="AE15" ca="1">_xlfn.IFNA(INDEX(jkm_call_put!$M:$M,MATCH($B15&amp;AE$2&amp;$A$1,jkm_call_put!$G:$G&amp;jkm_call_put!$O:$O&amp;jkm_call_put!$F:$F,0),1),"")</f>
        <v/>
      </c>
      <c r="AF15" s="7" t="str" cm="1">
        <f t="array" aca="1" ref="AF15" ca="1">_xlfn.IFNA(INDEX(jkm_call_put!$M:$M,MATCH($B15&amp;AF$2&amp;$A$1,jkm_call_put!$G:$G&amp;jkm_call_put!$O:$O&amp;jkm_call_put!$F:$F,0),1),"")</f>
        <v/>
      </c>
      <c r="AG15" s="7" t="str" cm="1">
        <f t="array" aca="1" ref="AG15" ca="1">_xlfn.IFNA(INDEX(jkm_call_put!$M:$M,MATCH($B15&amp;AG$2&amp;$A$1,jkm_call_put!$G:$G&amp;jkm_call_put!$O:$O&amp;jkm_call_put!$F:$F,0),1),"")</f>
        <v/>
      </c>
      <c r="AH15" s="7" t="str" cm="1">
        <f t="array" aca="1" ref="AH15" ca="1">_xlfn.IFNA(INDEX(jkm_call_put!$M:$M,MATCH($B15&amp;AH$2&amp;$A$1,jkm_call_put!$G:$G&amp;jkm_call_put!$O:$O&amp;jkm_call_put!$F:$F,0),1),"")</f>
        <v/>
      </c>
      <c r="AI15" s="7" t="str" cm="1">
        <f t="array" aca="1" ref="AI15" ca="1">_xlfn.IFNA(INDEX(jkm_call_put!$M:$M,MATCH($B15&amp;AI$2&amp;$A$1,jkm_call_put!$G:$G&amp;jkm_call_put!$O:$O&amp;jkm_call_put!$F:$F,0),1),"")</f>
        <v/>
      </c>
      <c r="AJ15" s="7" t="str" cm="1">
        <f t="array" aca="1" ref="AJ15" ca="1">_xlfn.IFNA(INDEX(jkm_call_put!$M:$M,MATCH($B15&amp;AJ$2&amp;$A$1,jkm_call_put!$G:$G&amp;jkm_call_put!$O:$O&amp;jkm_call_put!$F:$F,0),1),"")</f>
        <v/>
      </c>
      <c r="AK15" s="7" t="str" cm="1">
        <f t="array" aca="1" ref="AK15" ca="1">_xlfn.IFNA(INDEX(jkm_call_put!$M:$M,MATCH($B15&amp;AK$2&amp;$A$1,jkm_call_put!$G:$G&amp;jkm_call_put!$O:$O&amp;jkm_call_put!$F:$F,0),1),"")</f>
        <v/>
      </c>
      <c r="AL15" s="7" t="str" cm="1">
        <f t="array" aca="1" ref="AL15" ca="1">_xlfn.IFNA(INDEX(jkm_call_put!$M:$M,MATCH($B15&amp;AL$2&amp;$A$1,jkm_call_put!$G:$G&amp;jkm_call_put!$O:$O&amp;jkm_call_put!$F:$F,0),1),"")</f>
        <v/>
      </c>
    </row>
    <row r="16" spans="1:38" x14ac:dyDescent="0.25">
      <c r="B16">
        <v>11.5</v>
      </c>
      <c r="C16" s="7" cm="1">
        <f t="array" aca="1" ref="C16" ca="1">_xlfn.IFNA(INDEX(jkm_call_put!$M:$M,MATCH($B16&amp;C$2&amp;$A$1,jkm_call_put!$G:$G&amp;jkm_call_put!$O:$O&amp;jkm_call_put!$F:$F,0),1),"")</f>
        <v>0</v>
      </c>
      <c r="D16" s="7" cm="1">
        <f t="array" aca="1" ref="D16" ca="1">_xlfn.IFNA(INDEX(jkm_call_put!$M:$M,MATCH($B16&amp;D$2&amp;$A$1,jkm_call_put!$G:$G&amp;jkm_call_put!$O:$O&amp;jkm_call_put!$F:$F,0),1),"")</f>
        <v>-1.6100000000000001E-3</v>
      </c>
      <c r="E16" s="7" t="str" cm="1">
        <f t="array" aca="1" ref="E16" ca="1">_xlfn.IFNA(INDEX(jkm_call_put!$M:$M,MATCH($B16&amp;E$2&amp;$A$1,jkm_call_put!$G:$G&amp;jkm_call_put!$O:$O&amp;jkm_call_put!$F:$F,0),1),"")</f>
        <v/>
      </c>
      <c r="F16" s="7" t="str" cm="1">
        <f t="array" aca="1" ref="F16" ca="1">_xlfn.IFNA(INDEX(jkm_call_put!$M:$M,MATCH($B16&amp;F$2&amp;$A$1,jkm_call_put!$G:$G&amp;jkm_call_put!$O:$O&amp;jkm_call_put!$F:$F,0),1),"")</f>
        <v/>
      </c>
      <c r="G16" s="7" t="str" cm="1">
        <f t="array" aca="1" ref="G16" ca="1">_xlfn.IFNA(INDEX(jkm_call_put!$M:$M,MATCH($B16&amp;G$2&amp;$A$1,jkm_call_put!$G:$G&amp;jkm_call_put!$O:$O&amp;jkm_call_put!$F:$F,0),1),"")</f>
        <v/>
      </c>
      <c r="H16" s="7" t="str" cm="1">
        <f t="array" aca="1" ref="H16" ca="1">_xlfn.IFNA(INDEX(jkm_call_put!$M:$M,MATCH($B16&amp;H$2&amp;$A$1,jkm_call_put!$G:$G&amp;jkm_call_put!$O:$O&amp;jkm_call_put!$F:$F,0),1),"")</f>
        <v/>
      </c>
      <c r="I16" s="7" t="str" cm="1">
        <f t="array" aca="1" ref="I16" ca="1">_xlfn.IFNA(INDEX(jkm_call_put!$M:$M,MATCH($B16&amp;I$2&amp;$A$1,jkm_call_put!$G:$G&amp;jkm_call_put!$O:$O&amp;jkm_call_put!$F:$F,0),1),"")</f>
        <v/>
      </c>
      <c r="J16" s="7" t="str" cm="1">
        <f t="array" aca="1" ref="J16" ca="1">_xlfn.IFNA(INDEX(jkm_call_put!$M:$M,MATCH($B16&amp;J$2&amp;$A$1,jkm_call_put!$G:$G&amp;jkm_call_put!$O:$O&amp;jkm_call_put!$F:$F,0),1),"")</f>
        <v/>
      </c>
      <c r="K16" s="7" t="str" cm="1">
        <f t="array" aca="1" ref="K16" ca="1">_xlfn.IFNA(INDEX(jkm_call_put!$M:$M,MATCH($B16&amp;K$2&amp;$A$1,jkm_call_put!$G:$G&amp;jkm_call_put!$O:$O&amp;jkm_call_put!$F:$F,0),1),"")</f>
        <v/>
      </c>
      <c r="L16" s="7" t="str" cm="1">
        <f t="array" aca="1" ref="L16" ca="1">_xlfn.IFNA(INDEX(jkm_call_put!$M:$M,MATCH($B16&amp;L$2&amp;$A$1,jkm_call_put!$G:$G&amp;jkm_call_put!$O:$O&amp;jkm_call_put!$F:$F,0),1),"")</f>
        <v/>
      </c>
      <c r="M16" s="7" t="str" cm="1">
        <f t="array" aca="1" ref="M16" ca="1">_xlfn.IFNA(INDEX(jkm_call_put!$M:$M,MATCH($B16&amp;M$2&amp;$A$1,jkm_call_put!$G:$G&amp;jkm_call_put!$O:$O&amp;jkm_call_put!$F:$F,0),1),"")</f>
        <v/>
      </c>
      <c r="N16" s="7" t="str" cm="1">
        <f t="array" aca="1" ref="N16" ca="1">_xlfn.IFNA(INDEX(jkm_call_put!$M:$M,MATCH($B16&amp;N$2&amp;$A$1,jkm_call_put!$G:$G&amp;jkm_call_put!$O:$O&amp;jkm_call_put!$F:$F,0),1),"")</f>
        <v/>
      </c>
      <c r="O16" s="7" t="str" cm="1">
        <f t="array" aca="1" ref="O16" ca="1">_xlfn.IFNA(INDEX(jkm_call_put!$M:$M,MATCH($B16&amp;O$2&amp;$A$1,jkm_call_put!$G:$G&amp;jkm_call_put!$O:$O&amp;jkm_call_put!$F:$F,0),1),"")</f>
        <v/>
      </c>
      <c r="P16" s="7" t="str" cm="1">
        <f t="array" aca="1" ref="P16" ca="1">_xlfn.IFNA(INDEX(jkm_call_put!$M:$M,MATCH($B16&amp;P$2&amp;$A$1,jkm_call_put!$G:$G&amp;jkm_call_put!$O:$O&amp;jkm_call_put!$F:$F,0),1),"")</f>
        <v/>
      </c>
      <c r="Q16" s="7" t="str" cm="1">
        <f t="array" aca="1" ref="Q16" ca="1">_xlfn.IFNA(INDEX(jkm_call_put!$M:$M,MATCH($B16&amp;Q$2&amp;$A$1,jkm_call_put!$G:$G&amp;jkm_call_put!$O:$O&amp;jkm_call_put!$F:$F,0),1),"")</f>
        <v/>
      </c>
      <c r="R16" s="7" t="str" cm="1">
        <f t="array" aca="1" ref="R16" ca="1">_xlfn.IFNA(INDEX(jkm_call_put!$M:$M,MATCH($B16&amp;R$2&amp;$A$1,jkm_call_put!$G:$G&amp;jkm_call_put!$O:$O&amp;jkm_call_put!$F:$F,0),1),"")</f>
        <v/>
      </c>
      <c r="S16" s="7" t="str" cm="1">
        <f t="array" aca="1" ref="S16" ca="1">_xlfn.IFNA(INDEX(jkm_call_put!$M:$M,MATCH($B16&amp;S$2&amp;$A$1,jkm_call_put!$G:$G&amp;jkm_call_put!$O:$O&amp;jkm_call_put!$F:$F,0),1),"")</f>
        <v/>
      </c>
      <c r="T16" s="7" t="str" cm="1">
        <f t="array" aca="1" ref="T16" ca="1">_xlfn.IFNA(INDEX(jkm_call_put!$M:$M,MATCH($B16&amp;T$2&amp;$A$1,jkm_call_put!$G:$G&amp;jkm_call_put!$O:$O&amp;jkm_call_put!$F:$F,0),1),"")</f>
        <v/>
      </c>
      <c r="U16" s="7" t="str" cm="1">
        <f t="array" aca="1" ref="U16" ca="1">_xlfn.IFNA(INDEX(jkm_call_put!$M:$M,MATCH($B16&amp;U$2&amp;$A$1,jkm_call_put!$G:$G&amp;jkm_call_put!$O:$O&amp;jkm_call_put!$F:$F,0),1),"")</f>
        <v/>
      </c>
      <c r="V16" s="7" t="str" cm="1">
        <f t="array" aca="1" ref="V16" ca="1">_xlfn.IFNA(INDEX(jkm_call_put!$M:$M,MATCH($B16&amp;V$2&amp;$A$1,jkm_call_put!$G:$G&amp;jkm_call_put!$O:$O&amp;jkm_call_put!$F:$F,0),1),"")</f>
        <v/>
      </c>
      <c r="W16" s="7" t="str" cm="1">
        <f t="array" aca="1" ref="W16" ca="1">_xlfn.IFNA(INDEX(jkm_call_put!$M:$M,MATCH($B16&amp;W$2&amp;$A$1,jkm_call_put!$G:$G&amp;jkm_call_put!$O:$O&amp;jkm_call_put!$F:$F,0),1),"")</f>
        <v/>
      </c>
      <c r="X16" s="7" t="str" cm="1">
        <f t="array" aca="1" ref="X16" ca="1">_xlfn.IFNA(INDEX(jkm_call_put!$M:$M,MATCH($B16&amp;X$2&amp;$A$1,jkm_call_put!$G:$G&amp;jkm_call_put!$O:$O&amp;jkm_call_put!$F:$F,0),1),"")</f>
        <v/>
      </c>
      <c r="Y16" s="7" t="str" cm="1">
        <f t="array" aca="1" ref="Y16" ca="1">_xlfn.IFNA(INDEX(jkm_call_put!$M:$M,MATCH($B16&amp;Y$2&amp;$A$1,jkm_call_put!$G:$G&amp;jkm_call_put!$O:$O&amp;jkm_call_put!$F:$F,0),1),"")</f>
        <v/>
      </c>
      <c r="Z16" s="7" t="str" cm="1">
        <f t="array" aca="1" ref="Z16" ca="1">_xlfn.IFNA(INDEX(jkm_call_put!$M:$M,MATCH($B16&amp;Z$2&amp;$A$1,jkm_call_put!$G:$G&amp;jkm_call_put!$O:$O&amp;jkm_call_put!$F:$F,0),1),"")</f>
        <v/>
      </c>
      <c r="AA16" s="7" t="str" cm="1">
        <f t="array" aca="1" ref="AA16" ca="1">_xlfn.IFNA(INDEX(jkm_call_put!$M:$M,MATCH($B16&amp;AA$2&amp;$A$1,jkm_call_put!$G:$G&amp;jkm_call_put!$O:$O&amp;jkm_call_put!$F:$F,0),1),"")</f>
        <v/>
      </c>
      <c r="AB16" s="7" t="str" cm="1">
        <f t="array" aca="1" ref="AB16" ca="1">_xlfn.IFNA(INDEX(jkm_call_put!$M:$M,MATCH($B16&amp;AB$2&amp;$A$1,jkm_call_put!$G:$G&amp;jkm_call_put!$O:$O&amp;jkm_call_put!$F:$F,0),1),"")</f>
        <v/>
      </c>
      <c r="AC16" s="7" t="str" cm="1">
        <f t="array" aca="1" ref="AC16" ca="1">_xlfn.IFNA(INDEX(jkm_call_put!$M:$M,MATCH($B16&amp;AC$2&amp;$A$1,jkm_call_put!$G:$G&amp;jkm_call_put!$O:$O&amp;jkm_call_put!$F:$F,0),1),"")</f>
        <v/>
      </c>
      <c r="AD16" s="7" t="str" cm="1">
        <f t="array" aca="1" ref="AD16" ca="1">_xlfn.IFNA(INDEX(jkm_call_put!$M:$M,MATCH($B16&amp;AD$2&amp;$A$1,jkm_call_put!$G:$G&amp;jkm_call_put!$O:$O&amp;jkm_call_put!$F:$F,0),1),"")</f>
        <v/>
      </c>
      <c r="AE16" s="7" t="str" cm="1">
        <f t="array" aca="1" ref="AE16" ca="1">_xlfn.IFNA(INDEX(jkm_call_put!$M:$M,MATCH($B16&amp;AE$2&amp;$A$1,jkm_call_put!$G:$G&amp;jkm_call_put!$O:$O&amp;jkm_call_put!$F:$F,0),1),"")</f>
        <v/>
      </c>
      <c r="AF16" s="7" t="str" cm="1">
        <f t="array" aca="1" ref="AF16" ca="1">_xlfn.IFNA(INDEX(jkm_call_put!$M:$M,MATCH($B16&amp;AF$2&amp;$A$1,jkm_call_put!$G:$G&amp;jkm_call_put!$O:$O&amp;jkm_call_put!$F:$F,0),1),"")</f>
        <v/>
      </c>
      <c r="AG16" s="7" t="str" cm="1">
        <f t="array" aca="1" ref="AG16" ca="1">_xlfn.IFNA(INDEX(jkm_call_put!$M:$M,MATCH($B16&amp;AG$2&amp;$A$1,jkm_call_put!$G:$G&amp;jkm_call_put!$O:$O&amp;jkm_call_put!$F:$F,0),1),"")</f>
        <v/>
      </c>
      <c r="AH16" s="7" t="str" cm="1">
        <f t="array" aca="1" ref="AH16" ca="1">_xlfn.IFNA(INDEX(jkm_call_put!$M:$M,MATCH($B16&amp;AH$2&amp;$A$1,jkm_call_put!$G:$G&amp;jkm_call_put!$O:$O&amp;jkm_call_put!$F:$F,0),1),"")</f>
        <v/>
      </c>
      <c r="AI16" s="7" t="str" cm="1">
        <f t="array" aca="1" ref="AI16" ca="1">_xlfn.IFNA(INDEX(jkm_call_put!$M:$M,MATCH($B16&amp;AI$2&amp;$A$1,jkm_call_put!$G:$G&amp;jkm_call_put!$O:$O&amp;jkm_call_put!$F:$F,0),1),"")</f>
        <v/>
      </c>
      <c r="AJ16" s="7" t="str" cm="1">
        <f t="array" aca="1" ref="AJ16" ca="1">_xlfn.IFNA(INDEX(jkm_call_put!$M:$M,MATCH($B16&amp;AJ$2&amp;$A$1,jkm_call_put!$G:$G&amp;jkm_call_put!$O:$O&amp;jkm_call_put!$F:$F,0),1),"")</f>
        <v/>
      </c>
      <c r="AK16" s="7" t="str" cm="1">
        <f t="array" aca="1" ref="AK16" ca="1">_xlfn.IFNA(INDEX(jkm_call_put!$M:$M,MATCH($B16&amp;AK$2&amp;$A$1,jkm_call_put!$G:$G&amp;jkm_call_put!$O:$O&amp;jkm_call_put!$F:$F,0),1),"")</f>
        <v/>
      </c>
      <c r="AL16" s="7" t="str" cm="1">
        <f t="array" aca="1" ref="AL16" ca="1">_xlfn.IFNA(INDEX(jkm_call_put!$M:$M,MATCH($B16&amp;AL$2&amp;$A$1,jkm_call_put!$G:$G&amp;jkm_call_put!$O:$O&amp;jkm_call_put!$F:$F,0),1),"")</f>
        <v/>
      </c>
    </row>
    <row r="17" spans="2:38" x14ac:dyDescent="0.25">
      <c r="B17">
        <v>12.5</v>
      </c>
      <c r="C17" s="7" cm="1">
        <f t="array" aca="1" ref="C17" ca="1">_xlfn.IFNA(INDEX(jkm_call_put!$M:$M,MATCH($B17&amp;C$2&amp;$A$1,jkm_call_put!$G:$G&amp;jkm_call_put!$O:$O&amp;jkm_call_put!$F:$F,0),1),"")</f>
        <v>0</v>
      </c>
      <c r="D17" s="7" cm="1">
        <f t="array" aca="1" ref="D17" ca="1">_xlfn.IFNA(INDEX(jkm_call_put!$M:$M,MATCH($B17&amp;D$2&amp;$A$1,jkm_call_put!$G:$G&amp;jkm_call_put!$O:$O&amp;jkm_call_put!$F:$F,0),1),"")</f>
        <v>-6.8599999999999998E-3</v>
      </c>
      <c r="E17" s="7" cm="1">
        <f t="array" aca="1" ref="E17" ca="1">_xlfn.IFNA(INDEX(jkm_call_put!$M:$M,MATCH($B17&amp;E$2&amp;$A$1,jkm_call_put!$G:$G&amp;jkm_call_put!$O:$O&amp;jkm_call_put!$F:$F,0),1),"")</f>
        <v>-0.10792</v>
      </c>
      <c r="F17" s="7" cm="1">
        <f t="array" aca="1" ref="F17" ca="1">_xlfn.IFNA(INDEX(jkm_call_put!$M:$M,MATCH($B17&amp;F$2&amp;$A$1,jkm_call_put!$G:$G&amp;jkm_call_put!$O:$O&amp;jkm_call_put!$F:$F,0),1),"")</f>
        <v>-0.14612</v>
      </c>
      <c r="G17" s="7" cm="1">
        <f t="array" aca="1" ref="G17" ca="1">_xlfn.IFNA(INDEX(jkm_call_put!$M:$M,MATCH($B17&amp;G$2&amp;$A$1,jkm_call_put!$G:$G&amp;jkm_call_put!$O:$O&amp;jkm_call_put!$F:$F,0),1),"")</f>
        <v>-0.17105000000000001</v>
      </c>
      <c r="H17" s="7" t="str" cm="1">
        <f t="array" aca="1" ref="H17" ca="1">_xlfn.IFNA(INDEX(jkm_call_put!$M:$M,MATCH($B17&amp;H$2&amp;$A$1,jkm_call_put!$G:$G&amp;jkm_call_put!$O:$O&amp;jkm_call_put!$F:$F,0),1),"")</f>
        <v/>
      </c>
      <c r="I17" s="7" t="str" cm="1">
        <f t="array" aca="1" ref="I17" ca="1">_xlfn.IFNA(INDEX(jkm_call_put!$M:$M,MATCH($B17&amp;I$2&amp;$A$1,jkm_call_put!$G:$G&amp;jkm_call_put!$O:$O&amp;jkm_call_put!$F:$F,0),1),"")</f>
        <v/>
      </c>
      <c r="J17" s="7" t="str" cm="1">
        <f t="array" aca="1" ref="J17" ca="1">_xlfn.IFNA(INDEX(jkm_call_put!$M:$M,MATCH($B17&amp;J$2&amp;$A$1,jkm_call_put!$G:$G&amp;jkm_call_put!$O:$O&amp;jkm_call_put!$F:$F,0),1),"")</f>
        <v/>
      </c>
      <c r="K17" s="7" t="str" cm="1">
        <f t="array" aca="1" ref="K17" ca="1">_xlfn.IFNA(INDEX(jkm_call_put!$M:$M,MATCH($B17&amp;K$2&amp;$A$1,jkm_call_put!$G:$G&amp;jkm_call_put!$O:$O&amp;jkm_call_put!$F:$F,0),1),"")</f>
        <v/>
      </c>
      <c r="L17" s="7" t="str" cm="1">
        <f t="array" aca="1" ref="L17" ca="1">_xlfn.IFNA(INDEX(jkm_call_put!$M:$M,MATCH($B17&amp;L$2&amp;$A$1,jkm_call_put!$G:$G&amp;jkm_call_put!$O:$O&amp;jkm_call_put!$F:$F,0),1),"")</f>
        <v/>
      </c>
      <c r="M17" s="7" t="str" cm="1">
        <f t="array" aca="1" ref="M17" ca="1">_xlfn.IFNA(INDEX(jkm_call_put!$M:$M,MATCH($B17&amp;M$2&amp;$A$1,jkm_call_put!$G:$G&amp;jkm_call_put!$O:$O&amp;jkm_call_put!$F:$F,0),1),"")</f>
        <v/>
      </c>
      <c r="N17" s="7" t="str" cm="1">
        <f t="array" aca="1" ref="N17" ca="1">_xlfn.IFNA(INDEX(jkm_call_put!$M:$M,MATCH($B17&amp;N$2&amp;$A$1,jkm_call_put!$G:$G&amp;jkm_call_put!$O:$O&amp;jkm_call_put!$F:$F,0),1),"")</f>
        <v/>
      </c>
      <c r="O17" s="7" t="str" cm="1">
        <f t="array" aca="1" ref="O17" ca="1">_xlfn.IFNA(INDEX(jkm_call_put!$M:$M,MATCH($B17&amp;O$2&amp;$A$1,jkm_call_put!$G:$G&amp;jkm_call_put!$O:$O&amp;jkm_call_put!$F:$F,0),1),"")</f>
        <v/>
      </c>
      <c r="P17" s="7" t="str" cm="1">
        <f t="array" aca="1" ref="P17" ca="1">_xlfn.IFNA(INDEX(jkm_call_put!$M:$M,MATCH($B17&amp;P$2&amp;$A$1,jkm_call_put!$G:$G&amp;jkm_call_put!$O:$O&amp;jkm_call_put!$F:$F,0),1),"")</f>
        <v/>
      </c>
      <c r="Q17" s="7" t="str" cm="1">
        <f t="array" aca="1" ref="Q17" ca="1">_xlfn.IFNA(INDEX(jkm_call_put!$M:$M,MATCH($B17&amp;Q$2&amp;$A$1,jkm_call_put!$G:$G&amp;jkm_call_put!$O:$O&amp;jkm_call_put!$F:$F,0),1),"")</f>
        <v/>
      </c>
      <c r="R17" s="7" t="str" cm="1">
        <f t="array" aca="1" ref="R17" ca="1">_xlfn.IFNA(INDEX(jkm_call_put!$M:$M,MATCH($B17&amp;R$2&amp;$A$1,jkm_call_put!$G:$G&amp;jkm_call_put!$O:$O&amp;jkm_call_put!$F:$F,0),1),"")</f>
        <v/>
      </c>
      <c r="S17" s="7" t="str" cm="1">
        <f t="array" aca="1" ref="S17" ca="1">_xlfn.IFNA(INDEX(jkm_call_put!$M:$M,MATCH($B17&amp;S$2&amp;$A$1,jkm_call_put!$G:$G&amp;jkm_call_put!$O:$O&amp;jkm_call_put!$F:$F,0),1),"")</f>
        <v/>
      </c>
      <c r="T17" s="7" t="str" cm="1">
        <f t="array" aca="1" ref="T17" ca="1">_xlfn.IFNA(INDEX(jkm_call_put!$M:$M,MATCH($B17&amp;T$2&amp;$A$1,jkm_call_put!$G:$G&amp;jkm_call_put!$O:$O&amp;jkm_call_put!$F:$F,0),1),"")</f>
        <v/>
      </c>
      <c r="U17" s="7" t="str" cm="1">
        <f t="array" aca="1" ref="U17" ca="1">_xlfn.IFNA(INDEX(jkm_call_put!$M:$M,MATCH($B17&amp;U$2&amp;$A$1,jkm_call_put!$G:$G&amp;jkm_call_put!$O:$O&amp;jkm_call_put!$F:$F,0),1),"")</f>
        <v/>
      </c>
      <c r="V17" s="7" t="str" cm="1">
        <f t="array" aca="1" ref="V17" ca="1">_xlfn.IFNA(INDEX(jkm_call_put!$M:$M,MATCH($B17&amp;V$2&amp;$A$1,jkm_call_put!$G:$G&amp;jkm_call_put!$O:$O&amp;jkm_call_put!$F:$F,0),1),"")</f>
        <v/>
      </c>
      <c r="W17" s="7" t="str" cm="1">
        <f t="array" aca="1" ref="W17" ca="1">_xlfn.IFNA(INDEX(jkm_call_put!$M:$M,MATCH($B17&amp;W$2&amp;$A$1,jkm_call_put!$G:$G&amp;jkm_call_put!$O:$O&amp;jkm_call_put!$F:$F,0),1),"")</f>
        <v/>
      </c>
      <c r="X17" s="7" t="str" cm="1">
        <f t="array" aca="1" ref="X17" ca="1">_xlfn.IFNA(INDEX(jkm_call_put!$M:$M,MATCH($B17&amp;X$2&amp;$A$1,jkm_call_put!$G:$G&amp;jkm_call_put!$O:$O&amp;jkm_call_put!$F:$F,0),1),"")</f>
        <v/>
      </c>
      <c r="Y17" s="7" t="str" cm="1">
        <f t="array" aca="1" ref="Y17" ca="1">_xlfn.IFNA(INDEX(jkm_call_put!$M:$M,MATCH($B17&amp;Y$2&amp;$A$1,jkm_call_put!$G:$G&amp;jkm_call_put!$O:$O&amp;jkm_call_put!$F:$F,0),1),"")</f>
        <v/>
      </c>
      <c r="Z17" s="7" t="str" cm="1">
        <f t="array" aca="1" ref="Z17" ca="1">_xlfn.IFNA(INDEX(jkm_call_put!$M:$M,MATCH($B17&amp;Z$2&amp;$A$1,jkm_call_put!$G:$G&amp;jkm_call_put!$O:$O&amp;jkm_call_put!$F:$F,0),1),"")</f>
        <v/>
      </c>
      <c r="AA17" s="7" t="str" cm="1">
        <f t="array" aca="1" ref="AA17" ca="1">_xlfn.IFNA(INDEX(jkm_call_put!$M:$M,MATCH($B17&amp;AA$2&amp;$A$1,jkm_call_put!$G:$G&amp;jkm_call_put!$O:$O&amp;jkm_call_put!$F:$F,0),1),"")</f>
        <v/>
      </c>
      <c r="AB17" s="7" t="str" cm="1">
        <f t="array" aca="1" ref="AB17" ca="1">_xlfn.IFNA(INDEX(jkm_call_put!$M:$M,MATCH($B17&amp;AB$2&amp;$A$1,jkm_call_put!$G:$G&amp;jkm_call_put!$O:$O&amp;jkm_call_put!$F:$F,0),1),"")</f>
        <v/>
      </c>
      <c r="AC17" s="7" t="str" cm="1">
        <f t="array" aca="1" ref="AC17" ca="1">_xlfn.IFNA(INDEX(jkm_call_put!$M:$M,MATCH($B17&amp;AC$2&amp;$A$1,jkm_call_put!$G:$G&amp;jkm_call_put!$O:$O&amp;jkm_call_put!$F:$F,0),1),"")</f>
        <v/>
      </c>
      <c r="AD17" s="7" t="str" cm="1">
        <f t="array" aca="1" ref="AD17" ca="1">_xlfn.IFNA(INDEX(jkm_call_put!$M:$M,MATCH($B17&amp;AD$2&amp;$A$1,jkm_call_put!$G:$G&amp;jkm_call_put!$O:$O&amp;jkm_call_put!$F:$F,0),1),"")</f>
        <v/>
      </c>
      <c r="AE17" s="7" t="str" cm="1">
        <f t="array" aca="1" ref="AE17" ca="1">_xlfn.IFNA(INDEX(jkm_call_put!$M:$M,MATCH($B17&amp;AE$2&amp;$A$1,jkm_call_put!$G:$G&amp;jkm_call_put!$O:$O&amp;jkm_call_put!$F:$F,0),1),"")</f>
        <v/>
      </c>
      <c r="AF17" s="7" t="str" cm="1">
        <f t="array" aca="1" ref="AF17" ca="1">_xlfn.IFNA(INDEX(jkm_call_put!$M:$M,MATCH($B17&amp;AF$2&amp;$A$1,jkm_call_put!$G:$G&amp;jkm_call_put!$O:$O&amp;jkm_call_put!$F:$F,0),1),"")</f>
        <v/>
      </c>
      <c r="AG17" s="7" t="str" cm="1">
        <f t="array" aca="1" ref="AG17" ca="1">_xlfn.IFNA(INDEX(jkm_call_put!$M:$M,MATCH($B17&amp;AG$2&amp;$A$1,jkm_call_put!$G:$G&amp;jkm_call_put!$O:$O&amp;jkm_call_put!$F:$F,0),1),"")</f>
        <v/>
      </c>
      <c r="AH17" s="7" t="str" cm="1">
        <f t="array" aca="1" ref="AH17" ca="1">_xlfn.IFNA(INDEX(jkm_call_put!$M:$M,MATCH($B17&amp;AH$2&amp;$A$1,jkm_call_put!$G:$G&amp;jkm_call_put!$O:$O&amp;jkm_call_put!$F:$F,0),1),"")</f>
        <v/>
      </c>
      <c r="AI17" s="7" t="str" cm="1">
        <f t="array" aca="1" ref="AI17" ca="1">_xlfn.IFNA(INDEX(jkm_call_put!$M:$M,MATCH($B17&amp;AI$2&amp;$A$1,jkm_call_put!$G:$G&amp;jkm_call_put!$O:$O&amp;jkm_call_put!$F:$F,0),1),"")</f>
        <v/>
      </c>
      <c r="AJ17" s="7" t="str" cm="1">
        <f t="array" aca="1" ref="AJ17" ca="1">_xlfn.IFNA(INDEX(jkm_call_put!$M:$M,MATCH($B17&amp;AJ$2&amp;$A$1,jkm_call_put!$G:$G&amp;jkm_call_put!$O:$O&amp;jkm_call_put!$F:$F,0),1),"")</f>
        <v/>
      </c>
      <c r="AK17" s="7" t="str" cm="1">
        <f t="array" aca="1" ref="AK17" ca="1">_xlfn.IFNA(INDEX(jkm_call_put!$M:$M,MATCH($B17&amp;AK$2&amp;$A$1,jkm_call_put!$G:$G&amp;jkm_call_put!$O:$O&amp;jkm_call_put!$F:$F,0),1),"")</f>
        <v/>
      </c>
      <c r="AL17" s="7" t="str" cm="1">
        <f t="array" aca="1" ref="AL17" ca="1">_xlfn.IFNA(INDEX(jkm_call_put!$M:$M,MATCH($B17&amp;AL$2&amp;$A$1,jkm_call_put!$G:$G&amp;jkm_call_put!$O:$O&amp;jkm_call_put!$F:$F,0),1),"")</f>
        <v/>
      </c>
    </row>
    <row r="18" spans="2:38" x14ac:dyDescent="0.25">
      <c r="B18">
        <v>13</v>
      </c>
      <c r="C18" s="7" cm="1">
        <f t="array" aca="1" ref="C18" ca="1">_xlfn.IFNA(INDEX(jkm_call_put!$M:$M,MATCH($B18&amp;C$2&amp;$A$1,jkm_call_put!$G:$G&amp;jkm_call_put!$O:$O&amp;jkm_call_put!$F:$F,0),1),"")</f>
        <v>0</v>
      </c>
      <c r="D18" s="7" cm="1">
        <f t="array" aca="1" ref="D18" ca="1">_xlfn.IFNA(INDEX(jkm_call_put!$M:$M,MATCH($B18&amp;D$2&amp;$A$1,jkm_call_put!$G:$G&amp;jkm_call_put!$O:$O&amp;jkm_call_put!$F:$F,0),1),"")</f>
        <v>-1.261E-2</v>
      </c>
      <c r="E18" s="7" cm="1">
        <f t="array" aca="1" ref="E18" ca="1">_xlfn.IFNA(INDEX(jkm_call_put!$M:$M,MATCH($B18&amp;E$2&amp;$A$1,jkm_call_put!$G:$G&amp;jkm_call_put!$O:$O&amp;jkm_call_put!$F:$F,0),1),"")</f>
        <v>-0.12867999999999999</v>
      </c>
      <c r="F18" s="7" cm="1">
        <f t="array" aca="1" ref="F18" ca="1">_xlfn.IFNA(INDEX(jkm_call_put!$M:$M,MATCH($B18&amp;F$2&amp;$A$1,jkm_call_put!$G:$G&amp;jkm_call_put!$O:$O&amp;jkm_call_put!$F:$F,0),1),"")</f>
        <v>-0.16725000000000001</v>
      </c>
      <c r="G18" s="7" cm="1">
        <f t="array" aca="1" ref="G18" ca="1">_xlfn.IFNA(INDEX(jkm_call_put!$M:$M,MATCH($B18&amp;G$2&amp;$A$1,jkm_call_put!$G:$G&amp;jkm_call_put!$O:$O&amp;jkm_call_put!$F:$F,0),1),"")</f>
        <v>-0.19139</v>
      </c>
      <c r="H18" s="7" cm="1">
        <f t="array" aca="1" ref="H18" ca="1">_xlfn.IFNA(INDEX(jkm_call_put!$M:$M,MATCH($B18&amp;H$2&amp;$A$1,jkm_call_put!$G:$G&amp;jkm_call_put!$O:$O&amp;jkm_call_put!$F:$F,0),1),"")</f>
        <v>-0.1923</v>
      </c>
      <c r="I18" s="7" cm="1">
        <f t="array" aca="1" ref="I18" ca="1">_xlfn.IFNA(INDEX(jkm_call_put!$M:$M,MATCH($B18&amp;I$2&amp;$A$1,jkm_call_put!$G:$G&amp;jkm_call_put!$O:$O&amp;jkm_call_put!$F:$F,0),1),"")</f>
        <v>-0.20368</v>
      </c>
      <c r="J18" s="7" cm="1">
        <f t="array" aca="1" ref="J18" ca="1">_xlfn.IFNA(INDEX(jkm_call_put!$M:$M,MATCH($B18&amp;J$2&amp;$A$1,jkm_call_put!$G:$G&amp;jkm_call_put!$O:$O&amp;jkm_call_put!$F:$F,0),1),"")</f>
        <v>-0.20522000000000001</v>
      </c>
      <c r="K18" s="7" cm="1">
        <f t="array" aca="1" ref="K18" ca="1">_xlfn.IFNA(INDEX(jkm_call_put!$M:$M,MATCH($B18&amp;K$2&amp;$A$1,jkm_call_put!$G:$G&amp;jkm_call_put!$O:$O&amp;jkm_call_put!$F:$F,0),1),"")</f>
        <v>-0.21343999999999999</v>
      </c>
      <c r="L18" s="7" cm="1">
        <f t="array" aca="1" ref="L18" ca="1">_xlfn.IFNA(INDEX(jkm_call_put!$M:$M,MATCH($B18&amp;L$2&amp;$A$1,jkm_call_put!$G:$G&amp;jkm_call_put!$O:$O&amp;jkm_call_put!$F:$F,0),1),"")</f>
        <v>-0.22672999999999999</v>
      </c>
      <c r="M18" s="7" cm="1">
        <f t="array" aca="1" ref="M18" ca="1">_xlfn.IFNA(INDEX(jkm_call_put!$M:$M,MATCH($B18&amp;M$2&amp;$A$1,jkm_call_put!$G:$G&amp;jkm_call_put!$O:$O&amp;jkm_call_put!$F:$F,0),1),"")</f>
        <v>-0.27143</v>
      </c>
      <c r="N18" s="7" t="str" cm="1">
        <f t="array" aca="1" ref="N18" ca="1">_xlfn.IFNA(INDEX(jkm_call_put!$M:$M,MATCH($B18&amp;N$2&amp;$A$1,jkm_call_put!$G:$G&amp;jkm_call_put!$O:$O&amp;jkm_call_put!$F:$F,0),1),"")</f>
        <v/>
      </c>
      <c r="O18" s="7" t="str" cm="1">
        <f t="array" aca="1" ref="O18" ca="1">_xlfn.IFNA(INDEX(jkm_call_put!$M:$M,MATCH($B18&amp;O$2&amp;$A$1,jkm_call_put!$G:$G&amp;jkm_call_put!$O:$O&amp;jkm_call_put!$F:$F,0),1),"")</f>
        <v/>
      </c>
      <c r="P18" s="7" t="str" cm="1">
        <f t="array" aca="1" ref="P18" ca="1">_xlfn.IFNA(INDEX(jkm_call_put!$M:$M,MATCH($B18&amp;P$2&amp;$A$1,jkm_call_put!$G:$G&amp;jkm_call_put!$O:$O&amp;jkm_call_put!$F:$F,0),1),"")</f>
        <v/>
      </c>
      <c r="Q18" s="7" t="str" cm="1">
        <f t="array" aca="1" ref="Q18" ca="1">_xlfn.IFNA(INDEX(jkm_call_put!$M:$M,MATCH($B18&amp;Q$2&amp;$A$1,jkm_call_put!$G:$G&amp;jkm_call_put!$O:$O&amp;jkm_call_put!$F:$F,0),1),"")</f>
        <v/>
      </c>
      <c r="R18" s="7" t="str" cm="1">
        <f t="array" aca="1" ref="R18" ca="1">_xlfn.IFNA(INDEX(jkm_call_put!$M:$M,MATCH($B18&amp;R$2&amp;$A$1,jkm_call_put!$G:$G&amp;jkm_call_put!$O:$O&amp;jkm_call_put!$F:$F,0),1),"")</f>
        <v/>
      </c>
      <c r="S18" s="7" t="str" cm="1">
        <f t="array" aca="1" ref="S18" ca="1">_xlfn.IFNA(INDEX(jkm_call_put!$M:$M,MATCH($B18&amp;S$2&amp;$A$1,jkm_call_put!$G:$G&amp;jkm_call_put!$O:$O&amp;jkm_call_put!$F:$F,0),1),"")</f>
        <v/>
      </c>
      <c r="T18" s="7" t="str" cm="1">
        <f t="array" aca="1" ref="T18" ca="1">_xlfn.IFNA(INDEX(jkm_call_put!$M:$M,MATCH($B18&amp;T$2&amp;$A$1,jkm_call_put!$G:$G&amp;jkm_call_put!$O:$O&amp;jkm_call_put!$F:$F,0),1),"")</f>
        <v/>
      </c>
      <c r="U18" s="7" t="str" cm="1">
        <f t="array" aca="1" ref="U18" ca="1">_xlfn.IFNA(INDEX(jkm_call_put!$M:$M,MATCH($B18&amp;U$2&amp;$A$1,jkm_call_put!$G:$G&amp;jkm_call_put!$O:$O&amp;jkm_call_put!$F:$F,0),1),"")</f>
        <v/>
      </c>
      <c r="V18" s="7" t="str" cm="1">
        <f t="array" aca="1" ref="V18" ca="1">_xlfn.IFNA(INDEX(jkm_call_put!$M:$M,MATCH($B18&amp;V$2&amp;$A$1,jkm_call_put!$G:$G&amp;jkm_call_put!$O:$O&amp;jkm_call_put!$F:$F,0),1),"")</f>
        <v/>
      </c>
      <c r="W18" s="7" cm="1">
        <f t="array" aca="1" ref="W18" ca="1">_xlfn.IFNA(INDEX(jkm_call_put!$M:$M,MATCH($B18&amp;W$2&amp;$A$1,jkm_call_put!$G:$G&amp;jkm_call_put!$O:$O&amp;jkm_call_put!$F:$F,0),1),"")</f>
        <v>-0.44695000000000001</v>
      </c>
      <c r="X18" s="7" cm="1">
        <f t="array" aca="1" ref="X18" ca="1">_xlfn.IFNA(INDEX(jkm_call_put!$M:$M,MATCH($B18&amp;X$2&amp;$A$1,jkm_call_put!$G:$G&amp;jkm_call_put!$O:$O&amp;jkm_call_put!$F:$F,0),1),"")</f>
        <v>-0.44311</v>
      </c>
      <c r="Y18" s="7" cm="1">
        <f t="array" aca="1" ref="Y18" ca="1">_xlfn.IFNA(INDEX(jkm_call_put!$M:$M,MATCH($B18&amp;Y$2&amp;$A$1,jkm_call_put!$G:$G&amp;jkm_call_put!$O:$O&amp;jkm_call_put!$F:$F,0),1),"")</f>
        <v>-0.47431000000000001</v>
      </c>
      <c r="Z18" s="7" cm="1">
        <f t="array" aca="1" ref="Z18" ca="1">_xlfn.IFNA(INDEX(jkm_call_put!$M:$M,MATCH($B18&amp;Z$2&amp;$A$1,jkm_call_put!$G:$G&amp;jkm_call_put!$O:$O&amp;jkm_call_put!$F:$F,0),1),"")</f>
        <v>-0.71674000000000004</v>
      </c>
      <c r="AA18" s="7" cm="1">
        <f t="array" aca="1" ref="AA18" ca="1">_xlfn.IFNA(INDEX(jkm_call_put!$M:$M,MATCH($B18&amp;AA$2&amp;$A$1,jkm_call_put!$G:$G&amp;jkm_call_put!$O:$O&amp;jkm_call_put!$F:$F,0),1),"")</f>
        <v>-0.73321999999999998</v>
      </c>
      <c r="AB18" s="7" cm="1">
        <f t="array" aca="1" ref="AB18" ca="1">_xlfn.IFNA(INDEX(jkm_call_put!$M:$M,MATCH($B18&amp;AB$2&amp;$A$1,jkm_call_put!$G:$G&amp;jkm_call_put!$O:$O&amp;jkm_call_put!$F:$F,0),1),"")</f>
        <v>-0.73414999999999997</v>
      </c>
      <c r="AC18" s="7" cm="1">
        <f t="array" aca="1" ref="AC18" ca="1">_xlfn.IFNA(INDEX(jkm_call_put!$M:$M,MATCH($B18&amp;AC$2&amp;$A$1,jkm_call_put!$G:$G&amp;jkm_call_put!$O:$O&amp;jkm_call_put!$F:$F,0),1),"")</f>
        <v>-0.72438000000000002</v>
      </c>
      <c r="AD18" s="7" cm="1">
        <f t="array" aca="1" ref="AD18" ca="1">_xlfn.IFNA(INDEX(jkm_call_put!$M:$M,MATCH($B18&amp;AD$2&amp;$A$1,jkm_call_put!$G:$G&amp;jkm_call_put!$O:$O&amp;jkm_call_put!$F:$F,0),1),"")</f>
        <v>-0.71718999999999999</v>
      </c>
      <c r="AE18" s="7" cm="1">
        <f t="array" aca="1" ref="AE18" ca="1">_xlfn.IFNA(INDEX(jkm_call_put!$M:$M,MATCH($B18&amp;AE$2&amp;$A$1,jkm_call_put!$G:$G&amp;jkm_call_put!$O:$O&amp;jkm_call_put!$F:$F,0),1),"")</f>
        <v>-0.70660000000000001</v>
      </c>
      <c r="AF18" s="7" cm="1">
        <f t="array" aca="1" ref="AF18" ca="1">_xlfn.IFNA(INDEX(jkm_call_put!$M:$M,MATCH($B18&amp;AF$2&amp;$A$1,jkm_call_put!$G:$G&amp;jkm_call_put!$O:$O&amp;jkm_call_put!$F:$F,0),1),"")</f>
        <v>-0.64268999999999998</v>
      </c>
      <c r="AG18" s="7" cm="1">
        <f t="array" aca="1" ref="AG18" ca="1">_xlfn.IFNA(INDEX(jkm_call_put!$M:$M,MATCH($B18&amp;AG$2&amp;$A$1,jkm_call_put!$G:$G&amp;jkm_call_put!$O:$O&amp;jkm_call_put!$F:$F,0),1),"")</f>
        <v>-0.62517</v>
      </c>
      <c r="AH18" s="7" cm="1">
        <f t="array" aca="1" ref="AH18" ca="1">_xlfn.IFNA(INDEX(jkm_call_put!$M:$M,MATCH($B18&amp;AH$2&amp;$A$1,jkm_call_put!$G:$G&amp;jkm_call_put!$O:$O&amp;jkm_call_put!$F:$F,0),1),"")</f>
        <v>-0.61133999999999999</v>
      </c>
      <c r="AI18" s="7" t="str" cm="1">
        <f t="array" aca="1" ref="AI18" ca="1">_xlfn.IFNA(INDEX(jkm_call_put!$M:$M,MATCH($B18&amp;AI$2&amp;$A$1,jkm_call_put!$G:$G&amp;jkm_call_put!$O:$O&amp;jkm_call_put!$F:$F,0),1),"")</f>
        <v/>
      </c>
      <c r="AJ18" s="7" t="str" cm="1">
        <f t="array" aca="1" ref="AJ18" ca="1">_xlfn.IFNA(INDEX(jkm_call_put!$M:$M,MATCH($B18&amp;AJ$2&amp;$A$1,jkm_call_put!$G:$G&amp;jkm_call_put!$O:$O&amp;jkm_call_put!$F:$F,0),1),"")</f>
        <v/>
      </c>
      <c r="AK18" s="7" t="str" cm="1">
        <f t="array" aca="1" ref="AK18" ca="1">_xlfn.IFNA(INDEX(jkm_call_put!$M:$M,MATCH($B18&amp;AK$2&amp;$A$1,jkm_call_put!$G:$G&amp;jkm_call_put!$O:$O&amp;jkm_call_put!$F:$F,0),1),"")</f>
        <v/>
      </c>
      <c r="AL18" s="7" t="str" cm="1">
        <f t="array" aca="1" ref="AL18" ca="1">_xlfn.IFNA(INDEX(jkm_call_put!$M:$M,MATCH($B18&amp;AL$2&amp;$A$1,jkm_call_put!$G:$G&amp;jkm_call_put!$O:$O&amp;jkm_call_put!$F:$F,0),1),"")</f>
        <v/>
      </c>
    </row>
    <row r="19" spans="2:38" x14ac:dyDescent="0.25">
      <c r="B19">
        <v>15</v>
      </c>
      <c r="C19" s="7" cm="1">
        <f t="array" aca="1" ref="C19" ca="1">_xlfn.IFNA(INDEX(jkm_call_put!$M:$M,MATCH($B19&amp;C$2&amp;$A$1,jkm_call_put!$G:$G&amp;jkm_call_put!$O:$O&amp;jkm_call_put!$F:$F,0),1),"")</f>
        <v>-1.1100000000000001E-3</v>
      </c>
      <c r="D19" s="7" cm="1">
        <f t="array" aca="1" ref="D19" ca="1">_xlfn.IFNA(INDEX(jkm_call_put!$M:$M,MATCH($B19&amp;D$2&amp;$A$1,jkm_call_put!$G:$G&amp;jkm_call_put!$O:$O&amp;jkm_call_put!$F:$F,0),1),"")</f>
        <v>-7.9079999999999998E-2</v>
      </c>
      <c r="E19" s="7" cm="1">
        <f t="array" aca="1" ref="E19" ca="1">_xlfn.IFNA(INDEX(jkm_call_put!$M:$M,MATCH($B19&amp;E$2&amp;$A$1,jkm_call_put!$G:$G&amp;jkm_call_put!$O:$O&amp;jkm_call_put!$F:$F,0),1),"")</f>
        <v>-0.22678000000000001</v>
      </c>
      <c r="F19" s="7" cm="1">
        <f t="array" aca="1" ref="F19" ca="1">_xlfn.IFNA(INDEX(jkm_call_put!$M:$M,MATCH($B19&amp;F$2&amp;$A$1,jkm_call_put!$G:$G&amp;jkm_call_put!$O:$O&amp;jkm_call_put!$F:$F,0),1),"")</f>
        <v>-0.25991999999999998</v>
      </c>
      <c r="G19" s="7" cm="1">
        <f t="array" aca="1" ref="G19" ca="1">_xlfn.IFNA(INDEX(jkm_call_put!$M:$M,MATCH($B19&amp;G$2&amp;$A$1,jkm_call_put!$G:$G&amp;jkm_call_put!$O:$O&amp;jkm_call_put!$F:$F,0),1),"")</f>
        <v>-0.27722000000000002</v>
      </c>
      <c r="H19" s="7" cm="1">
        <f t="array" aca="1" ref="H19" ca="1">_xlfn.IFNA(INDEX(jkm_call_put!$M:$M,MATCH($B19&amp;H$2&amp;$A$1,jkm_call_put!$G:$G&amp;jkm_call_put!$O:$O&amp;jkm_call_put!$F:$F,0),1),"")</f>
        <v>-0.29389999999999999</v>
      </c>
      <c r="I19" s="7" cm="1">
        <f t="array" aca="1" ref="I19" ca="1">_xlfn.IFNA(INDEX(jkm_call_put!$M:$M,MATCH($B19&amp;I$2&amp;$A$1,jkm_call_put!$G:$G&amp;jkm_call_put!$O:$O&amp;jkm_call_put!$F:$F,0),1),"")</f>
        <v>-0.29854000000000003</v>
      </c>
      <c r="J19" s="7" cm="1">
        <f t="array" aca="1" ref="J19" ca="1">_xlfn.IFNA(INDEX(jkm_call_put!$M:$M,MATCH($B19&amp;J$2&amp;$A$1,jkm_call_put!$G:$G&amp;jkm_call_put!$O:$O&amp;jkm_call_put!$F:$F,0),1),"")</f>
        <v>-0.29315999999999998</v>
      </c>
      <c r="K19" s="7" cm="1">
        <f t="array" aca="1" ref="K19" ca="1">_xlfn.IFNA(INDEX(jkm_call_put!$M:$M,MATCH($B19&amp;K$2&amp;$A$1,jkm_call_put!$G:$G&amp;jkm_call_put!$O:$O&amp;jkm_call_put!$F:$F,0),1),"")</f>
        <v>-0.29698000000000002</v>
      </c>
      <c r="L19" s="7" cm="1">
        <f t="array" aca="1" ref="L19" ca="1">_xlfn.IFNA(INDEX(jkm_call_put!$M:$M,MATCH($B19&amp;L$2&amp;$A$1,jkm_call_put!$G:$G&amp;jkm_call_put!$O:$O&amp;jkm_call_put!$F:$F,0),1),"")</f>
        <v>-0.30735000000000001</v>
      </c>
      <c r="M19" s="7" cm="1">
        <f t="array" aca="1" ref="M19" ca="1">_xlfn.IFNA(INDEX(jkm_call_put!$M:$M,MATCH($B19&amp;M$2&amp;$A$1,jkm_call_put!$G:$G&amp;jkm_call_put!$O:$O&amp;jkm_call_put!$F:$F,0),1),"")</f>
        <v>-0.35366999999999998</v>
      </c>
      <c r="N19" s="7" cm="1">
        <f t="array" aca="1" ref="N19" ca="1">_xlfn.IFNA(INDEX(jkm_call_put!$M:$M,MATCH($B19&amp;N$2&amp;$A$1,jkm_call_put!$G:$G&amp;jkm_call_put!$O:$O&amp;jkm_call_put!$F:$F,0),1),"")</f>
        <v>-0.47159000000000001</v>
      </c>
      <c r="O19" s="7" cm="1">
        <f t="array" aca="1" ref="O19" ca="1">_xlfn.IFNA(INDEX(jkm_call_put!$M:$M,MATCH($B19&amp;O$2&amp;$A$1,jkm_call_put!$G:$G&amp;jkm_call_put!$O:$O&amp;jkm_call_put!$F:$F,0),1),"")</f>
        <v>-0.52561999999999998</v>
      </c>
      <c r="P19" s="7" cm="1">
        <f t="array" aca="1" ref="P19" ca="1">_xlfn.IFNA(INDEX(jkm_call_put!$M:$M,MATCH($B19&amp;P$2&amp;$A$1,jkm_call_put!$G:$G&amp;jkm_call_put!$O:$O&amp;jkm_call_put!$F:$F,0),1),"")</f>
        <v>-0.53764000000000001</v>
      </c>
      <c r="Q19" s="7" cm="1">
        <f t="array" aca="1" ref="Q19" ca="1">_xlfn.IFNA(INDEX(jkm_call_put!$M:$M,MATCH($B19&amp;Q$2&amp;$A$1,jkm_call_put!$G:$G&amp;jkm_call_put!$O:$O&amp;jkm_call_put!$F:$F,0),1),"")</f>
        <v>-0.53046000000000004</v>
      </c>
      <c r="R19" s="7" cm="1">
        <f t="array" aca="1" ref="R19" ca="1">_xlfn.IFNA(INDEX(jkm_call_put!$M:$M,MATCH($B19&amp;R$2&amp;$A$1,jkm_call_put!$G:$G&amp;jkm_call_put!$O:$O&amp;jkm_call_put!$F:$F,0),1),"")</f>
        <v>-0.51326000000000005</v>
      </c>
      <c r="S19" s="7" cm="1">
        <f t="array" aca="1" ref="S19" ca="1">_xlfn.IFNA(INDEX(jkm_call_put!$M:$M,MATCH($B19&amp;S$2&amp;$A$1,jkm_call_put!$G:$G&amp;jkm_call_put!$O:$O&amp;jkm_call_put!$F:$F,0),1),"")</f>
        <v>-0.51954999999999996</v>
      </c>
      <c r="T19" s="7" cm="1">
        <f t="array" aca="1" ref="T19" ca="1">_xlfn.IFNA(INDEX(jkm_call_put!$M:$M,MATCH($B19&amp;T$2&amp;$A$1,jkm_call_put!$G:$G&amp;jkm_call_put!$O:$O&amp;jkm_call_put!$F:$F,0),1),"")</f>
        <v>-0.59763999999999995</v>
      </c>
      <c r="U19" s="7" cm="1">
        <f t="array" aca="1" ref="U19" ca="1">_xlfn.IFNA(INDEX(jkm_call_put!$M:$M,MATCH($B19&amp;U$2&amp;$A$1,jkm_call_put!$G:$G&amp;jkm_call_put!$O:$O&amp;jkm_call_put!$F:$F,0),1),"")</f>
        <v>-0.58365999999999996</v>
      </c>
      <c r="V19" s="7" cm="1">
        <f t="array" aca="1" ref="V19" ca="1">_xlfn.IFNA(INDEX(jkm_call_put!$M:$M,MATCH($B19&amp;V$2&amp;$A$1,jkm_call_put!$G:$G&amp;jkm_call_put!$O:$O&amp;jkm_call_put!$F:$F,0),1),"")</f>
        <v>-0.5544</v>
      </c>
      <c r="W19" s="7" cm="1">
        <f t="array" aca="1" ref="W19" ca="1">_xlfn.IFNA(INDEX(jkm_call_put!$M:$M,MATCH($B19&amp;W$2&amp;$A$1,jkm_call_put!$G:$G&amp;jkm_call_put!$O:$O&amp;jkm_call_put!$F:$F,0),1),"")</f>
        <v>-0.57081999999999999</v>
      </c>
      <c r="X19" s="7" cm="1">
        <f t="array" aca="1" ref="X19" ca="1">_xlfn.IFNA(INDEX(jkm_call_put!$M:$M,MATCH($B19&amp;X$2&amp;$A$1,jkm_call_put!$G:$G&amp;jkm_call_put!$O:$O&amp;jkm_call_put!$F:$F,0),1),"")</f>
        <v>-0.56405000000000005</v>
      </c>
      <c r="Y19" s="7" cm="1">
        <f t="array" aca="1" ref="Y19" ca="1">_xlfn.IFNA(INDEX(jkm_call_put!$M:$M,MATCH($B19&amp;Y$2&amp;$A$1,jkm_call_put!$G:$G&amp;jkm_call_put!$O:$O&amp;jkm_call_put!$F:$F,0),1),"")</f>
        <v>-0.59214</v>
      </c>
      <c r="Z19" s="7" cm="1">
        <f t="array" aca="1" ref="Z19" ca="1">_xlfn.IFNA(INDEX(jkm_call_put!$M:$M,MATCH($B19&amp;Z$2&amp;$A$1,jkm_call_put!$G:$G&amp;jkm_call_put!$O:$O&amp;jkm_call_put!$F:$F,0),1),"")</f>
        <v>-0.81879000000000002</v>
      </c>
      <c r="AA19" s="7" cm="1">
        <f t="array" aca="1" ref="AA19" ca="1">_xlfn.IFNA(INDEX(jkm_call_put!$M:$M,MATCH($B19&amp;AA$2&amp;$A$1,jkm_call_put!$G:$G&amp;jkm_call_put!$O:$O&amp;jkm_call_put!$F:$F,0),1),"")</f>
        <v>-0.82979999999999998</v>
      </c>
      <c r="AB19" s="7" cm="1">
        <f t="array" aca="1" ref="AB19" ca="1">_xlfn.IFNA(INDEX(jkm_call_put!$M:$M,MATCH($B19&amp;AB$2&amp;$A$1,jkm_call_put!$G:$G&amp;jkm_call_put!$O:$O&amp;jkm_call_put!$F:$F,0),1),"")</f>
        <v>-0.82887</v>
      </c>
      <c r="AC19" s="7" cm="1">
        <f t="array" aca="1" ref="AC19" ca="1">_xlfn.IFNA(INDEX(jkm_call_put!$M:$M,MATCH($B19&amp;AC$2&amp;$A$1,jkm_call_put!$G:$G&amp;jkm_call_put!$O:$O&amp;jkm_call_put!$F:$F,0),1),"")</f>
        <v>-0.81959000000000004</v>
      </c>
      <c r="AD19" s="7" cm="1">
        <f t="array" aca="1" ref="AD19" ca="1">_xlfn.IFNA(INDEX(jkm_call_put!$M:$M,MATCH($B19&amp;AD$2&amp;$A$1,jkm_call_put!$G:$G&amp;jkm_call_put!$O:$O&amp;jkm_call_put!$F:$F,0),1),"")</f>
        <v>-0.81228999999999996</v>
      </c>
      <c r="AE19" s="7" cm="1">
        <f t="array" aca="1" ref="AE19" ca="1">_xlfn.IFNA(INDEX(jkm_call_put!$M:$M,MATCH($B19&amp;AE$2&amp;$A$1,jkm_call_put!$G:$G&amp;jkm_call_put!$O:$O&amp;jkm_call_put!$F:$F,0),1),"")</f>
        <v>-0.80232999999999999</v>
      </c>
      <c r="AF19" s="7" cm="1">
        <f t="array" aca="1" ref="AF19" ca="1">_xlfn.IFNA(INDEX(jkm_call_put!$M:$M,MATCH($B19&amp;AF$2&amp;$A$1,jkm_call_put!$G:$G&amp;jkm_call_put!$O:$O&amp;jkm_call_put!$F:$F,0),1),"")</f>
        <v>-0.73375000000000001</v>
      </c>
      <c r="AG19" s="7" cm="1">
        <f t="array" aca="1" ref="AG19" ca="1">_xlfn.IFNA(INDEX(jkm_call_put!$M:$M,MATCH($B19&amp;AG$2&amp;$A$1,jkm_call_put!$G:$G&amp;jkm_call_put!$O:$O&amp;jkm_call_put!$F:$F,0),1),"")</f>
        <v>-0.71679000000000004</v>
      </c>
      <c r="AH19" s="7" cm="1">
        <f t="array" aca="1" ref="AH19" ca="1">_xlfn.IFNA(INDEX(jkm_call_put!$M:$M,MATCH($B19&amp;AH$2&amp;$A$1,jkm_call_put!$G:$G&amp;jkm_call_put!$O:$O&amp;jkm_call_put!$F:$F,0),1),"")</f>
        <v>-0.70299</v>
      </c>
      <c r="AI19" s="7" cm="1">
        <f t="array" aca="1" ref="AI19" ca="1">_xlfn.IFNA(INDEX(jkm_call_put!$M:$M,MATCH($B19&amp;AI$2&amp;$A$1,jkm_call_put!$G:$G&amp;jkm_call_put!$O:$O&amp;jkm_call_put!$F:$F,0),1),"")</f>
        <v>-0.68979999999999997</v>
      </c>
      <c r="AJ19" s="7" cm="1">
        <f t="array" aca="1" ref="AJ19" ca="1">_xlfn.IFNA(INDEX(jkm_call_put!$M:$M,MATCH($B19&amp;AJ$2&amp;$A$1,jkm_call_put!$G:$G&amp;jkm_call_put!$O:$O&amp;jkm_call_put!$F:$F,0),1),"")</f>
        <v>-0.68183000000000005</v>
      </c>
      <c r="AK19" s="7" cm="1">
        <f t="array" aca="1" ref="AK19" ca="1">_xlfn.IFNA(INDEX(jkm_call_put!$M:$M,MATCH($B19&amp;AK$2&amp;$A$1,jkm_call_put!$G:$G&amp;jkm_call_put!$O:$O&amp;jkm_call_put!$F:$F,0),1),"")</f>
        <v>-0.68101</v>
      </c>
      <c r="AL19" s="7" cm="1">
        <f t="array" aca="1" ref="AL19" ca="1">_xlfn.IFNA(INDEX(jkm_call_put!$M:$M,MATCH($B19&amp;AL$2&amp;$A$1,jkm_call_put!$G:$G&amp;jkm_call_put!$O:$O&amp;jkm_call_put!$F:$F,0),1),"")</f>
        <v>-0.7369</v>
      </c>
    </row>
    <row r="20" spans="2:38" x14ac:dyDescent="0.25">
      <c r="B20">
        <v>15.5</v>
      </c>
      <c r="C20" s="7" t="str" cm="1">
        <f t="array" aca="1" ref="C20" ca="1">_xlfn.IFNA(INDEX(jkm_call_put!$M:$M,MATCH($B20&amp;C$2&amp;$A$1,jkm_call_put!$G:$G&amp;jkm_call_put!$O:$O&amp;jkm_call_put!$F:$F,0),1),"")</f>
        <v/>
      </c>
      <c r="D20" s="7" t="str" cm="1">
        <f t="array" aca="1" ref="D20" ca="1">_xlfn.IFNA(INDEX(jkm_call_put!$M:$M,MATCH($B20&amp;D$2&amp;$A$1,jkm_call_put!$G:$G&amp;jkm_call_put!$O:$O&amp;jkm_call_put!$F:$F,0),1),"")</f>
        <v/>
      </c>
      <c r="E20" s="7" t="str" cm="1">
        <f t="array" aca="1" ref="E20" ca="1">_xlfn.IFNA(INDEX(jkm_call_put!$M:$M,MATCH($B20&amp;E$2&amp;$A$1,jkm_call_put!$G:$G&amp;jkm_call_put!$O:$O&amp;jkm_call_put!$F:$F,0),1),"")</f>
        <v/>
      </c>
      <c r="F20" s="7" t="str" cm="1">
        <f t="array" aca="1" ref="F20" ca="1">_xlfn.IFNA(INDEX(jkm_call_put!$M:$M,MATCH($B20&amp;F$2&amp;$A$1,jkm_call_put!$G:$G&amp;jkm_call_put!$O:$O&amp;jkm_call_put!$F:$F,0),1),"")</f>
        <v/>
      </c>
      <c r="G20" s="7" t="str" cm="1">
        <f t="array" aca="1" ref="G20" ca="1">_xlfn.IFNA(INDEX(jkm_call_put!$M:$M,MATCH($B20&amp;G$2&amp;$A$1,jkm_call_put!$G:$G&amp;jkm_call_put!$O:$O&amp;jkm_call_put!$F:$F,0),1),"")</f>
        <v/>
      </c>
      <c r="H20" s="7" t="str" cm="1">
        <f t="array" aca="1" ref="H20" ca="1">_xlfn.IFNA(INDEX(jkm_call_put!$M:$M,MATCH($B20&amp;H$2&amp;$A$1,jkm_call_put!$G:$G&amp;jkm_call_put!$O:$O&amp;jkm_call_put!$F:$F,0),1),"")</f>
        <v/>
      </c>
      <c r="I20" s="7" t="str" cm="1">
        <f t="array" aca="1" ref="I20" ca="1">_xlfn.IFNA(INDEX(jkm_call_put!$M:$M,MATCH($B20&amp;I$2&amp;$A$1,jkm_call_put!$G:$G&amp;jkm_call_put!$O:$O&amp;jkm_call_put!$F:$F,0),1),"")</f>
        <v/>
      </c>
      <c r="J20" s="7" t="str" cm="1">
        <f t="array" aca="1" ref="J20" ca="1">_xlfn.IFNA(INDEX(jkm_call_put!$M:$M,MATCH($B20&amp;J$2&amp;$A$1,jkm_call_put!$G:$G&amp;jkm_call_put!$O:$O&amp;jkm_call_put!$F:$F,0),1),"")</f>
        <v/>
      </c>
      <c r="K20" s="7" cm="1">
        <f t="array" aca="1" ref="K20" ca="1">_xlfn.IFNA(INDEX(jkm_call_put!$M:$M,MATCH($B20&amp;K$2&amp;$A$1,jkm_call_put!$G:$G&amp;jkm_call_put!$O:$O&amp;jkm_call_put!$F:$F,0),1),"")</f>
        <v>-0.31785999999999998</v>
      </c>
      <c r="L20" s="7" cm="1">
        <f t="array" aca="1" ref="L20" ca="1">_xlfn.IFNA(INDEX(jkm_call_put!$M:$M,MATCH($B20&amp;L$2&amp;$A$1,jkm_call_put!$G:$G&amp;jkm_call_put!$O:$O&amp;jkm_call_put!$F:$F,0),1),"")</f>
        <v>-0.32728000000000002</v>
      </c>
      <c r="M20" s="7" cm="1">
        <f t="array" aca="1" ref="M20" ca="1">_xlfn.IFNA(INDEX(jkm_call_put!$M:$M,MATCH($B20&amp;M$2&amp;$A$1,jkm_call_put!$G:$G&amp;jkm_call_put!$O:$O&amp;jkm_call_put!$F:$F,0),1),"")</f>
        <v>-0.37346000000000001</v>
      </c>
      <c r="N20" s="7" t="str" cm="1">
        <f t="array" aca="1" ref="N20" ca="1">_xlfn.IFNA(INDEX(jkm_call_put!$M:$M,MATCH($B20&amp;N$2&amp;$A$1,jkm_call_put!$G:$G&amp;jkm_call_put!$O:$O&amp;jkm_call_put!$F:$F,0),1),"")</f>
        <v/>
      </c>
      <c r="O20" s="7" t="str" cm="1">
        <f t="array" aca="1" ref="O20" ca="1">_xlfn.IFNA(INDEX(jkm_call_put!$M:$M,MATCH($B20&amp;O$2&amp;$A$1,jkm_call_put!$G:$G&amp;jkm_call_put!$O:$O&amp;jkm_call_put!$F:$F,0),1),"")</f>
        <v/>
      </c>
      <c r="P20" s="7" t="str" cm="1">
        <f t="array" aca="1" ref="P20" ca="1">_xlfn.IFNA(INDEX(jkm_call_put!$M:$M,MATCH($B20&amp;P$2&amp;$A$1,jkm_call_put!$G:$G&amp;jkm_call_put!$O:$O&amp;jkm_call_put!$F:$F,0),1),"")</f>
        <v/>
      </c>
      <c r="Q20" s="7" t="str" cm="1">
        <f t="array" aca="1" ref="Q20" ca="1">_xlfn.IFNA(INDEX(jkm_call_put!$M:$M,MATCH($B20&amp;Q$2&amp;$A$1,jkm_call_put!$G:$G&amp;jkm_call_put!$O:$O&amp;jkm_call_put!$F:$F,0),1),"")</f>
        <v/>
      </c>
      <c r="R20" s="7" t="str" cm="1">
        <f t="array" aca="1" ref="R20" ca="1">_xlfn.IFNA(INDEX(jkm_call_put!$M:$M,MATCH($B20&amp;R$2&amp;$A$1,jkm_call_put!$G:$G&amp;jkm_call_put!$O:$O&amp;jkm_call_put!$F:$F,0),1),"")</f>
        <v/>
      </c>
      <c r="S20" s="7" t="str" cm="1">
        <f t="array" aca="1" ref="S20" ca="1">_xlfn.IFNA(INDEX(jkm_call_put!$M:$M,MATCH($B20&amp;S$2&amp;$A$1,jkm_call_put!$G:$G&amp;jkm_call_put!$O:$O&amp;jkm_call_put!$F:$F,0),1),"")</f>
        <v/>
      </c>
      <c r="T20" s="7" t="str" cm="1">
        <f t="array" aca="1" ref="T20" ca="1">_xlfn.IFNA(INDEX(jkm_call_put!$M:$M,MATCH($B20&amp;T$2&amp;$A$1,jkm_call_put!$G:$G&amp;jkm_call_put!$O:$O&amp;jkm_call_put!$F:$F,0),1),"")</f>
        <v/>
      </c>
      <c r="U20" s="7" t="str" cm="1">
        <f t="array" aca="1" ref="U20" ca="1">_xlfn.IFNA(INDEX(jkm_call_put!$M:$M,MATCH($B20&amp;U$2&amp;$A$1,jkm_call_put!$G:$G&amp;jkm_call_put!$O:$O&amp;jkm_call_put!$F:$F,0),1),"")</f>
        <v/>
      </c>
      <c r="V20" s="7" t="str" cm="1">
        <f t="array" aca="1" ref="V20" ca="1">_xlfn.IFNA(INDEX(jkm_call_put!$M:$M,MATCH($B20&amp;V$2&amp;$A$1,jkm_call_put!$G:$G&amp;jkm_call_put!$O:$O&amp;jkm_call_put!$F:$F,0),1),"")</f>
        <v/>
      </c>
      <c r="W20" s="7" t="str" cm="1">
        <f t="array" aca="1" ref="W20" ca="1">_xlfn.IFNA(INDEX(jkm_call_put!$M:$M,MATCH($B20&amp;W$2&amp;$A$1,jkm_call_put!$G:$G&amp;jkm_call_put!$O:$O&amp;jkm_call_put!$F:$F,0),1),"")</f>
        <v/>
      </c>
      <c r="X20" s="7" t="str" cm="1">
        <f t="array" aca="1" ref="X20" ca="1">_xlfn.IFNA(INDEX(jkm_call_put!$M:$M,MATCH($B20&amp;X$2&amp;$A$1,jkm_call_put!$G:$G&amp;jkm_call_put!$O:$O&amp;jkm_call_put!$F:$F,0),1),"")</f>
        <v/>
      </c>
      <c r="Y20" s="7" t="str" cm="1">
        <f t="array" aca="1" ref="Y20" ca="1">_xlfn.IFNA(INDEX(jkm_call_put!$M:$M,MATCH($B20&amp;Y$2&amp;$A$1,jkm_call_put!$G:$G&amp;jkm_call_put!$O:$O&amp;jkm_call_put!$F:$F,0),1),"")</f>
        <v/>
      </c>
      <c r="Z20" s="7" t="str" cm="1">
        <f t="array" aca="1" ref="Z20" ca="1">_xlfn.IFNA(INDEX(jkm_call_put!$M:$M,MATCH($B20&amp;Z$2&amp;$A$1,jkm_call_put!$G:$G&amp;jkm_call_put!$O:$O&amp;jkm_call_put!$F:$F,0),1),"")</f>
        <v/>
      </c>
      <c r="AA20" s="7" t="str" cm="1">
        <f t="array" aca="1" ref="AA20" ca="1">_xlfn.IFNA(INDEX(jkm_call_put!$M:$M,MATCH($B20&amp;AA$2&amp;$A$1,jkm_call_put!$G:$G&amp;jkm_call_put!$O:$O&amp;jkm_call_put!$F:$F,0),1),"")</f>
        <v/>
      </c>
      <c r="AB20" s="7" t="str" cm="1">
        <f t="array" aca="1" ref="AB20" ca="1">_xlfn.IFNA(INDEX(jkm_call_put!$M:$M,MATCH($B20&amp;AB$2&amp;$A$1,jkm_call_put!$G:$G&amp;jkm_call_put!$O:$O&amp;jkm_call_put!$F:$F,0),1),"")</f>
        <v/>
      </c>
      <c r="AC20" s="7" t="str" cm="1">
        <f t="array" aca="1" ref="AC20" ca="1">_xlfn.IFNA(INDEX(jkm_call_put!$M:$M,MATCH($B20&amp;AC$2&amp;$A$1,jkm_call_put!$G:$G&amp;jkm_call_put!$O:$O&amp;jkm_call_put!$F:$F,0),1),"")</f>
        <v/>
      </c>
      <c r="AD20" s="7" t="str" cm="1">
        <f t="array" aca="1" ref="AD20" ca="1">_xlfn.IFNA(INDEX(jkm_call_put!$M:$M,MATCH($B20&amp;AD$2&amp;$A$1,jkm_call_put!$G:$G&amp;jkm_call_put!$O:$O&amp;jkm_call_put!$F:$F,0),1),"")</f>
        <v/>
      </c>
      <c r="AE20" s="7" t="str" cm="1">
        <f t="array" aca="1" ref="AE20" ca="1">_xlfn.IFNA(INDEX(jkm_call_put!$M:$M,MATCH($B20&amp;AE$2&amp;$A$1,jkm_call_put!$G:$G&amp;jkm_call_put!$O:$O&amp;jkm_call_put!$F:$F,0),1),"")</f>
        <v/>
      </c>
      <c r="AF20" s="7" t="str" cm="1">
        <f t="array" aca="1" ref="AF20" ca="1">_xlfn.IFNA(INDEX(jkm_call_put!$M:$M,MATCH($B20&amp;AF$2&amp;$A$1,jkm_call_put!$G:$G&amp;jkm_call_put!$O:$O&amp;jkm_call_put!$F:$F,0),1),"")</f>
        <v/>
      </c>
      <c r="AG20" s="7" t="str" cm="1">
        <f t="array" aca="1" ref="AG20" ca="1">_xlfn.IFNA(INDEX(jkm_call_put!$M:$M,MATCH($B20&amp;AG$2&amp;$A$1,jkm_call_put!$G:$G&amp;jkm_call_put!$O:$O&amp;jkm_call_put!$F:$F,0),1),"")</f>
        <v/>
      </c>
      <c r="AH20" s="7" t="str" cm="1">
        <f t="array" aca="1" ref="AH20" ca="1">_xlfn.IFNA(INDEX(jkm_call_put!$M:$M,MATCH($B20&amp;AH$2&amp;$A$1,jkm_call_put!$G:$G&amp;jkm_call_put!$O:$O&amp;jkm_call_put!$F:$F,0),1),"")</f>
        <v/>
      </c>
      <c r="AI20" s="7" t="str" cm="1">
        <f t="array" aca="1" ref="AI20" ca="1">_xlfn.IFNA(INDEX(jkm_call_put!$M:$M,MATCH($B20&amp;AI$2&amp;$A$1,jkm_call_put!$G:$G&amp;jkm_call_put!$O:$O&amp;jkm_call_put!$F:$F,0),1),"")</f>
        <v/>
      </c>
      <c r="AJ20" s="7" t="str" cm="1">
        <f t="array" aca="1" ref="AJ20" ca="1">_xlfn.IFNA(INDEX(jkm_call_put!$M:$M,MATCH($B20&amp;AJ$2&amp;$A$1,jkm_call_put!$G:$G&amp;jkm_call_put!$O:$O&amp;jkm_call_put!$F:$F,0),1),"")</f>
        <v/>
      </c>
      <c r="AK20" s="7" t="str" cm="1">
        <f t="array" aca="1" ref="AK20" ca="1">_xlfn.IFNA(INDEX(jkm_call_put!$M:$M,MATCH($B20&amp;AK$2&amp;$A$1,jkm_call_put!$G:$G&amp;jkm_call_put!$O:$O&amp;jkm_call_put!$F:$F,0),1),"")</f>
        <v/>
      </c>
      <c r="AL20" s="7" t="str" cm="1">
        <f t="array" aca="1" ref="AL20" ca="1">_xlfn.IFNA(INDEX(jkm_call_put!$M:$M,MATCH($B20&amp;AL$2&amp;$A$1,jkm_call_put!$G:$G&amp;jkm_call_put!$O:$O&amp;jkm_call_put!$F:$F,0),1),"")</f>
        <v/>
      </c>
    </row>
    <row r="21" spans="2:38" x14ac:dyDescent="0.25">
      <c r="B21">
        <v>16.5</v>
      </c>
      <c r="C21" s="7" t="str" cm="1">
        <f t="array" aca="1" ref="C21" ca="1">_xlfn.IFNA(INDEX(jkm_call_put!$M:$M,MATCH($B21&amp;C$2&amp;$A$1,jkm_call_put!$G:$G&amp;jkm_call_put!$O:$O&amp;jkm_call_put!$F:$F,0),1),"")</f>
        <v/>
      </c>
      <c r="D21" s="7" t="str" cm="1">
        <f t="array" aca="1" ref="D21" ca="1">_xlfn.IFNA(INDEX(jkm_call_put!$M:$M,MATCH($B21&amp;D$2&amp;$A$1,jkm_call_put!$G:$G&amp;jkm_call_put!$O:$O&amp;jkm_call_put!$F:$F,0),1),"")</f>
        <v/>
      </c>
      <c r="E21" s="7" t="str" cm="1">
        <f t="array" aca="1" ref="E21" ca="1">_xlfn.IFNA(INDEX(jkm_call_put!$M:$M,MATCH($B21&amp;E$2&amp;$A$1,jkm_call_put!$G:$G&amp;jkm_call_put!$O:$O&amp;jkm_call_put!$F:$F,0),1),"")</f>
        <v/>
      </c>
      <c r="F21" s="7" t="str" cm="1">
        <f t="array" aca="1" ref="F21" ca="1">_xlfn.IFNA(INDEX(jkm_call_put!$M:$M,MATCH($B21&amp;F$2&amp;$A$1,jkm_call_put!$G:$G&amp;jkm_call_put!$O:$O&amp;jkm_call_put!$F:$F,0),1),"")</f>
        <v/>
      </c>
      <c r="G21" s="7" t="str" cm="1">
        <f t="array" aca="1" ref="G21" ca="1">_xlfn.IFNA(INDEX(jkm_call_put!$M:$M,MATCH($B21&amp;G$2&amp;$A$1,jkm_call_put!$G:$G&amp;jkm_call_put!$O:$O&amp;jkm_call_put!$F:$F,0),1),"")</f>
        <v/>
      </c>
      <c r="H21" s="7" cm="1">
        <f t="array" aca="1" ref="H21" ca="1">_xlfn.IFNA(INDEX(jkm_call_put!$M:$M,MATCH($B21&amp;H$2&amp;$A$1,jkm_call_put!$G:$G&amp;jkm_call_put!$O:$O&amp;jkm_call_put!$F:$F,0),1),"")</f>
        <v>-0.37203999999999998</v>
      </c>
      <c r="I21" s="7" cm="1">
        <f t="array" aca="1" ref="I21" ca="1">_xlfn.IFNA(INDEX(jkm_call_put!$M:$M,MATCH($B21&amp;I$2&amp;$A$1,jkm_call_put!$G:$G&amp;jkm_call_put!$O:$O&amp;jkm_call_put!$F:$F,0),1),"")</f>
        <v>-0.37024000000000001</v>
      </c>
      <c r="J21" s="7" cm="1">
        <f t="array" aca="1" ref="J21" ca="1">_xlfn.IFNA(INDEX(jkm_call_put!$M:$M,MATCH($B21&amp;J$2&amp;$A$1,jkm_call_put!$G:$G&amp;jkm_call_put!$O:$O&amp;jkm_call_put!$F:$F,0),1),"")</f>
        <v>-0.35920000000000002</v>
      </c>
      <c r="K21" s="7" t="str" cm="1">
        <f t="array" aca="1" ref="K21" ca="1">_xlfn.IFNA(INDEX(jkm_call_put!$M:$M,MATCH($B21&amp;K$2&amp;$A$1,jkm_call_put!$G:$G&amp;jkm_call_put!$O:$O&amp;jkm_call_put!$F:$F,0),1),"")</f>
        <v/>
      </c>
      <c r="L21" s="7" t="str" cm="1">
        <f t="array" aca="1" ref="L21" ca="1">_xlfn.IFNA(INDEX(jkm_call_put!$M:$M,MATCH($B21&amp;L$2&amp;$A$1,jkm_call_put!$G:$G&amp;jkm_call_put!$O:$O&amp;jkm_call_put!$F:$F,0),1),"")</f>
        <v/>
      </c>
      <c r="M21" s="7" t="str" cm="1">
        <f t="array" aca="1" ref="M21" ca="1">_xlfn.IFNA(INDEX(jkm_call_put!$M:$M,MATCH($B21&amp;M$2&amp;$A$1,jkm_call_put!$G:$G&amp;jkm_call_put!$O:$O&amp;jkm_call_put!$F:$F,0),1),"")</f>
        <v/>
      </c>
      <c r="N21" s="7" t="str" cm="1">
        <f t="array" aca="1" ref="N21" ca="1">_xlfn.IFNA(INDEX(jkm_call_put!$M:$M,MATCH($B21&amp;N$2&amp;$A$1,jkm_call_put!$G:$G&amp;jkm_call_put!$O:$O&amp;jkm_call_put!$F:$F,0),1),"")</f>
        <v/>
      </c>
      <c r="O21" s="7" t="str" cm="1">
        <f t="array" aca="1" ref="O21" ca="1">_xlfn.IFNA(INDEX(jkm_call_put!$M:$M,MATCH($B21&amp;O$2&amp;$A$1,jkm_call_put!$G:$G&amp;jkm_call_put!$O:$O&amp;jkm_call_put!$F:$F,0),1),"")</f>
        <v/>
      </c>
      <c r="P21" s="7" t="str" cm="1">
        <f t="array" aca="1" ref="P21" ca="1">_xlfn.IFNA(INDEX(jkm_call_put!$M:$M,MATCH($B21&amp;P$2&amp;$A$1,jkm_call_put!$G:$G&amp;jkm_call_put!$O:$O&amp;jkm_call_put!$F:$F,0),1),"")</f>
        <v/>
      </c>
      <c r="Q21" s="7" t="str" cm="1">
        <f t="array" aca="1" ref="Q21" ca="1">_xlfn.IFNA(INDEX(jkm_call_put!$M:$M,MATCH($B21&amp;Q$2&amp;$A$1,jkm_call_put!$G:$G&amp;jkm_call_put!$O:$O&amp;jkm_call_put!$F:$F,0),1),"")</f>
        <v/>
      </c>
      <c r="R21" s="7" t="str" cm="1">
        <f t="array" aca="1" ref="R21" ca="1">_xlfn.IFNA(INDEX(jkm_call_put!$M:$M,MATCH($B21&amp;R$2&amp;$A$1,jkm_call_put!$G:$G&amp;jkm_call_put!$O:$O&amp;jkm_call_put!$F:$F,0),1),"")</f>
        <v/>
      </c>
      <c r="S21" s="7" t="str" cm="1">
        <f t="array" aca="1" ref="S21" ca="1">_xlfn.IFNA(INDEX(jkm_call_put!$M:$M,MATCH($B21&amp;S$2&amp;$A$1,jkm_call_put!$G:$G&amp;jkm_call_put!$O:$O&amp;jkm_call_put!$F:$F,0),1),"")</f>
        <v/>
      </c>
      <c r="T21" s="7" t="str" cm="1">
        <f t="array" aca="1" ref="T21" ca="1">_xlfn.IFNA(INDEX(jkm_call_put!$M:$M,MATCH($B21&amp;T$2&amp;$A$1,jkm_call_put!$G:$G&amp;jkm_call_put!$O:$O&amp;jkm_call_put!$F:$F,0),1),"")</f>
        <v/>
      </c>
      <c r="U21" s="7" t="str" cm="1">
        <f t="array" aca="1" ref="U21" ca="1">_xlfn.IFNA(INDEX(jkm_call_put!$M:$M,MATCH($B21&amp;U$2&amp;$A$1,jkm_call_put!$G:$G&amp;jkm_call_put!$O:$O&amp;jkm_call_put!$F:$F,0),1),"")</f>
        <v/>
      </c>
      <c r="V21" s="7" t="str" cm="1">
        <f t="array" aca="1" ref="V21" ca="1">_xlfn.IFNA(INDEX(jkm_call_put!$M:$M,MATCH($B21&amp;V$2&amp;$A$1,jkm_call_put!$G:$G&amp;jkm_call_put!$O:$O&amp;jkm_call_put!$F:$F,0),1),"")</f>
        <v/>
      </c>
      <c r="W21" s="7" t="str" cm="1">
        <f t="array" aca="1" ref="W21" ca="1">_xlfn.IFNA(INDEX(jkm_call_put!$M:$M,MATCH($B21&amp;W$2&amp;$A$1,jkm_call_put!$G:$G&amp;jkm_call_put!$O:$O&amp;jkm_call_put!$F:$F,0),1),"")</f>
        <v/>
      </c>
      <c r="X21" s="7" t="str" cm="1">
        <f t="array" aca="1" ref="X21" ca="1">_xlfn.IFNA(INDEX(jkm_call_put!$M:$M,MATCH($B21&amp;X$2&amp;$A$1,jkm_call_put!$G:$G&amp;jkm_call_put!$O:$O&amp;jkm_call_put!$F:$F,0),1),"")</f>
        <v/>
      </c>
      <c r="Y21" s="7" t="str" cm="1">
        <f t="array" aca="1" ref="Y21" ca="1">_xlfn.IFNA(INDEX(jkm_call_put!$M:$M,MATCH($B21&amp;Y$2&amp;$A$1,jkm_call_put!$G:$G&amp;jkm_call_put!$O:$O&amp;jkm_call_put!$F:$F,0),1),"")</f>
        <v/>
      </c>
      <c r="Z21" s="7" t="str" cm="1">
        <f t="array" aca="1" ref="Z21" ca="1">_xlfn.IFNA(INDEX(jkm_call_put!$M:$M,MATCH($B21&amp;Z$2&amp;$A$1,jkm_call_put!$G:$G&amp;jkm_call_put!$O:$O&amp;jkm_call_put!$F:$F,0),1),"")</f>
        <v/>
      </c>
      <c r="AA21" s="7" t="str" cm="1">
        <f t="array" aca="1" ref="AA21" ca="1">_xlfn.IFNA(INDEX(jkm_call_put!$M:$M,MATCH($B21&amp;AA$2&amp;$A$1,jkm_call_put!$G:$G&amp;jkm_call_put!$O:$O&amp;jkm_call_put!$F:$F,0),1),"")</f>
        <v/>
      </c>
      <c r="AB21" s="7" t="str" cm="1">
        <f t="array" aca="1" ref="AB21" ca="1">_xlfn.IFNA(INDEX(jkm_call_put!$M:$M,MATCH($B21&amp;AB$2&amp;$A$1,jkm_call_put!$G:$G&amp;jkm_call_put!$O:$O&amp;jkm_call_put!$F:$F,0),1),"")</f>
        <v/>
      </c>
      <c r="AC21" s="7" t="str" cm="1">
        <f t="array" aca="1" ref="AC21" ca="1">_xlfn.IFNA(INDEX(jkm_call_put!$M:$M,MATCH($B21&amp;AC$2&amp;$A$1,jkm_call_put!$G:$G&amp;jkm_call_put!$O:$O&amp;jkm_call_put!$F:$F,0),1),"")</f>
        <v/>
      </c>
      <c r="AD21" s="7" t="str" cm="1">
        <f t="array" aca="1" ref="AD21" ca="1">_xlfn.IFNA(INDEX(jkm_call_put!$M:$M,MATCH($B21&amp;AD$2&amp;$A$1,jkm_call_put!$G:$G&amp;jkm_call_put!$O:$O&amp;jkm_call_put!$F:$F,0),1),"")</f>
        <v/>
      </c>
      <c r="AE21" s="7" t="str" cm="1">
        <f t="array" aca="1" ref="AE21" ca="1">_xlfn.IFNA(INDEX(jkm_call_put!$M:$M,MATCH($B21&amp;AE$2&amp;$A$1,jkm_call_put!$G:$G&amp;jkm_call_put!$O:$O&amp;jkm_call_put!$F:$F,0),1),"")</f>
        <v/>
      </c>
      <c r="AF21" s="7" t="str" cm="1">
        <f t="array" aca="1" ref="AF21" ca="1">_xlfn.IFNA(INDEX(jkm_call_put!$M:$M,MATCH($B21&amp;AF$2&amp;$A$1,jkm_call_put!$G:$G&amp;jkm_call_put!$O:$O&amp;jkm_call_put!$F:$F,0),1),"")</f>
        <v/>
      </c>
      <c r="AG21" s="7" t="str" cm="1">
        <f t="array" aca="1" ref="AG21" ca="1">_xlfn.IFNA(INDEX(jkm_call_put!$M:$M,MATCH($B21&amp;AG$2&amp;$A$1,jkm_call_put!$G:$G&amp;jkm_call_put!$O:$O&amp;jkm_call_put!$F:$F,0),1),"")</f>
        <v/>
      </c>
      <c r="AH21" s="7" t="str" cm="1">
        <f t="array" aca="1" ref="AH21" ca="1">_xlfn.IFNA(INDEX(jkm_call_put!$M:$M,MATCH($B21&amp;AH$2&amp;$A$1,jkm_call_put!$G:$G&amp;jkm_call_put!$O:$O&amp;jkm_call_put!$F:$F,0),1),"")</f>
        <v/>
      </c>
      <c r="AI21" s="7" t="str" cm="1">
        <f t="array" aca="1" ref="AI21" ca="1">_xlfn.IFNA(INDEX(jkm_call_put!$M:$M,MATCH($B21&amp;AI$2&amp;$A$1,jkm_call_put!$G:$G&amp;jkm_call_put!$O:$O&amp;jkm_call_put!$F:$F,0),1),"")</f>
        <v/>
      </c>
      <c r="AJ21" s="7" t="str" cm="1">
        <f t="array" aca="1" ref="AJ21" ca="1">_xlfn.IFNA(INDEX(jkm_call_put!$M:$M,MATCH($B21&amp;AJ$2&amp;$A$1,jkm_call_put!$G:$G&amp;jkm_call_put!$O:$O&amp;jkm_call_put!$F:$F,0),1),"")</f>
        <v/>
      </c>
      <c r="AK21" s="7" t="str" cm="1">
        <f t="array" aca="1" ref="AK21" ca="1">_xlfn.IFNA(INDEX(jkm_call_put!$M:$M,MATCH($B21&amp;AK$2&amp;$A$1,jkm_call_put!$G:$G&amp;jkm_call_put!$O:$O&amp;jkm_call_put!$F:$F,0),1),"")</f>
        <v/>
      </c>
      <c r="AL21" s="7" t="str" cm="1">
        <f t="array" aca="1" ref="AL21" ca="1">_xlfn.IFNA(INDEX(jkm_call_put!$M:$M,MATCH($B21&amp;AL$2&amp;$A$1,jkm_call_put!$G:$G&amp;jkm_call_put!$O:$O&amp;jkm_call_put!$F:$F,0),1),"")</f>
        <v/>
      </c>
    </row>
    <row r="22" spans="2:38" x14ac:dyDescent="0.25">
      <c r="B22">
        <v>17</v>
      </c>
      <c r="C22" s="7" t="str" cm="1">
        <f t="array" aca="1" ref="C22" ca="1">_xlfn.IFNA(INDEX(jkm_call_put!$M:$M,MATCH($B22&amp;C$2&amp;$A$1,jkm_call_put!$G:$G&amp;jkm_call_put!$O:$O&amp;jkm_call_put!$F:$F,0),1),"")</f>
        <v/>
      </c>
      <c r="D22" s="7" t="str" cm="1">
        <f t="array" aca="1" ref="D22" ca="1">_xlfn.IFNA(INDEX(jkm_call_put!$M:$M,MATCH($B22&amp;D$2&amp;$A$1,jkm_call_put!$G:$G&amp;jkm_call_put!$O:$O&amp;jkm_call_put!$F:$F,0),1),"")</f>
        <v/>
      </c>
      <c r="E22" s="7" cm="1">
        <f t="array" aca="1" ref="E22" ca="1">_xlfn.IFNA(INDEX(jkm_call_put!$M:$M,MATCH($B22&amp;E$2&amp;$A$1,jkm_call_put!$G:$G&amp;jkm_call_put!$O:$O&amp;jkm_call_put!$F:$F,0),1),"")</f>
        <v>-0.33928000000000003</v>
      </c>
      <c r="F22" s="7" cm="1">
        <f t="array" aca="1" ref="F22" ca="1">_xlfn.IFNA(INDEX(jkm_call_put!$M:$M,MATCH($B22&amp;F$2&amp;$A$1,jkm_call_put!$G:$G&amp;jkm_call_put!$O:$O&amp;jkm_call_put!$F:$F,0),1),"")</f>
        <v>-0.35851</v>
      </c>
      <c r="G22" s="7" cm="1">
        <f t="array" aca="1" ref="G22" ca="1">_xlfn.IFNA(INDEX(jkm_call_put!$M:$M,MATCH($B22&amp;G$2&amp;$A$1,jkm_call_put!$G:$G&amp;jkm_call_put!$O:$O&amp;jkm_call_put!$F:$F,0),1),"")</f>
        <v>-0.36513000000000001</v>
      </c>
      <c r="H22" s="7" t="str" cm="1">
        <f t="array" aca="1" ref="H22" ca="1">_xlfn.IFNA(INDEX(jkm_call_put!$M:$M,MATCH($B22&amp;H$2&amp;$A$1,jkm_call_put!$G:$G&amp;jkm_call_put!$O:$O&amp;jkm_call_put!$F:$F,0),1),"")</f>
        <v/>
      </c>
      <c r="I22" s="7" t="str" cm="1">
        <f t="array" aca="1" ref="I22" ca="1">_xlfn.IFNA(INDEX(jkm_call_put!$M:$M,MATCH($B22&amp;I$2&amp;$A$1,jkm_call_put!$G:$G&amp;jkm_call_put!$O:$O&amp;jkm_call_put!$F:$F,0),1),"")</f>
        <v/>
      </c>
      <c r="J22" s="7" t="str" cm="1">
        <f t="array" aca="1" ref="J22" ca="1">_xlfn.IFNA(INDEX(jkm_call_put!$M:$M,MATCH($B22&amp;J$2&amp;$A$1,jkm_call_put!$G:$G&amp;jkm_call_put!$O:$O&amp;jkm_call_put!$F:$F,0),1),"")</f>
        <v/>
      </c>
      <c r="K22" s="7" t="str" cm="1">
        <f t="array" aca="1" ref="K22" ca="1">_xlfn.IFNA(INDEX(jkm_call_put!$M:$M,MATCH($B22&amp;K$2&amp;$A$1,jkm_call_put!$G:$G&amp;jkm_call_put!$O:$O&amp;jkm_call_put!$F:$F,0),1),"")</f>
        <v/>
      </c>
      <c r="L22" s="7" t="str" cm="1">
        <f t="array" aca="1" ref="L22" ca="1">_xlfn.IFNA(INDEX(jkm_call_put!$M:$M,MATCH($B22&amp;L$2&amp;$A$1,jkm_call_put!$G:$G&amp;jkm_call_put!$O:$O&amp;jkm_call_put!$F:$F,0),1),"")</f>
        <v/>
      </c>
      <c r="M22" s="7" t="str" cm="1">
        <f t="array" aca="1" ref="M22" ca="1">_xlfn.IFNA(INDEX(jkm_call_put!$M:$M,MATCH($B22&amp;M$2&amp;$A$1,jkm_call_put!$G:$G&amp;jkm_call_put!$O:$O&amp;jkm_call_put!$F:$F,0),1),"")</f>
        <v/>
      </c>
      <c r="N22" s="7" t="str" cm="1">
        <f t="array" aca="1" ref="N22" ca="1">_xlfn.IFNA(INDEX(jkm_call_put!$M:$M,MATCH($B22&amp;N$2&amp;$A$1,jkm_call_put!$G:$G&amp;jkm_call_put!$O:$O&amp;jkm_call_put!$F:$F,0),1),"")</f>
        <v/>
      </c>
      <c r="O22" s="7" t="str" cm="1">
        <f t="array" aca="1" ref="O22" ca="1">_xlfn.IFNA(INDEX(jkm_call_put!$M:$M,MATCH($B22&amp;O$2&amp;$A$1,jkm_call_put!$G:$G&amp;jkm_call_put!$O:$O&amp;jkm_call_put!$F:$F,0),1),"")</f>
        <v/>
      </c>
      <c r="P22" s="7" t="str" cm="1">
        <f t="array" aca="1" ref="P22" ca="1">_xlfn.IFNA(INDEX(jkm_call_put!$M:$M,MATCH($B22&amp;P$2&amp;$A$1,jkm_call_put!$G:$G&amp;jkm_call_put!$O:$O&amp;jkm_call_put!$F:$F,0),1),"")</f>
        <v/>
      </c>
      <c r="Q22" s="7" t="str" cm="1">
        <f t="array" aca="1" ref="Q22" ca="1">_xlfn.IFNA(INDEX(jkm_call_put!$M:$M,MATCH($B22&amp;Q$2&amp;$A$1,jkm_call_put!$G:$G&amp;jkm_call_put!$O:$O&amp;jkm_call_put!$F:$F,0),1),"")</f>
        <v/>
      </c>
      <c r="R22" s="7" t="str" cm="1">
        <f t="array" aca="1" ref="R22" ca="1">_xlfn.IFNA(INDEX(jkm_call_put!$M:$M,MATCH($B22&amp;R$2&amp;$A$1,jkm_call_put!$G:$G&amp;jkm_call_put!$O:$O&amp;jkm_call_put!$F:$F,0),1),"")</f>
        <v/>
      </c>
      <c r="S22" s="7" t="str" cm="1">
        <f t="array" aca="1" ref="S22" ca="1">_xlfn.IFNA(INDEX(jkm_call_put!$M:$M,MATCH($B22&amp;S$2&amp;$A$1,jkm_call_put!$G:$G&amp;jkm_call_put!$O:$O&amp;jkm_call_put!$F:$F,0),1),"")</f>
        <v/>
      </c>
      <c r="T22" s="7" t="str" cm="1">
        <f t="array" aca="1" ref="T22" ca="1">_xlfn.IFNA(INDEX(jkm_call_put!$M:$M,MATCH($B22&amp;T$2&amp;$A$1,jkm_call_put!$G:$G&amp;jkm_call_put!$O:$O&amp;jkm_call_put!$F:$F,0),1),"")</f>
        <v/>
      </c>
      <c r="U22" s="7" t="str" cm="1">
        <f t="array" aca="1" ref="U22" ca="1">_xlfn.IFNA(INDEX(jkm_call_put!$M:$M,MATCH($B22&amp;U$2&amp;$A$1,jkm_call_put!$G:$G&amp;jkm_call_put!$O:$O&amp;jkm_call_put!$F:$F,0),1),"")</f>
        <v/>
      </c>
      <c r="V22" s="7" t="str" cm="1">
        <f t="array" aca="1" ref="V22" ca="1">_xlfn.IFNA(INDEX(jkm_call_put!$M:$M,MATCH($B22&amp;V$2&amp;$A$1,jkm_call_put!$G:$G&amp;jkm_call_put!$O:$O&amp;jkm_call_put!$F:$F,0),1),"")</f>
        <v/>
      </c>
      <c r="W22" s="7" t="str" cm="1">
        <f t="array" aca="1" ref="W22" ca="1">_xlfn.IFNA(INDEX(jkm_call_put!$M:$M,MATCH($B22&amp;W$2&amp;$A$1,jkm_call_put!$G:$G&amp;jkm_call_put!$O:$O&amp;jkm_call_put!$F:$F,0),1),"")</f>
        <v/>
      </c>
      <c r="X22" s="7" t="str" cm="1">
        <f t="array" aca="1" ref="X22" ca="1">_xlfn.IFNA(INDEX(jkm_call_put!$M:$M,MATCH($B22&amp;X$2&amp;$A$1,jkm_call_put!$G:$G&amp;jkm_call_put!$O:$O&amp;jkm_call_put!$F:$F,0),1),"")</f>
        <v/>
      </c>
      <c r="Y22" s="7" t="str" cm="1">
        <f t="array" aca="1" ref="Y22" ca="1">_xlfn.IFNA(INDEX(jkm_call_put!$M:$M,MATCH($B22&amp;Y$2&amp;$A$1,jkm_call_put!$G:$G&amp;jkm_call_put!$O:$O&amp;jkm_call_put!$F:$F,0),1),"")</f>
        <v/>
      </c>
      <c r="Z22" s="7" t="str" cm="1">
        <f t="array" aca="1" ref="Z22" ca="1">_xlfn.IFNA(INDEX(jkm_call_put!$M:$M,MATCH($B22&amp;Z$2&amp;$A$1,jkm_call_put!$G:$G&amp;jkm_call_put!$O:$O&amp;jkm_call_put!$F:$F,0),1),"")</f>
        <v/>
      </c>
      <c r="AA22" s="7" t="str" cm="1">
        <f t="array" aca="1" ref="AA22" ca="1">_xlfn.IFNA(INDEX(jkm_call_put!$M:$M,MATCH($B22&amp;AA$2&amp;$A$1,jkm_call_put!$G:$G&amp;jkm_call_put!$O:$O&amp;jkm_call_put!$F:$F,0),1),"")</f>
        <v/>
      </c>
      <c r="AB22" s="7" t="str" cm="1">
        <f t="array" aca="1" ref="AB22" ca="1">_xlfn.IFNA(INDEX(jkm_call_put!$M:$M,MATCH($B22&amp;AB$2&amp;$A$1,jkm_call_put!$G:$G&amp;jkm_call_put!$O:$O&amp;jkm_call_put!$F:$F,0),1),"")</f>
        <v/>
      </c>
      <c r="AC22" s="7" t="str" cm="1">
        <f t="array" aca="1" ref="AC22" ca="1">_xlfn.IFNA(INDEX(jkm_call_put!$M:$M,MATCH($B22&amp;AC$2&amp;$A$1,jkm_call_put!$G:$G&amp;jkm_call_put!$O:$O&amp;jkm_call_put!$F:$F,0),1),"")</f>
        <v/>
      </c>
      <c r="AD22" s="7" t="str" cm="1">
        <f t="array" aca="1" ref="AD22" ca="1">_xlfn.IFNA(INDEX(jkm_call_put!$M:$M,MATCH($B22&amp;AD$2&amp;$A$1,jkm_call_put!$G:$G&amp;jkm_call_put!$O:$O&amp;jkm_call_put!$F:$F,0),1),"")</f>
        <v/>
      </c>
      <c r="AE22" s="7" t="str" cm="1">
        <f t="array" aca="1" ref="AE22" ca="1">_xlfn.IFNA(INDEX(jkm_call_put!$M:$M,MATCH($B22&amp;AE$2&amp;$A$1,jkm_call_put!$G:$G&amp;jkm_call_put!$O:$O&amp;jkm_call_put!$F:$F,0),1),"")</f>
        <v/>
      </c>
      <c r="AF22" s="7" t="str" cm="1">
        <f t="array" aca="1" ref="AF22" ca="1">_xlfn.IFNA(INDEX(jkm_call_put!$M:$M,MATCH($B22&amp;AF$2&amp;$A$1,jkm_call_put!$G:$G&amp;jkm_call_put!$O:$O&amp;jkm_call_put!$F:$F,0),1),"")</f>
        <v/>
      </c>
      <c r="AG22" s="7" t="str" cm="1">
        <f t="array" aca="1" ref="AG22" ca="1">_xlfn.IFNA(INDEX(jkm_call_put!$M:$M,MATCH($B22&amp;AG$2&amp;$A$1,jkm_call_put!$G:$G&amp;jkm_call_put!$O:$O&amp;jkm_call_put!$F:$F,0),1),"")</f>
        <v/>
      </c>
      <c r="AH22" s="7" t="str" cm="1">
        <f t="array" aca="1" ref="AH22" ca="1">_xlfn.IFNA(INDEX(jkm_call_put!$M:$M,MATCH($B22&amp;AH$2&amp;$A$1,jkm_call_put!$G:$G&amp;jkm_call_put!$O:$O&amp;jkm_call_put!$F:$F,0),1),"")</f>
        <v/>
      </c>
      <c r="AI22" s="7" t="str" cm="1">
        <f t="array" aca="1" ref="AI22" ca="1">_xlfn.IFNA(INDEX(jkm_call_put!$M:$M,MATCH($B22&amp;AI$2&amp;$A$1,jkm_call_put!$G:$G&amp;jkm_call_put!$O:$O&amp;jkm_call_put!$F:$F,0),1),"")</f>
        <v/>
      </c>
      <c r="AJ22" s="7" t="str" cm="1">
        <f t="array" aca="1" ref="AJ22" ca="1">_xlfn.IFNA(INDEX(jkm_call_put!$M:$M,MATCH($B22&amp;AJ$2&amp;$A$1,jkm_call_put!$G:$G&amp;jkm_call_put!$O:$O&amp;jkm_call_put!$F:$F,0),1),"")</f>
        <v/>
      </c>
      <c r="AK22" s="7" t="str" cm="1">
        <f t="array" aca="1" ref="AK22" ca="1">_xlfn.IFNA(INDEX(jkm_call_put!$M:$M,MATCH($B22&amp;AK$2&amp;$A$1,jkm_call_put!$G:$G&amp;jkm_call_put!$O:$O&amp;jkm_call_put!$F:$F,0),1),"")</f>
        <v/>
      </c>
      <c r="AL22" s="7" t="str" cm="1">
        <f t="array" aca="1" ref="AL22" ca="1">_xlfn.IFNA(INDEX(jkm_call_put!$M:$M,MATCH($B22&amp;AL$2&amp;$A$1,jkm_call_put!$G:$G&amp;jkm_call_put!$O:$O&amp;jkm_call_put!$F:$F,0),1),"")</f>
        <v/>
      </c>
    </row>
    <row r="23" spans="2:38" x14ac:dyDescent="0.25">
      <c r="B23">
        <v>20</v>
      </c>
      <c r="C23" s="7" cm="1">
        <f t="array" aca="1" ref="C23" ca="1">_xlfn.IFNA(INDEX(jkm_call_put!$M:$M,MATCH($B23&amp;C$2&amp;$A$1,jkm_call_put!$G:$G&amp;jkm_call_put!$O:$O&amp;jkm_call_put!$F:$F,0),1),"")</f>
        <v>-0.61707000000000001</v>
      </c>
      <c r="D23" s="7" cm="1">
        <f t="array" aca="1" ref="D23" ca="1">_xlfn.IFNA(INDEX(jkm_call_put!$M:$M,MATCH($B23&amp;D$2&amp;$A$1,jkm_call_put!$G:$G&amp;jkm_call_put!$O:$O&amp;jkm_call_put!$F:$F,0),1),"")</f>
        <v>-0.60443999999999998</v>
      </c>
      <c r="E23" s="7" cm="1">
        <f t="array" aca="1" ref="E23" ca="1">_xlfn.IFNA(INDEX(jkm_call_put!$M:$M,MATCH($B23&amp;E$2&amp;$A$1,jkm_call_put!$G:$G&amp;jkm_call_put!$O:$O&amp;jkm_call_put!$F:$F,0),1),"")</f>
        <v>-0.50790999999999997</v>
      </c>
      <c r="F23" s="7" cm="1">
        <f t="array" aca="1" ref="F23" ca="1">_xlfn.IFNA(INDEX(jkm_call_put!$M:$M,MATCH($B23&amp;F$2&amp;$A$1,jkm_call_put!$G:$G&amp;jkm_call_put!$O:$O&amp;jkm_call_put!$F:$F,0),1),"")</f>
        <v>-0.50053999999999998</v>
      </c>
      <c r="G23" s="7" cm="1">
        <f t="array" aca="1" ref="G23" ca="1">_xlfn.IFNA(INDEX(jkm_call_put!$M:$M,MATCH($B23&amp;G$2&amp;$A$1,jkm_call_put!$G:$G&amp;jkm_call_put!$O:$O&amp;jkm_call_put!$F:$F,0),1),"")</f>
        <v>-0.48845</v>
      </c>
      <c r="H23" s="7" cm="1">
        <f t="array" aca="1" ref="H23" ca="1">_xlfn.IFNA(INDEX(jkm_call_put!$M:$M,MATCH($B23&amp;H$2&amp;$A$1,jkm_call_put!$G:$G&amp;jkm_call_put!$O:$O&amp;jkm_call_put!$F:$F,0),1),"")</f>
        <v>-0.53934000000000004</v>
      </c>
      <c r="I23" s="7" cm="1">
        <f t="array" aca="1" ref="I23" ca="1">_xlfn.IFNA(INDEX(jkm_call_put!$M:$M,MATCH($B23&amp;I$2&amp;$A$1,jkm_call_put!$G:$G&amp;jkm_call_put!$O:$O&amp;jkm_call_put!$F:$F,0),1),"")</f>
        <v>-0.52315999999999996</v>
      </c>
      <c r="J23" s="7" cm="1">
        <f t="array" aca="1" ref="J23" ca="1">_xlfn.IFNA(INDEX(jkm_call_put!$M:$M,MATCH($B23&amp;J$2&amp;$A$1,jkm_call_put!$G:$G&amp;jkm_call_put!$O:$O&amp;jkm_call_put!$F:$F,0),1),"")</f>
        <v>-0.50058000000000002</v>
      </c>
      <c r="K23" s="7" cm="1">
        <f t="array" aca="1" ref="K23" ca="1">_xlfn.IFNA(INDEX(jkm_call_put!$M:$M,MATCH($B23&amp;K$2&amp;$A$1,jkm_call_put!$G:$G&amp;jkm_call_put!$O:$O&amp;jkm_call_put!$F:$F,0),1),"")</f>
        <v>-0.49109999999999998</v>
      </c>
      <c r="L23" s="7" cm="1">
        <f t="array" aca="1" ref="L23" ca="1">_xlfn.IFNA(INDEX(jkm_call_put!$M:$M,MATCH($B23&amp;L$2&amp;$A$1,jkm_call_put!$G:$G&amp;jkm_call_put!$O:$O&amp;jkm_call_put!$F:$F,0),1),"")</f>
        <v>-0.49087999999999998</v>
      </c>
      <c r="M23" s="7" cm="1">
        <f t="array" aca="1" ref="M23" ca="1">_xlfn.IFNA(INDEX(jkm_call_put!$M:$M,MATCH($B23&amp;M$2&amp;$A$1,jkm_call_put!$G:$G&amp;jkm_call_put!$O:$O&amp;jkm_call_put!$F:$F,0),1),"")</f>
        <v>-0.53081</v>
      </c>
      <c r="N23" s="7" cm="1">
        <f t="array" aca="1" ref="N23" ca="1">_xlfn.IFNA(INDEX(jkm_call_put!$M:$M,MATCH($B23&amp;N$2&amp;$A$1,jkm_call_put!$G:$G&amp;jkm_call_put!$O:$O&amp;jkm_call_put!$F:$F,0),1),"")</f>
        <v>-0.70426</v>
      </c>
      <c r="O23" s="7" cm="1">
        <f t="array" aca="1" ref="O23" ca="1">_xlfn.IFNA(INDEX(jkm_call_put!$M:$M,MATCH($B23&amp;O$2&amp;$A$1,jkm_call_put!$G:$G&amp;jkm_call_put!$O:$O&amp;jkm_call_put!$F:$F,0),1),"")</f>
        <v>-0.74131999999999998</v>
      </c>
      <c r="P23" s="7" cm="1">
        <f t="array" aca="1" ref="P23" ca="1">_xlfn.IFNA(INDEX(jkm_call_put!$M:$M,MATCH($B23&amp;P$2&amp;$A$1,jkm_call_put!$G:$G&amp;jkm_call_put!$O:$O&amp;jkm_call_put!$F:$F,0),1),"")</f>
        <v>-0.74370999999999998</v>
      </c>
      <c r="Q23" s="7" cm="1">
        <f t="array" aca="1" ref="Q23" ca="1">_xlfn.IFNA(INDEX(jkm_call_put!$M:$M,MATCH($B23&amp;Q$2&amp;$A$1,jkm_call_put!$G:$G&amp;jkm_call_put!$O:$O&amp;jkm_call_put!$F:$F,0),1),"")</f>
        <v>-0.73146999999999995</v>
      </c>
      <c r="R23" s="7" cm="1">
        <f t="array" aca="1" ref="R23" ca="1">_xlfn.IFNA(INDEX(jkm_call_put!$M:$M,MATCH($B23&amp;R$2&amp;$A$1,jkm_call_put!$G:$G&amp;jkm_call_put!$O:$O&amp;jkm_call_put!$F:$F,0),1),"")</f>
        <v>-0.71138999999999997</v>
      </c>
      <c r="S23" s="7" cm="1">
        <f t="array" aca="1" ref="S23" ca="1">_xlfn.IFNA(INDEX(jkm_call_put!$M:$M,MATCH($B23&amp;S$2&amp;$A$1,jkm_call_put!$G:$G&amp;jkm_call_put!$O:$O&amp;jkm_call_put!$F:$F,0),1),"")</f>
        <v>-0.71128999999999998</v>
      </c>
      <c r="T23" s="7" cm="1">
        <f t="array" aca="1" ref="T23" ca="1">_xlfn.IFNA(INDEX(jkm_call_put!$M:$M,MATCH($B23&amp;T$2&amp;$A$1,jkm_call_put!$G:$G&amp;jkm_call_put!$O:$O&amp;jkm_call_put!$F:$F,0),1),"")</f>
        <v>-0.82110000000000005</v>
      </c>
      <c r="U23" s="7" cm="1">
        <f t="array" aca="1" ref="U23" ca="1">_xlfn.IFNA(INDEX(jkm_call_put!$M:$M,MATCH($B23&amp;U$2&amp;$A$1,jkm_call_put!$G:$G&amp;jkm_call_put!$O:$O&amp;jkm_call_put!$F:$F,0),1),"")</f>
        <v>-0.80728</v>
      </c>
      <c r="V23" s="7" cm="1">
        <f t="array" aca="1" ref="V23" ca="1">_xlfn.IFNA(INDEX(jkm_call_put!$M:$M,MATCH($B23&amp;V$2&amp;$A$1,jkm_call_put!$G:$G&amp;jkm_call_put!$O:$O&amp;jkm_call_put!$F:$F,0),1),"")</f>
        <v>-0.78200999999999998</v>
      </c>
      <c r="W23" s="7" t="str" cm="1">
        <f t="array" aca="1" ref="W23" ca="1">_xlfn.IFNA(INDEX(jkm_call_put!$M:$M,MATCH($B23&amp;W$2&amp;$A$1,jkm_call_put!$G:$G&amp;jkm_call_put!$O:$O&amp;jkm_call_put!$F:$F,0),1),"")</f>
        <v/>
      </c>
      <c r="X23" s="7" t="str" cm="1">
        <f t="array" aca="1" ref="X23" ca="1">_xlfn.IFNA(INDEX(jkm_call_put!$M:$M,MATCH($B23&amp;X$2&amp;$A$1,jkm_call_put!$G:$G&amp;jkm_call_put!$O:$O&amp;jkm_call_put!$F:$F,0),1),"")</f>
        <v/>
      </c>
      <c r="Y23" s="7" t="str" cm="1">
        <f t="array" aca="1" ref="Y23" ca="1">_xlfn.IFNA(INDEX(jkm_call_put!$M:$M,MATCH($B23&amp;Y$2&amp;$A$1,jkm_call_put!$G:$G&amp;jkm_call_put!$O:$O&amp;jkm_call_put!$F:$F,0),1),"")</f>
        <v/>
      </c>
      <c r="Z23" s="7" t="str" cm="1">
        <f t="array" aca="1" ref="Z23" ca="1">_xlfn.IFNA(INDEX(jkm_call_put!$M:$M,MATCH($B23&amp;Z$2&amp;$A$1,jkm_call_put!$G:$G&amp;jkm_call_put!$O:$O&amp;jkm_call_put!$F:$F,0),1),"")</f>
        <v/>
      </c>
      <c r="AA23" s="7" t="str" cm="1">
        <f t="array" aca="1" ref="AA23" ca="1">_xlfn.IFNA(INDEX(jkm_call_put!$M:$M,MATCH($B23&amp;AA$2&amp;$A$1,jkm_call_put!$G:$G&amp;jkm_call_put!$O:$O&amp;jkm_call_put!$F:$F,0),1),"")</f>
        <v/>
      </c>
      <c r="AB23" s="7" t="str" cm="1">
        <f t="array" aca="1" ref="AB23" ca="1">_xlfn.IFNA(INDEX(jkm_call_put!$M:$M,MATCH($B23&amp;AB$2&amp;$A$1,jkm_call_put!$G:$G&amp;jkm_call_put!$O:$O&amp;jkm_call_put!$F:$F,0),1),"")</f>
        <v/>
      </c>
      <c r="AC23" s="7" t="str" cm="1">
        <f t="array" aca="1" ref="AC23" ca="1">_xlfn.IFNA(INDEX(jkm_call_put!$M:$M,MATCH($B23&amp;AC$2&amp;$A$1,jkm_call_put!$G:$G&amp;jkm_call_put!$O:$O&amp;jkm_call_put!$F:$F,0),1),"")</f>
        <v/>
      </c>
      <c r="AD23" s="7" t="str" cm="1">
        <f t="array" aca="1" ref="AD23" ca="1">_xlfn.IFNA(INDEX(jkm_call_put!$M:$M,MATCH($B23&amp;AD$2&amp;$A$1,jkm_call_put!$G:$G&amp;jkm_call_put!$O:$O&amp;jkm_call_put!$F:$F,0),1),"")</f>
        <v/>
      </c>
      <c r="AE23" s="7" t="str" cm="1">
        <f t="array" aca="1" ref="AE23" ca="1">_xlfn.IFNA(INDEX(jkm_call_put!$M:$M,MATCH($B23&amp;AE$2&amp;$A$1,jkm_call_put!$G:$G&amp;jkm_call_put!$O:$O&amp;jkm_call_put!$F:$F,0),1),"")</f>
        <v/>
      </c>
      <c r="AF23" s="7" t="str" cm="1">
        <f t="array" aca="1" ref="AF23" ca="1">_xlfn.IFNA(INDEX(jkm_call_put!$M:$M,MATCH($B23&amp;AF$2&amp;$A$1,jkm_call_put!$G:$G&amp;jkm_call_put!$O:$O&amp;jkm_call_put!$F:$F,0),1),"")</f>
        <v/>
      </c>
      <c r="AG23" s="7" t="str" cm="1">
        <f t="array" aca="1" ref="AG23" ca="1">_xlfn.IFNA(INDEX(jkm_call_put!$M:$M,MATCH($B23&amp;AG$2&amp;$A$1,jkm_call_put!$G:$G&amp;jkm_call_put!$O:$O&amp;jkm_call_put!$F:$F,0),1),"")</f>
        <v/>
      </c>
      <c r="AH23" s="7" t="str" cm="1">
        <f t="array" aca="1" ref="AH23" ca="1">_xlfn.IFNA(INDEX(jkm_call_put!$M:$M,MATCH($B23&amp;AH$2&amp;$A$1,jkm_call_put!$G:$G&amp;jkm_call_put!$O:$O&amp;jkm_call_put!$F:$F,0),1),"")</f>
        <v/>
      </c>
      <c r="AI23" s="7" t="str" cm="1">
        <f t="array" aca="1" ref="AI23" ca="1">_xlfn.IFNA(INDEX(jkm_call_put!$M:$M,MATCH($B23&amp;AI$2&amp;$A$1,jkm_call_put!$G:$G&amp;jkm_call_put!$O:$O&amp;jkm_call_put!$F:$F,0),1),"")</f>
        <v/>
      </c>
      <c r="AJ23" s="7" t="str" cm="1">
        <f t="array" aca="1" ref="AJ23" ca="1">_xlfn.IFNA(INDEX(jkm_call_put!$M:$M,MATCH($B23&amp;AJ$2&amp;$A$1,jkm_call_put!$G:$G&amp;jkm_call_put!$O:$O&amp;jkm_call_put!$F:$F,0),1),"")</f>
        <v/>
      </c>
      <c r="AK23" s="7" t="str" cm="1">
        <f t="array" aca="1" ref="AK23" ca="1">_xlfn.IFNA(INDEX(jkm_call_put!$M:$M,MATCH($B23&amp;AK$2&amp;$A$1,jkm_call_put!$G:$G&amp;jkm_call_put!$O:$O&amp;jkm_call_put!$F:$F,0),1),"")</f>
        <v/>
      </c>
      <c r="AL23" s="7" t="str" cm="1">
        <f t="array" aca="1" ref="AL23" ca="1">_xlfn.IFNA(INDEX(jkm_call_put!$M:$M,MATCH($B23&amp;AL$2&amp;$A$1,jkm_call_put!$G:$G&amp;jkm_call_put!$O:$O&amp;jkm_call_put!$F:$F,0),1),"")</f>
        <v/>
      </c>
    </row>
    <row r="24" spans="2:38" x14ac:dyDescent="0.25">
      <c r="B24">
        <v>25</v>
      </c>
      <c r="C24" s="7" cm="1">
        <f t="array" aca="1" ref="C24" ca="1">_xlfn.IFNA(INDEX(jkm_call_put!$M:$M,MATCH($B24&amp;C$2&amp;$A$1,jkm_call_put!$G:$G&amp;jkm_call_put!$O:$O&amp;jkm_call_put!$F:$F,0),1),"")</f>
        <v>-0.99739</v>
      </c>
      <c r="D24" s="7" cm="1">
        <f t="array" aca="1" ref="D24" ca="1">_xlfn.IFNA(INDEX(jkm_call_put!$M:$M,MATCH($B24&amp;D$2&amp;$A$1,jkm_call_put!$G:$G&amp;jkm_call_put!$O:$O&amp;jkm_call_put!$F:$F,0),1),"")</f>
        <v>-0.94721999999999995</v>
      </c>
      <c r="E24" s="7" cm="1">
        <f t="array" aca="1" ref="E24" ca="1">_xlfn.IFNA(INDEX(jkm_call_put!$M:$M,MATCH($B24&amp;E$2&amp;$A$1,jkm_call_put!$G:$G&amp;jkm_call_put!$O:$O&amp;jkm_call_put!$F:$F,0),1),"")</f>
        <v>-0.72912999999999994</v>
      </c>
      <c r="F24" s="7" cm="1">
        <f t="array" aca="1" ref="F24" ca="1">_xlfn.IFNA(INDEX(jkm_call_put!$M:$M,MATCH($B24&amp;F$2&amp;$A$1,jkm_call_put!$G:$G&amp;jkm_call_put!$O:$O&amp;jkm_call_put!$F:$F,0),1),"")</f>
        <v>-0.68960999999999995</v>
      </c>
      <c r="G24" s="7" cm="1">
        <f t="array" aca="1" ref="G24" ca="1">_xlfn.IFNA(INDEX(jkm_call_put!$M:$M,MATCH($B24&amp;G$2&amp;$A$1,jkm_call_put!$G:$G&amp;jkm_call_put!$O:$O&amp;jkm_call_put!$F:$F,0),1),"")</f>
        <v>-0.65215999999999996</v>
      </c>
      <c r="H24" s="7" cm="1">
        <f t="array" aca="1" ref="H24" ca="1">_xlfn.IFNA(INDEX(jkm_call_put!$M:$M,MATCH($B24&amp;H$2&amp;$A$1,jkm_call_put!$G:$G&amp;jkm_call_put!$O:$O&amp;jkm_call_put!$F:$F,0),1),"")</f>
        <v>-0.72319</v>
      </c>
      <c r="I24" s="7" cm="1">
        <f t="array" aca="1" ref="I24" ca="1">_xlfn.IFNA(INDEX(jkm_call_put!$M:$M,MATCH($B24&amp;I$2&amp;$A$1,jkm_call_put!$G:$G&amp;jkm_call_put!$O:$O&amp;jkm_call_put!$F:$F,0),1),"")</f>
        <v>-0.69508999999999999</v>
      </c>
      <c r="J24" s="7" cm="1">
        <f t="array" aca="1" ref="J24" ca="1">_xlfn.IFNA(INDEX(jkm_call_put!$M:$M,MATCH($B24&amp;J$2&amp;$A$1,jkm_call_put!$G:$G&amp;jkm_call_put!$O:$O&amp;jkm_call_put!$F:$F,0),1),"")</f>
        <v>-0.66346000000000005</v>
      </c>
      <c r="K24" s="7" cm="1">
        <f t="array" aca="1" ref="K24" ca="1">_xlfn.IFNA(INDEX(jkm_call_put!$M:$M,MATCH($B24&amp;K$2&amp;$A$1,jkm_call_put!$G:$G&amp;jkm_call_put!$O:$O&amp;jkm_call_put!$F:$F,0),1),"")</f>
        <v>-0.64507000000000003</v>
      </c>
      <c r="L24" s="7" t="str" cm="1">
        <f t="array" aca="1" ref="L24" ca="1">_xlfn.IFNA(INDEX(jkm_call_put!$M:$M,MATCH($B24&amp;L$2&amp;$A$1,jkm_call_put!$G:$G&amp;jkm_call_put!$O:$O&amp;jkm_call_put!$F:$F,0),1),"")</f>
        <v/>
      </c>
      <c r="M24" s="7" t="str" cm="1">
        <f t="array" aca="1" ref="M24" ca="1">_xlfn.IFNA(INDEX(jkm_call_put!$M:$M,MATCH($B24&amp;M$2&amp;$A$1,jkm_call_put!$G:$G&amp;jkm_call_put!$O:$O&amp;jkm_call_put!$F:$F,0),1),"")</f>
        <v/>
      </c>
      <c r="N24" s="7" t="str" cm="1">
        <f t="array" aca="1" ref="N24" ca="1">_xlfn.IFNA(INDEX(jkm_call_put!$M:$M,MATCH($B24&amp;N$2&amp;$A$1,jkm_call_put!$G:$G&amp;jkm_call_put!$O:$O&amp;jkm_call_put!$F:$F,0),1),"")</f>
        <v/>
      </c>
      <c r="O24" s="7" t="str" cm="1">
        <f t="array" aca="1" ref="O24" ca="1">_xlfn.IFNA(INDEX(jkm_call_put!$M:$M,MATCH($B24&amp;O$2&amp;$A$1,jkm_call_put!$G:$G&amp;jkm_call_put!$O:$O&amp;jkm_call_put!$F:$F,0),1),"")</f>
        <v/>
      </c>
      <c r="P24" s="7" t="str" cm="1">
        <f t="array" aca="1" ref="P24" ca="1">_xlfn.IFNA(INDEX(jkm_call_put!$M:$M,MATCH($B24&amp;P$2&amp;$A$1,jkm_call_put!$G:$G&amp;jkm_call_put!$O:$O&amp;jkm_call_put!$F:$F,0),1),"")</f>
        <v/>
      </c>
      <c r="Q24" s="7" t="str" cm="1">
        <f t="array" aca="1" ref="Q24" ca="1">_xlfn.IFNA(INDEX(jkm_call_put!$M:$M,MATCH($B24&amp;Q$2&amp;$A$1,jkm_call_put!$G:$G&amp;jkm_call_put!$O:$O&amp;jkm_call_put!$F:$F,0),1),"")</f>
        <v/>
      </c>
      <c r="R24" s="7" t="str" cm="1">
        <f t="array" aca="1" ref="R24" ca="1">_xlfn.IFNA(INDEX(jkm_call_put!$M:$M,MATCH($B24&amp;R$2&amp;$A$1,jkm_call_put!$G:$G&amp;jkm_call_put!$O:$O&amp;jkm_call_put!$F:$F,0),1),"")</f>
        <v/>
      </c>
      <c r="S24" s="7" t="str" cm="1">
        <f t="array" aca="1" ref="S24" ca="1">_xlfn.IFNA(INDEX(jkm_call_put!$M:$M,MATCH($B24&amp;S$2&amp;$A$1,jkm_call_put!$G:$G&amp;jkm_call_put!$O:$O&amp;jkm_call_put!$F:$F,0),1),"")</f>
        <v/>
      </c>
      <c r="T24" s="7" t="str" cm="1">
        <f t="array" aca="1" ref="T24" ca="1">_xlfn.IFNA(INDEX(jkm_call_put!$M:$M,MATCH($B24&amp;T$2&amp;$A$1,jkm_call_put!$G:$G&amp;jkm_call_put!$O:$O&amp;jkm_call_put!$F:$F,0),1),"")</f>
        <v/>
      </c>
      <c r="U24" s="7" t="str" cm="1">
        <f t="array" aca="1" ref="U24" ca="1">_xlfn.IFNA(INDEX(jkm_call_put!$M:$M,MATCH($B24&amp;U$2&amp;$A$1,jkm_call_put!$G:$G&amp;jkm_call_put!$O:$O&amp;jkm_call_put!$F:$F,0),1),"")</f>
        <v/>
      </c>
      <c r="V24" s="7" t="str" cm="1">
        <f t="array" aca="1" ref="V24" ca="1">_xlfn.IFNA(INDEX(jkm_call_put!$M:$M,MATCH($B24&amp;V$2&amp;$A$1,jkm_call_put!$G:$G&amp;jkm_call_put!$O:$O&amp;jkm_call_put!$F:$F,0),1),"")</f>
        <v/>
      </c>
      <c r="W24" s="7" t="str" cm="1">
        <f t="array" aca="1" ref="W24" ca="1">_xlfn.IFNA(INDEX(jkm_call_put!$M:$M,MATCH($B24&amp;W$2&amp;$A$1,jkm_call_put!$G:$G&amp;jkm_call_put!$O:$O&amp;jkm_call_put!$F:$F,0),1),"")</f>
        <v/>
      </c>
      <c r="X24" s="7" t="str" cm="1">
        <f t="array" aca="1" ref="X24" ca="1">_xlfn.IFNA(INDEX(jkm_call_put!$M:$M,MATCH($B24&amp;X$2&amp;$A$1,jkm_call_put!$G:$G&amp;jkm_call_put!$O:$O&amp;jkm_call_put!$F:$F,0),1),"")</f>
        <v/>
      </c>
      <c r="Y24" s="7" t="str" cm="1">
        <f t="array" aca="1" ref="Y24" ca="1">_xlfn.IFNA(INDEX(jkm_call_put!$M:$M,MATCH($B24&amp;Y$2&amp;$A$1,jkm_call_put!$G:$G&amp;jkm_call_put!$O:$O&amp;jkm_call_put!$F:$F,0),1),"")</f>
        <v/>
      </c>
      <c r="Z24" s="7" t="str" cm="1">
        <f t="array" aca="1" ref="Z24" ca="1">_xlfn.IFNA(INDEX(jkm_call_put!$M:$M,MATCH($B24&amp;Z$2&amp;$A$1,jkm_call_put!$G:$G&amp;jkm_call_put!$O:$O&amp;jkm_call_put!$F:$F,0),1),"")</f>
        <v/>
      </c>
      <c r="AA24" s="7" t="str" cm="1">
        <f t="array" aca="1" ref="AA24" ca="1">_xlfn.IFNA(INDEX(jkm_call_put!$M:$M,MATCH($B24&amp;AA$2&amp;$A$1,jkm_call_put!$G:$G&amp;jkm_call_put!$O:$O&amp;jkm_call_put!$F:$F,0),1),"")</f>
        <v/>
      </c>
      <c r="AB24" s="7" t="str" cm="1">
        <f t="array" aca="1" ref="AB24" ca="1">_xlfn.IFNA(INDEX(jkm_call_put!$M:$M,MATCH($B24&amp;AB$2&amp;$A$1,jkm_call_put!$G:$G&amp;jkm_call_put!$O:$O&amp;jkm_call_put!$F:$F,0),1),"")</f>
        <v/>
      </c>
      <c r="AC24" s="7" t="str" cm="1">
        <f t="array" aca="1" ref="AC24" ca="1">_xlfn.IFNA(INDEX(jkm_call_put!$M:$M,MATCH($B24&amp;AC$2&amp;$A$1,jkm_call_put!$G:$G&amp;jkm_call_put!$O:$O&amp;jkm_call_put!$F:$F,0),1),"")</f>
        <v/>
      </c>
      <c r="AD24" s="7" t="str" cm="1">
        <f t="array" aca="1" ref="AD24" ca="1">_xlfn.IFNA(INDEX(jkm_call_put!$M:$M,MATCH($B24&amp;AD$2&amp;$A$1,jkm_call_put!$G:$G&amp;jkm_call_put!$O:$O&amp;jkm_call_put!$F:$F,0),1),"")</f>
        <v/>
      </c>
      <c r="AE24" s="7" t="str" cm="1">
        <f t="array" aca="1" ref="AE24" ca="1">_xlfn.IFNA(INDEX(jkm_call_put!$M:$M,MATCH($B24&amp;AE$2&amp;$A$1,jkm_call_put!$G:$G&amp;jkm_call_put!$O:$O&amp;jkm_call_put!$F:$F,0),1),"")</f>
        <v/>
      </c>
      <c r="AF24" s="7" t="str" cm="1">
        <f t="array" aca="1" ref="AF24" ca="1">_xlfn.IFNA(INDEX(jkm_call_put!$M:$M,MATCH($B24&amp;AF$2&amp;$A$1,jkm_call_put!$G:$G&amp;jkm_call_put!$O:$O&amp;jkm_call_put!$F:$F,0),1),"")</f>
        <v/>
      </c>
      <c r="AG24" s="7" t="str" cm="1">
        <f t="array" aca="1" ref="AG24" ca="1">_xlfn.IFNA(INDEX(jkm_call_put!$M:$M,MATCH($B24&amp;AG$2&amp;$A$1,jkm_call_put!$G:$G&amp;jkm_call_put!$O:$O&amp;jkm_call_put!$F:$F,0),1),"")</f>
        <v/>
      </c>
      <c r="AH24" s="7" t="str" cm="1">
        <f t="array" aca="1" ref="AH24" ca="1">_xlfn.IFNA(INDEX(jkm_call_put!$M:$M,MATCH($B24&amp;AH$2&amp;$A$1,jkm_call_put!$G:$G&amp;jkm_call_put!$O:$O&amp;jkm_call_put!$F:$F,0),1),"")</f>
        <v/>
      </c>
      <c r="AI24" s="7" t="str" cm="1">
        <f t="array" aca="1" ref="AI24" ca="1">_xlfn.IFNA(INDEX(jkm_call_put!$M:$M,MATCH($B24&amp;AI$2&amp;$A$1,jkm_call_put!$G:$G&amp;jkm_call_put!$O:$O&amp;jkm_call_put!$F:$F,0),1),"")</f>
        <v/>
      </c>
      <c r="AJ24" s="7" t="str" cm="1">
        <f t="array" aca="1" ref="AJ24" ca="1">_xlfn.IFNA(INDEX(jkm_call_put!$M:$M,MATCH($B24&amp;AJ$2&amp;$A$1,jkm_call_put!$G:$G&amp;jkm_call_put!$O:$O&amp;jkm_call_put!$F:$F,0),1),"")</f>
        <v/>
      </c>
      <c r="AK24" s="7" t="str" cm="1">
        <f t="array" aca="1" ref="AK24" ca="1">_xlfn.IFNA(INDEX(jkm_call_put!$M:$M,MATCH($B24&amp;AK$2&amp;$A$1,jkm_call_put!$G:$G&amp;jkm_call_put!$O:$O&amp;jkm_call_put!$F:$F,0),1),"")</f>
        <v/>
      </c>
      <c r="AL24" s="7" t="str" cm="1">
        <f t="array" aca="1" ref="AL24" ca="1">_xlfn.IFNA(INDEX(jkm_call_put!$M:$M,MATCH($B24&amp;AL$2&amp;$A$1,jkm_call_put!$G:$G&amp;jkm_call_put!$O:$O&amp;jkm_call_put!$F:$F,0),1),"")</f>
        <v/>
      </c>
    </row>
    <row r="25" spans="2:38" x14ac:dyDescent="0.25">
      <c r="B25">
        <v>0</v>
      </c>
      <c r="C25" s="7" t="str" cm="1">
        <f t="array" aca="1" ref="C25" ca="1">_xlfn.IFNA(INDEX(jkm_call_put!$M:$M,MATCH($B25&amp;C$2&amp;$A$1,jkm_call_put!$G:$G&amp;jkm_call_put!$O:$O&amp;jkm_call_put!$F:$F,0),1),"")</f>
        <v/>
      </c>
      <c r="D25" s="7" t="str" cm="1">
        <f t="array" aca="1" ref="D25" ca="1">_xlfn.IFNA(INDEX(jkm_call_put!$M:$M,MATCH($B25&amp;D$2&amp;$A$1,jkm_call_put!$G:$G&amp;jkm_call_put!$O:$O&amp;jkm_call_put!$F:$F,0),1),"")</f>
        <v/>
      </c>
      <c r="E25" s="7" t="str" cm="1">
        <f t="array" aca="1" ref="E25" ca="1">_xlfn.IFNA(INDEX(jkm_call_put!$M:$M,MATCH($B25&amp;E$2&amp;$A$1,jkm_call_put!$G:$G&amp;jkm_call_put!$O:$O&amp;jkm_call_put!$F:$F,0),1),"")</f>
        <v/>
      </c>
      <c r="F25" s="7" t="str" cm="1">
        <f t="array" aca="1" ref="F25" ca="1">_xlfn.IFNA(INDEX(jkm_call_put!$M:$M,MATCH($B25&amp;F$2&amp;$A$1,jkm_call_put!$G:$G&amp;jkm_call_put!$O:$O&amp;jkm_call_put!$F:$F,0),1),"")</f>
        <v/>
      </c>
      <c r="G25" s="7" t="str" cm="1">
        <f t="array" aca="1" ref="G25" ca="1">_xlfn.IFNA(INDEX(jkm_call_put!$M:$M,MATCH($B25&amp;G$2&amp;$A$1,jkm_call_put!$G:$G&amp;jkm_call_put!$O:$O&amp;jkm_call_put!$F:$F,0),1),"")</f>
        <v/>
      </c>
      <c r="H25" s="7" t="str" cm="1">
        <f t="array" aca="1" ref="H25" ca="1">_xlfn.IFNA(INDEX(jkm_call_put!$M:$M,MATCH($B25&amp;H$2&amp;$A$1,jkm_call_put!$G:$G&amp;jkm_call_put!$O:$O&amp;jkm_call_put!$F:$F,0),1),"")</f>
        <v/>
      </c>
      <c r="I25" s="7" t="str" cm="1">
        <f t="array" aca="1" ref="I25" ca="1">_xlfn.IFNA(INDEX(jkm_call_put!$M:$M,MATCH($B25&amp;I$2&amp;$A$1,jkm_call_put!$G:$G&amp;jkm_call_put!$O:$O&amp;jkm_call_put!$F:$F,0),1),"")</f>
        <v/>
      </c>
      <c r="J25" s="7" t="str" cm="1">
        <f t="array" aca="1" ref="J25" ca="1">_xlfn.IFNA(INDEX(jkm_call_put!$M:$M,MATCH($B25&amp;J$2&amp;$A$1,jkm_call_put!$G:$G&amp;jkm_call_put!$O:$O&amp;jkm_call_put!$F:$F,0),1),"")</f>
        <v/>
      </c>
      <c r="K25" s="7" t="str" cm="1">
        <f t="array" aca="1" ref="K25" ca="1">_xlfn.IFNA(INDEX(jkm_call_put!$M:$M,MATCH($B25&amp;K$2&amp;$A$1,jkm_call_put!$G:$G&amp;jkm_call_put!$O:$O&amp;jkm_call_put!$F:$F,0),1),"")</f>
        <v/>
      </c>
      <c r="L25" s="7" t="str" cm="1">
        <f t="array" aca="1" ref="L25" ca="1">_xlfn.IFNA(INDEX(jkm_call_put!$M:$M,MATCH($B25&amp;L$2&amp;$A$1,jkm_call_put!$G:$G&amp;jkm_call_put!$O:$O&amp;jkm_call_put!$F:$F,0),1),"")</f>
        <v/>
      </c>
      <c r="M25" s="7" t="str" cm="1">
        <f t="array" aca="1" ref="M25" ca="1">_xlfn.IFNA(INDEX(jkm_call_put!$M:$M,MATCH($B25&amp;M$2&amp;$A$1,jkm_call_put!$G:$G&amp;jkm_call_put!$O:$O&amp;jkm_call_put!$F:$F,0),1),"")</f>
        <v/>
      </c>
      <c r="N25" s="7" t="str" cm="1">
        <f t="array" aca="1" ref="N25" ca="1">_xlfn.IFNA(INDEX(jkm_call_put!$M:$M,MATCH($B25&amp;N$2&amp;$A$1,jkm_call_put!$G:$G&amp;jkm_call_put!$O:$O&amp;jkm_call_put!$F:$F,0),1),"")</f>
        <v/>
      </c>
      <c r="O25" s="7" t="str" cm="1">
        <f t="array" aca="1" ref="O25" ca="1">_xlfn.IFNA(INDEX(jkm_call_put!$M:$M,MATCH($B25&amp;O$2&amp;$A$1,jkm_call_put!$G:$G&amp;jkm_call_put!$O:$O&amp;jkm_call_put!$F:$F,0),1),"")</f>
        <v/>
      </c>
      <c r="P25" s="7" t="str" cm="1">
        <f t="array" aca="1" ref="P25" ca="1">_xlfn.IFNA(INDEX(jkm_call_put!$M:$M,MATCH($B25&amp;P$2&amp;$A$1,jkm_call_put!$G:$G&amp;jkm_call_put!$O:$O&amp;jkm_call_put!$F:$F,0),1),"")</f>
        <v/>
      </c>
      <c r="Q25" s="7" t="str" cm="1">
        <f t="array" aca="1" ref="Q25" ca="1">_xlfn.IFNA(INDEX(jkm_call_put!$M:$M,MATCH($B25&amp;Q$2&amp;$A$1,jkm_call_put!$G:$G&amp;jkm_call_put!$O:$O&amp;jkm_call_put!$F:$F,0),1),"")</f>
        <v/>
      </c>
      <c r="R25" s="7" t="str" cm="1">
        <f t="array" aca="1" ref="R25" ca="1">_xlfn.IFNA(INDEX(jkm_call_put!$M:$M,MATCH($B25&amp;R$2&amp;$A$1,jkm_call_put!$G:$G&amp;jkm_call_put!$O:$O&amp;jkm_call_put!$F:$F,0),1),"")</f>
        <v/>
      </c>
      <c r="S25" s="7" t="str" cm="1">
        <f t="array" aca="1" ref="S25" ca="1">_xlfn.IFNA(INDEX(jkm_call_put!$M:$M,MATCH($B25&amp;S$2&amp;$A$1,jkm_call_put!$G:$G&amp;jkm_call_put!$O:$O&amp;jkm_call_put!$F:$F,0),1),"")</f>
        <v/>
      </c>
      <c r="T25" s="7" t="str" cm="1">
        <f t="array" aca="1" ref="T25" ca="1">_xlfn.IFNA(INDEX(jkm_call_put!$M:$M,MATCH($B25&amp;T$2&amp;$A$1,jkm_call_put!$G:$G&amp;jkm_call_put!$O:$O&amp;jkm_call_put!$F:$F,0),1),"")</f>
        <v/>
      </c>
      <c r="U25" s="7" t="str" cm="1">
        <f t="array" aca="1" ref="U25" ca="1">_xlfn.IFNA(INDEX(jkm_call_put!$M:$M,MATCH($B25&amp;U$2&amp;$A$1,jkm_call_put!$G:$G&amp;jkm_call_put!$O:$O&amp;jkm_call_put!$F:$F,0),1),"")</f>
        <v/>
      </c>
      <c r="V25" s="7" t="str" cm="1">
        <f t="array" aca="1" ref="V25" ca="1">_xlfn.IFNA(INDEX(jkm_call_put!$M:$M,MATCH($B25&amp;V$2&amp;$A$1,jkm_call_put!$G:$G&amp;jkm_call_put!$O:$O&amp;jkm_call_put!$F:$F,0),1),"")</f>
        <v/>
      </c>
      <c r="W25" s="7" t="str" cm="1">
        <f t="array" aca="1" ref="W25" ca="1">_xlfn.IFNA(INDEX(jkm_call_put!$M:$M,MATCH($B25&amp;W$2&amp;$A$1,jkm_call_put!$G:$G&amp;jkm_call_put!$O:$O&amp;jkm_call_put!$F:$F,0),1),"")</f>
        <v/>
      </c>
      <c r="X25" s="7" t="str" cm="1">
        <f t="array" aca="1" ref="X25" ca="1">_xlfn.IFNA(INDEX(jkm_call_put!$M:$M,MATCH($B25&amp;X$2&amp;$A$1,jkm_call_put!$G:$G&amp;jkm_call_put!$O:$O&amp;jkm_call_put!$F:$F,0),1),"")</f>
        <v/>
      </c>
      <c r="Y25" s="7" t="str" cm="1">
        <f t="array" aca="1" ref="Y25" ca="1">_xlfn.IFNA(INDEX(jkm_call_put!$M:$M,MATCH($B25&amp;Y$2&amp;$A$1,jkm_call_put!$G:$G&amp;jkm_call_put!$O:$O&amp;jkm_call_put!$F:$F,0),1),"")</f>
        <v/>
      </c>
      <c r="Z25" s="7" t="str" cm="1">
        <f t="array" aca="1" ref="Z25" ca="1">_xlfn.IFNA(INDEX(jkm_call_put!$M:$M,MATCH($B25&amp;Z$2&amp;$A$1,jkm_call_put!$G:$G&amp;jkm_call_put!$O:$O&amp;jkm_call_put!$F:$F,0),1),"")</f>
        <v/>
      </c>
      <c r="AA25" s="7" t="str" cm="1">
        <f t="array" aca="1" ref="AA25" ca="1">_xlfn.IFNA(INDEX(jkm_call_put!$M:$M,MATCH($B25&amp;AA$2&amp;$A$1,jkm_call_put!$G:$G&amp;jkm_call_put!$O:$O&amp;jkm_call_put!$F:$F,0),1),"")</f>
        <v/>
      </c>
      <c r="AB25" s="7" t="str" cm="1">
        <f t="array" aca="1" ref="AB25" ca="1">_xlfn.IFNA(INDEX(jkm_call_put!$M:$M,MATCH($B25&amp;AB$2&amp;$A$1,jkm_call_put!$G:$G&amp;jkm_call_put!$O:$O&amp;jkm_call_put!$F:$F,0),1),"")</f>
        <v/>
      </c>
      <c r="AC25" s="7" t="str" cm="1">
        <f t="array" aca="1" ref="AC25" ca="1">_xlfn.IFNA(INDEX(jkm_call_put!$M:$M,MATCH($B25&amp;AC$2&amp;$A$1,jkm_call_put!$G:$G&amp;jkm_call_put!$O:$O&amp;jkm_call_put!$F:$F,0),1),"")</f>
        <v/>
      </c>
      <c r="AD25" s="7" t="str" cm="1">
        <f t="array" aca="1" ref="AD25" ca="1">_xlfn.IFNA(INDEX(jkm_call_put!$M:$M,MATCH($B25&amp;AD$2&amp;$A$1,jkm_call_put!$G:$G&amp;jkm_call_put!$O:$O&amp;jkm_call_put!$F:$F,0),1),"")</f>
        <v/>
      </c>
      <c r="AE25" s="7" t="str" cm="1">
        <f t="array" aca="1" ref="AE25" ca="1">_xlfn.IFNA(INDEX(jkm_call_put!$M:$M,MATCH($B25&amp;AE$2&amp;$A$1,jkm_call_put!$G:$G&amp;jkm_call_put!$O:$O&amp;jkm_call_put!$F:$F,0),1),"")</f>
        <v/>
      </c>
      <c r="AF25" s="7" t="str" cm="1">
        <f t="array" aca="1" ref="AF25" ca="1">_xlfn.IFNA(INDEX(jkm_call_put!$M:$M,MATCH($B25&amp;AF$2&amp;$A$1,jkm_call_put!$G:$G&amp;jkm_call_put!$O:$O&amp;jkm_call_put!$F:$F,0),1),"")</f>
        <v/>
      </c>
      <c r="AG25" s="7" t="str" cm="1">
        <f t="array" aca="1" ref="AG25" ca="1">_xlfn.IFNA(INDEX(jkm_call_put!$M:$M,MATCH($B25&amp;AG$2&amp;$A$1,jkm_call_put!$G:$G&amp;jkm_call_put!$O:$O&amp;jkm_call_put!$F:$F,0),1),"")</f>
        <v/>
      </c>
      <c r="AH25" s="7" t="str" cm="1">
        <f t="array" aca="1" ref="AH25" ca="1">_xlfn.IFNA(INDEX(jkm_call_put!$M:$M,MATCH($B25&amp;AH$2&amp;$A$1,jkm_call_put!$G:$G&amp;jkm_call_put!$O:$O&amp;jkm_call_put!$F:$F,0),1),"")</f>
        <v/>
      </c>
      <c r="AI25" s="7" t="str" cm="1">
        <f t="array" aca="1" ref="AI25" ca="1">_xlfn.IFNA(INDEX(jkm_call_put!$M:$M,MATCH($B25&amp;AI$2&amp;$A$1,jkm_call_put!$G:$G&amp;jkm_call_put!$O:$O&amp;jkm_call_put!$F:$F,0),1),"")</f>
        <v/>
      </c>
      <c r="AJ25" s="7" t="str" cm="1">
        <f t="array" aca="1" ref="AJ25" ca="1">_xlfn.IFNA(INDEX(jkm_call_put!$M:$M,MATCH($B25&amp;AJ$2&amp;$A$1,jkm_call_put!$G:$G&amp;jkm_call_put!$O:$O&amp;jkm_call_put!$F:$F,0),1),"")</f>
        <v/>
      </c>
      <c r="AK25" s="7" t="str" cm="1">
        <f t="array" aca="1" ref="AK25" ca="1">_xlfn.IFNA(INDEX(jkm_call_put!$M:$M,MATCH($B25&amp;AK$2&amp;$A$1,jkm_call_put!$G:$G&amp;jkm_call_put!$O:$O&amp;jkm_call_put!$F:$F,0),1),"")</f>
        <v/>
      </c>
      <c r="AL25" s="7" t="str" cm="1">
        <f t="array" aca="1" ref="AL25" ca="1">_xlfn.IFNA(INDEX(jkm_call_put!$M:$M,MATCH($B25&amp;AL$2&amp;$A$1,jkm_call_put!$G:$G&amp;jkm_call_put!$O:$O&amp;jkm_call_put!$F:$F,0),1),"")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809B4-F24F-4650-9416-176AE9EDF553}">
  <sheetPr codeName="Sheet10"/>
  <dimension ref="A1:AL25"/>
  <sheetViews>
    <sheetView workbookViewId="0">
      <selection activeCell="K30" sqref="K30"/>
    </sheetView>
  </sheetViews>
  <sheetFormatPr defaultRowHeight="15" x14ac:dyDescent="0.25"/>
  <sheetData>
    <row r="1" spans="1:38" x14ac:dyDescent="0.25">
      <c r="A1" t="s">
        <v>109</v>
      </c>
      <c r="C1" t="s">
        <v>56</v>
      </c>
    </row>
    <row r="2" spans="1:38" x14ac:dyDescent="0.25">
      <c r="C2">
        <f t="array" aca="1" ref="C2:AL2" ca="1">TRANSPOSE(_xlfn._xlws.SORT(Unique!B2:B37))</f>
        <v>27</v>
      </c>
      <c r="D2">
        <f ca="1"/>
        <v>57</v>
      </c>
      <c r="E2">
        <f ca="1"/>
        <v>88</v>
      </c>
      <c r="F2">
        <f ca="1"/>
        <v>118</v>
      </c>
      <c r="G2">
        <f ca="1"/>
        <v>148</v>
      </c>
      <c r="H2">
        <f ca="1"/>
        <v>180</v>
      </c>
      <c r="I2">
        <f ca="1"/>
        <v>210</v>
      </c>
      <c r="J2">
        <f ca="1"/>
        <v>239</v>
      </c>
      <c r="K2">
        <f ca="1"/>
        <v>271</v>
      </c>
      <c r="L2">
        <f ca="1"/>
        <v>302</v>
      </c>
      <c r="M2">
        <f ca="1"/>
        <v>333</v>
      </c>
      <c r="N2">
        <f ca="1"/>
        <v>361</v>
      </c>
      <c r="O2">
        <f ca="1"/>
        <v>392</v>
      </c>
      <c r="P2">
        <f ca="1"/>
        <v>421</v>
      </c>
      <c r="Q2">
        <f ca="1"/>
        <v>453</v>
      </c>
      <c r="R2">
        <f ca="1"/>
        <v>483</v>
      </c>
      <c r="S2">
        <f ca="1"/>
        <v>512</v>
      </c>
      <c r="T2">
        <f ca="1"/>
        <v>545</v>
      </c>
      <c r="U2">
        <f ca="1"/>
        <v>575</v>
      </c>
      <c r="V2">
        <f ca="1"/>
        <v>606</v>
      </c>
      <c r="W2">
        <f ca="1"/>
        <v>636</v>
      </c>
      <c r="X2">
        <f ca="1"/>
        <v>666</v>
      </c>
      <c r="Y2">
        <f ca="1"/>
        <v>698</v>
      </c>
      <c r="Z2">
        <f ca="1"/>
        <v>727</v>
      </c>
      <c r="AA2">
        <f ca="1"/>
        <v>756</v>
      </c>
      <c r="AB2">
        <f ca="1"/>
        <v>788</v>
      </c>
      <c r="AC2">
        <f ca="1"/>
        <v>819</v>
      </c>
      <c r="AD2">
        <f ca="1"/>
        <v>848</v>
      </c>
      <c r="AE2">
        <f ca="1"/>
        <v>880</v>
      </c>
      <c r="AF2">
        <f ca="1"/>
        <v>911</v>
      </c>
      <c r="AG2">
        <f ca="1"/>
        <v>939</v>
      </c>
      <c r="AH2">
        <f ca="1"/>
        <v>972</v>
      </c>
      <c r="AI2">
        <f ca="1"/>
        <v>1002</v>
      </c>
      <c r="AJ2">
        <f ca="1"/>
        <v>1033</v>
      </c>
      <c r="AK2">
        <f ca="1"/>
        <v>1064</v>
      </c>
      <c r="AL2">
        <f ca="1"/>
        <v>1092</v>
      </c>
    </row>
    <row r="3" spans="1:38" x14ac:dyDescent="0.25">
      <c r="A3" t="s">
        <v>45</v>
      </c>
      <c r="B3" cm="1">
        <f t="array" ref="B3:B25">_xlfn._xlws.SORT(Unique!A2:A24)</f>
        <v>5</v>
      </c>
      <c r="C3" s="7" cm="1">
        <f t="array" aca="1" ref="C3" ca="1">_xlfn.IFNA(INDEX(jkm_call_put!$L:$L,MATCH($B3&amp;C$2&amp;$A$1,jkm_call_put!$G:$G&amp;jkm_call_put!$O:$O&amp;jkm_call_put!$F:$F,0),1),"")</f>
        <v>103.7693</v>
      </c>
      <c r="D3" s="7" cm="1">
        <f t="array" aca="1" ref="D3" ca="1">_xlfn.IFNA(INDEX(jkm_call_put!$L:$L,MATCH($B3&amp;D$2&amp;$A$1,jkm_call_put!$G:$G&amp;jkm_call_put!$O:$O&amp;jkm_call_put!$F:$F,0),1),"")</f>
        <v>71.306200000000004</v>
      </c>
      <c r="E3" s="7" cm="1">
        <f t="array" aca="1" ref="E3" ca="1">_xlfn.IFNA(INDEX(jkm_call_put!$L:$L,MATCH($B3&amp;E$2&amp;$A$1,jkm_call_put!$G:$G&amp;jkm_call_put!$O:$O&amp;jkm_call_put!$F:$F,0),1),"")</f>
        <v>75.207599999999999</v>
      </c>
      <c r="F3" s="7" cm="1">
        <f t="array" aca="1" ref="F3" ca="1">_xlfn.IFNA(INDEX(jkm_call_put!$L:$L,MATCH($B3&amp;F$2&amp;$A$1,jkm_call_put!$G:$G&amp;jkm_call_put!$O:$O&amp;jkm_call_put!$F:$F,0),1),"")</f>
        <v>77.616399999999999</v>
      </c>
      <c r="G3" s="7" cm="1">
        <f t="array" aca="1" ref="G3" ca="1">_xlfn.IFNA(INDEX(jkm_call_put!$L:$L,MATCH($B3&amp;G$2&amp;$A$1,jkm_call_put!$G:$G&amp;jkm_call_put!$O:$O&amp;jkm_call_put!$F:$F,0),1),"")</f>
        <v>79.231999999999999</v>
      </c>
      <c r="H3" s="7" cm="1">
        <f t="array" aca="1" ref="H3" ca="1">_xlfn.IFNA(INDEX(jkm_call_put!$L:$L,MATCH($B3&amp;H$2&amp;$A$1,jkm_call_put!$G:$G&amp;jkm_call_put!$O:$O&amp;jkm_call_put!$F:$F,0),1),"")</f>
        <v>61.613900000000001</v>
      </c>
      <c r="I3" s="7" cm="1">
        <f t="array" aca="1" ref="I3" ca="1">_xlfn.IFNA(INDEX(jkm_call_put!$L:$L,MATCH($B3&amp;I$2&amp;$A$1,jkm_call_put!$G:$G&amp;jkm_call_put!$O:$O&amp;jkm_call_put!$F:$F,0),1),"")</f>
        <v>62.264899999999997</v>
      </c>
      <c r="J3" s="7" cm="1">
        <f t="array" aca="1" ref="J3" ca="1">_xlfn.IFNA(INDEX(jkm_call_put!$L:$L,MATCH($B3&amp;J$2&amp;$A$1,jkm_call_put!$G:$G&amp;jkm_call_put!$O:$O&amp;jkm_call_put!$F:$F,0),1),"")</f>
        <v>62.772500000000001</v>
      </c>
      <c r="K3" s="7" cm="1">
        <f t="array" aca="1" ref="K3" ca="1">_xlfn.IFNA(INDEX(jkm_call_put!$L:$L,MATCH($B3&amp;K$2&amp;$A$1,jkm_call_put!$G:$G&amp;jkm_call_put!$O:$O&amp;jkm_call_put!$F:$F,0),1),"")</f>
        <v>62.875100000000003</v>
      </c>
      <c r="L3" s="7" cm="1">
        <f t="array" aca="1" ref="L3" ca="1">_xlfn.IFNA(INDEX(jkm_call_put!$L:$L,MATCH($B3&amp;L$2&amp;$A$1,jkm_call_put!$G:$G&amp;jkm_call_put!$O:$O&amp;jkm_call_put!$F:$F,0),1),"")</f>
        <v>63.1586</v>
      </c>
      <c r="M3" s="7" cm="1">
        <f t="array" aca="1" ref="M3" ca="1">_xlfn.IFNA(INDEX(jkm_call_put!$L:$L,MATCH($B3&amp;M$2&amp;$A$1,jkm_call_put!$G:$G&amp;jkm_call_put!$O:$O&amp;jkm_call_put!$F:$F,0),1),"")</f>
        <v>63.3504</v>
      </c>
      <c r="N3" s="7" cm="1">
        <f t="array" aca="1" ref="N3" ca="1">_xlfn.IFNA(INDEX(jkm_call_put!$L:$L,MATCH($B3&amp;N$2&amp;$A$1,jkm_call_put!$G:$G&amp;jkm_call_put!$O:$O&amp;jkm_call_put!$F:$F,0),1),"")</f>
        <v>48.008499999999998</v>
      </c>
      <c r="O3" s="7" cm="1">
        <f t="array" aca="1" ref="O3" ca="1">_xlfn.IFNA(INDEX(jkm_call_put!$L:$L,MATCH($B3&amp;O$2&amp;$A$1,jkm_call_put!$G:$G&amp;jkm_call_put!$O:$O&amp;jkm_call_put!$F:$F,0),1),"")</f>
        <v>48.047499999999999</v>
      </c>
      <c r="P3" s="7" cm="1">
        <f t="array" aca="1" ref="P3" ca="1">_xlfn.IFNA(INDEX(jkm_call_put!$L:$L,MATCH($B3&amp;P$2&amp;$A$1,jkm_call_put!$G:$G&amp;jkm_call_put!$O:$O&amp;jkm_call_put!$F:$F,0),1),"")</f>
        <v>48.261899999999997</v>
      </c>
      <c r="Q3" s="7" cm="1">
        <f t="array" aca="1" ref="Q3" ca="1">_xlfn.IFNA(INDEX(jkm_call_put!$L:$L,MATCH($B3&amp;Q$2&amp;$A$1,jkm_call_put!$G:$G&amp;jkm_call_put!$O:$O&amp;jkm_call_put!$F:$F,0),1),"")</f>
        <v>48.212699999999998</v>
      </c>
      <c r="R3" s="7" cm="1">
        <f t="array" aca="1" ref="R3" ca="1">_xlfn.IFNA(INDEX(jkm_call_put!$L:$L,MATCH($B3&amp;R$2&amp;$A$1,jkm_call_put!$G:$G&amp;jkm_call_put!$O:$O&amp;jkm_call_put!$F:$F,0),1),"")</f>
        <v>48.182000000000002</v>
      </c>
      <c r="S3" s="7" cm="1">
        <f t="array" aca="1" ref="S3" ca="1">_xlfn.IFNA(INDEX(jkm_call_put!$L:$L,MATCH($B3&amp;S$2&amp;$A$1,jkm_call_put!$G:$G&amp;jkm_call_put!$O:$O&amp;jkm_call_put!$F:$F,0),1),"")</f>
        <v>48.284399999999998</v>
      </c>
      <c r="T3" s="7" cm="1">
        <f t="array" aca="1" ref="T3" ca="1">_xlfn.IFNA(INDEX(jkm_call_put!$L:$L,MATCH($B3&amp;T$2&amp;$A$1,jkm_call_put!$G:$G&amp;jkm_call_put!$O:$O&amp;jkm_call_put!$F:$F,0),1),"")</f>
        <v>35.540500000000002</v>
      </c>
      <c r="U3" s="7" cm="1">
        <f t="array" aca="1" ref="U3" ca="1">_xlfn.IFNA(INDEX(jkm_call_put!$L:$L,MATCH($B3&amp;U$2&amp;$A$1,jkm_call_put!$G:$G&amp;jkm_call_put!$O:$O&amp;jkm_call_put!$F:$F,0),1),"")</f>
        <v>35.432200000000002</v>
      </c>
      <c r="V3" s="7" cm="1">
        <f t="array" aca="1" ref="V3" ca="1">_xlfn.IFNA(INDEX(jkm_call_put!$L:$L,MATCH($B3&amp;V$2&amp;$A$1,jkm_call_put!$G:$G&amp;jkm_call_put!$O:$O&amp;jkm_call_put!$F:$F,0),1),"")</f>
        <v>35.299199999999999</v>
      </c>
      <c r="W3" s="7" cm="1">
        <f t="array" aca="1" ref="W3" ca="1">_xlfn.IFNA(INDEX(jkm_call_put!$L:$L,MATCH($B3&amp;W$2&amp;$A$1,jkm_call_put!$G:$G&amp;jkm_call_put!$O:$O&amp;jkm_call_put!$F:$F,0),1),"")</f>
        <v>35.271599999999999</v>
      </c>
      <c r="X3" s="7" cm="1">
        <f t="array" aca="1" ref="X3" ca="1">_xlfn.IFNA(INDEX(jkm_call_put!$L:$L,MATCH($B3&amp;X$2&amp;$A$1,jkm_call_put!$G:$G&amp;jkm_call_put!$O:$O&amp;jkm_call_put!$F:$F,0),1),"")</f>
        <v>35.320399999999999</v>
      </c>
      <c r="Y3" s="7" cm="1">
        <f t="array" aca="1" ref="Y3" ca="1">_xlfn.IFNA(INDEX(jkm_call_put!$L:$L,MATCH($B3&amp;Y$2&amp;$A$1,jkm_call_put!$G:$G&amp;jkm_call_put!$O:$O&amp;jkm_call_put!$F:$F,0),1),"")</f>
        <v>35.3202</v>
      </c>
      <c r="Z3" s="7" cm="1">
        <f t="array" aca="1" ref="Z3" ca="1">_xlfn.IFNA(INDEX(jkm_call_put!$L:$L,MATCH($B3&amp;Z$2&amp;$A$1,jkm_call_put!$G:$G&amp;jkm_call_put!$O:$O&amp;jkm_call_put!$F:$F,0),1),"")</f>
        <v>30.5259</v>
      </c>
      <c r="AA3" s="7" cm="1">
        <f t="array" aca="1" ref="AA3" ca="1">_xlfn.IFNA(INDEX(jkm_call_put!$L:$L,MATCH($B3&amp;AA$2&amp;$A$1,jkm_call_put!$G:$G&amp;jkm_call_put!$O:$O&amp;jkm_call_put!$F:$F,0),1),"")</f>
        <v>30.5471</v>
      </c>
      <c r="AB3" s="7" cm="1">
        <f t="array" aca="1" ref="AB3" ca="1">_xlfn.IFNA(INDEX(jkm_call_put!$L:$L,MATCH($B3&amp;AB$2&amp;$A$1,jkm_call_put!$G:$G&amp;jkm_call_put!$O:$O&amp;jkm_call_put!$F:$F,0),1),"")</f>
        <v>30.524999999999999</v>
      </c>
      <c r="AC3" s="7" cm="1">
        <f t="array" aca="1" ref="AC3" ca="1">_xlfn.IFNA(INDEX(jkm_call_put!$L:$L,MATCH($B3&amp;AC$2&amp;$A$1,jkm_call_put!$G:$G&amp;jkm_call_put!$O:$O&amp;jkm_call_put!$F:$F,0),1),"")</f>
        <v>30.542400000000001</v>
      </c>
      <c r="AD3" s="7" cm="1">
        <f t="array" aca="1" ref="AD3" ca="1">_xlfn.IFNA(INDEX(jkm_call_put!$L:$L,MATCH($B3&amp;AD$2&amp;$A$1,jkm_call_put!$G:$G&amp;jkm_call_put!$O:$O&amp;jkm_call_put!$F:$F,0),1),"")</f>
        <v>30.5961</v>
      </c>
      <c r="AE3" s="7" cm="1">
        <f t="array" aca="1" ref="AE3" ca="1">_xlfn.IFNA(INDEX(jkm_call_put!$L:$L,MATCH($B3&amp;AE$2&amp;$A$1,jkm_call_put!$G:$G&amp;jkm_call_put!$O:$O&amp;jkm_call_put!$F:$F,0),1),"")</f>
        <v>30.573</v>
      </c>
      <c r="AF3" s="7" cm="1">
        <f t="array" aca="1" ref="AF3" ca="1">_xlfn.IFNA(INDEX(jkm_call_put!$L:$L,MATCH($B3&amp;AF$2&amp;$A$1,jkm_call_put!$G:$G&amp;jkm_call_put!$O:$O&amp;jkm_call_put!$F:$F,0),1),"")</f>
        <v>35.529299999999999</v>
      </c>
      <c r="AG3" s="7" cm="1">
        <f t="array" aca="1" ref="AG3" ca="1">_xlfn.IFNA(INDEX(jkm_call_put!$L:$L,MATCH($B3&amp;AG$2&amp;$A$1,jkm_call_put!$G:$G&amp;jkm_call_put!$O:$O&amp;jkm_call_put!$F:$F,0),1),"")</f>
        <v>35.609400000000001</v>
      </c>
      <c r="AH3" s="7" cm="1">
        <f t="array" aca="1" ref="AH3" ca="1">_xlfn.IFNA(INDEX(jkm_call_put!$L:$L,MATCH($B3&amp;AH$2&amp;$A$1,jkm_call_put!$G:$G&amp;jkm_call_put!$O:$O&amp;jkm_call_put!$F:$F,0),1),"")</f>
        <v>35.576599999999999</v>
      </c>
      <c r="AI3" s="7" cm="1">
        <f t="array" aca="1" ref="AI3" ca="1">_xlfn.IFNA(INDEX(jkm_call_put!$L:$L,MATCH($B3&amp;AI$2&amp;$A$1,jkm_call_put!$G:$G&amp;jkm_call_put!$O:$O&amp;jkm_call_put!$F:$F,0),1),"")</f>
        <v>35.6111</v>
      </c>
      <c r="AJ3" s="7" cm="1">
        <f t="array" aca="1" ref="AJ3" ca="1">_xlfn.IFNA(INDEX(jkm_call_put!$L:$L,MATCH($B3&amp;AJ$2&amp;$A$1,jkm_call_put!$G:$G&amp;jkm_call_put!$O:$O&amp;jkm_call_put!$F:$F,0),1),"")</f>
        <v>35.616300000000003</v>
      </c>
      <c r="AK3" s="7" cm="1">
        <f t="array" aca="1" ref="AK3" ca="1">_xlfn.IFNA(INDEX(jkm_call_put!$L:$L,MATCH($B3&amp;AK$2&amp;$A$1,jkm_call_put!$G:$G&amp;jkm_call_put!$O:$O&amp;jkm_call_put!$F:$F,0),1),"")</f>
        <v>35.5824</v>
      </c>
      <c r="AL3" s="7" cm="1">
        <f t="array" aca="1" ref="AL3" ca="1">_xlfn.IFNA(INDEX(jkm_call_put!$L:$L,MATCH($B3&amp;AL$2&amp;$A$1,jkm_call_put!$G:$G&amp;jkm_call_put!$O:$O&amp;jkm_call_put!$F:$F,0),1),"")</f>
        <v>35.584200000000003</v>
      </c>
    </row>
    <row r="4" spans="1:38" x14ac:dyDescent="0.25">
      <c r="B4">
        <v>6</v>
      </c>
      <c r="C4" s="7" t="str" cm="1">
        <f t="array" aca="1" ref="C4" ca="1">_xlfn.IFNA(INDEX(jkm_call_put!$L:$L,MATCH($B4&amp;C$2&amp;$A$1,jkm_call_put!$G:$G&amp;jkm_call_put!$O:$O&amp;jkm_call_put!$F:$F,0),1),"")</f>
        <v/>
      </c>
      <c r="D4" s="7" t="str" cm="1">
        <f t="array" aca="1" ref="D4" ca="1">_xlfn.IFNA(INDEX(jkm_call_put!$L:$L,MATCH($B4&amp;D$2&amp;$A$1,jkm_call_put!$G:$G&amp;jkm_call_put!$O:$O&amp;jkm_call_put!$F:$F,0),1),"")</f>
        <v/>
      </c>
      <c r="E4" s="7" t="str" cm="1">
        <f t="array" aca="1" ref="E4" ca="1">_xlfn.IFNA(INDEX(jkm_call_put!$L:$L,MATCH($B4&amp;E$2&amp;$A$1,jkm_call_put!$G:$G&amp;jkm_call_put!$O:$O&amp;jkm_call_put!$F:$F,0),1),"")</f>
        <v/>
      </c>
      <c r="F4" s="7" t="str" cm="1">
        <f t="array" aca="1" ref="F4" ca="1">_xlfn.IFNA(INDEX(jkm_call_put!$L:$L,MATCH($B4&amp;F$2&amp;$A$1,jkm_call_put!$G:$G&amp;jkm_call_put!$O:$O&amp;jkm_call_put!$F:$F,0),1),"")</f>
        <v/>
      </c>
      <c r="G4" s="7" t="str" cm="1">
        <f t="array" aca="1" ref="G4" ca="1">_xlfn.IFNA(INDEX(jkm_call_put!$L:$L,MATCH($B4&amp;G$2&amp;$A$1,jkm_call_put!$G:$G&amp;jkm_call_put!$O:$O&amp;jkm_call_put!$F:$F,0),1),"")</f>
        <v/>
      </c>
      <c r="H4" s="7" t="str" cm="1">
        <f t="array" aca="1" ref="H4" ca="1">_xlfn.IFNA(INDEX(jkm_call_put!$L:$L,MATCH($B4&amp;H$2&amp;$A$1,jkm_call_put!$G:$G&amp;jkm_call_put!$O:$O&amp;jkm_call_put!$F:$F,0),1),"")</f>
        <v/>
      </c>
      <c r="I4" s="7" t="str" cm="1">
        <f t="array" aca="1" ref="I4" ca="1">_xlfn.IFNA(INDEX(jkm_call_put!$L:$L,MATCH($B4&amp;I$2&amp;$A$1,jkm_call_put!$G:$G&amp;jkm_call_put!$O:$O&amp;jkm_call_put!$F:$F,0),1),"")</f>
        <v/>
      </c>
      <c r="J4" s="7" t="str" cm="1">
        <f t="array" aca="1" ref="J4" ca="1">_xlfn.IFNA(INDEX(jkm_call_put!$L:$L,MATCH($B4&amp;J$2&amp;$A$1,jkm_call_put!$G:$G&amp;jkm_call_put!$O:$O&amp;jkm_call_put!$F:$F,0),1),"")</f>
        <v/>
      </c>
      <c r="K4" s="7" cm="1">
        <f t="array" aca="1" ref="K4" ca="1">_xlfn.IFNA(INDEX(jkm_call_put!$L:$L,MATCH($B4&amp;K$2&amp;$A$1,jkm_call_put!$G:$G&amp;jkm_call_put!$O:$O&amp;jkm_call_put!$F:$F,0),1),"")</f>
        <v>62.924799999999998</v>
      </c>
      <c r="L4" s="7" t="str" cm="1">
        <f t="array" aca="1" ref="L4" ca="1">_xlfn.IFNA(INDEX(jkm_call_put!$L:$L,MATCH($B4&amp;L$2&amp;$A$1,jkm_call_put!$G:$G&amp;jkm_call_put!$O:$O&amp;jkm_call_put!$F:$F,0),1),"")</f>
        <v/>
      </c>
      <c r="M4" s="7" t="str" cm="1">
        <f t="array" aca="1" ref="M4" ca="1">_xlfn.IFNA(INDEX(jkm_call_put!$L:$L,MATCH($B4&amp;M$2&amp;$A$1,jkm_call_put!$G:$G&amp;jkm_call_put!$O:$O&amp;jkm_call_put!$F:$F,0),1),"")</f>
        <v/>
      </c>
      <c r="N4" s="7" t="str" cm="1">
        <f t="array" aca="1" ref="N4" ca="1">_xlfn.IFNA(INDEX(jkm_call_put!$L:$L,MATCH($B4&amp;N$2&amp;$A$1,jkm_call_put!$G:$G&amp;jkm_call_put!$O:$O&amp;jkm_call_put!$F:$F,0),1),"")</f>
        <v/>
      </c>
      <c r="O4" s="7" t="str" cm="1">
        <f t="array" aca="1" ref="O4" ca="1">_xlfn.IFNA(INDEX(jkm_call_put!$L:$L,MATCH($B4&amp;O$2&amp;$A$1,jkm_call_put!$G:$G&amp;jkm_call_put!$O:$O&amp;jkm_call_put!$F:$F,0),1),"")</f>
        <v/>
      </c>
      <c r="P4" s="7" t="str" cm="1">
        <f t="array" aca="1" ref="P4" ca="1">_xlfn.IFNA(INDEX(jkm_call_put!$L:$L,MATCH($B4&amp;P$2&amp;$A$1,jkm_call_put!$G:$G&amp;jkm_call_put!$O:$O&amp;jkm_call_put!$F:$F,0),1),"")</f>
        <v/>
      </c>
      <c r="Q4" s="7" t="str" cm="1">
        <f t="array" aca="1" ref="Q4" ca="1">_xlfn.IFNA(INDEX(jkm_call_put!$L:$L,MATCH($B4&amp;Q$2&amp;$A$1,jkm_call_put!$G:$G&amp;jkm_call_put!$O:$O&amp;jkm_call_put!$F:$F,0),1),"")</f>
        <v/>
      </c>
      <c r="R4" s="7" t="str" cm="1">
        <f t="array" aca="1" ref="R4" ca="1">_xlfn.IFNA(INDEX(jkm_call_put!$L:$L,MATCH($B4&amp;R$2&amp;$A$1,jkm_call_put!$G:$G&amp;jkm_call_put!$O:$O&amp;jkm_call_put!$F:$F,0),1),"")</f>
        <v/>
      </c>
      <c r="S4" s="7" t="str" cm="1">
        <f t="array" aca="1" ref="S4" ca="1">_xlfn.IFNA(INDEX(jkm_call_put!$L:$L,MATCH($B4&amp;S$2&amp;$A$1,jkm_call_put!$G:$G&amp;jkm_call_put!$O:$O&amp;jkm_call_put!$F:$F,0),1),"")</f>
        <v/>
      </c>
      <c r="T4" s="7" t="str" cm="1">
        <f t="array" aca="1" ref="T4" ca="1">_xlfn.IFNA(INDEX(jkm_call_put!$L:$L,MATCH($B4&amp;T$2&amp;$A$1,jkm_call_put!$G:$G&amp;jkm_call_put!$O:$O&amp;jkm_call_put!$F:$F,0),1),"")</f>
        <v/>
      </c>
      <c r="U4" s="7" t="str" cm="1">
        <f t="array" aca="1" ref="U4" ca="1">_xlfn.IFNA(INDEX(jkm_call_put!$L:$L,MATCH($B4&amp;U$2&amp;$A$1,jkm_call_put!$G:$G&amp;jkm_call_put!$O:$O&amp;jkm_call_put!$F:$F,0),1),"")</f>
        <v/>
      </c>
      <c r="V4" s="7" t="str" cm="1">
        <f t="array" aca="1" ref="V4" ca="1">_xlfn.IFNA(INDEX(jkm_call_put!$L:$L,MATCH($B4&amp;V$2&amp;$A$1,jkm_call_put!$G:$G&amp;jkm_call_put!$O:$O&amp;jkm_call_put!$F:$F,0),1),"")</f>
        <v/>
      </c>
      <c r="W4" s="7" t="str" cm="1">
        <f t="array" aca="1" ref="W4" ca="1">_xlfn.IFNA(INDEX(jkm_call_put!$L:$L,MATCH($B4&amp;W$2&amp;$A$1,jkm_call_put!$G:$G&amp;jkm_call_put!$O:$O&amp;jkm_call_put!$F:$F,0),1),"")</f>
        <v/>
      </c>
      <c r="X4" s="7" t="str" cm="1">
        <f t="array" aca="1" ref="X4" ca="1">_xlfn.IFNA(INDEX(jkm_call_put!$L:$L,MATCH($B4&amp;X$2&amp;$A$1,jkm_call_put!$G:$G&amp;jkm_call_put!$O:$O&amp;jkm_call_put!$F:$F,0),1),"")</f>
        <v/>
      </c>
      <c r="Y4" s="7" t="str" cm="1">
        <f t="array" aca="1" ref="Y4" ca="1">_xlfn.IFNA(INDEX(jkm_call_put!$L:$L,MATCH($B4&amp;Y$2&amp;$A$1,jkm_call_put!$G:$G&amp;jkm_call_put!$O:$O&amp;jkm_call_put!$F:$F,0),1),"")</f>
        <v/>
      </c>
      <c r="Z4" s="7" t="str" cm="1">
        <f t="array" aca="1" ref="Z4" ca="1">_xlfn.IFNA(INDEX(jkm_call_put!$L:$L,MATCH($B4&amp;Z$2&amp;$A$1,jkm_call_put!$G:$G&amp;jkm_call_put!$O:$O&amp;jkm_call_put!$F:$F,0),1),"")</f>
        <v/>
      </c>
      <c r="AA4" s="7" t="str" cm="1">
        <f t="array" aca="1" ref="AA4" ca="1">_xlfn.IFNA(INDEX(jkm_call_put!$L:$L,MATCH($B4&amp;AA$2&amp;$A$1,jkm_call_put!$G:$G&amp;jkm_call_put!$O:$O&amp;jkm_call_put!$F:$F,0),1),"")</f>
        <v/>
      </c>
      <c r="AB4" s="7" t="str" cm="1">
        <f t="array" aca="1" ref="AB4" ca="1">_xlfn.IFNA(INDEX(jkm_call_put!$L:$L,MATCH($B4&amp;AB$2&amp;$A$1,jkm_call_put!$G:$G&amp;jkm_call_put!$O:$O&amp;jkm_call_put!$F:$F,0),1),"")</f>
        <v/>
      </c>
      <c r="AC4" s="7" t="str" cm="1">
        <f t="array" aca="1" ref="AC4" ca="1">_xlfn.IFNA(INDEX(jkm_call_put!$L:$L,MATCH($B4&amp;AC$2&amp;$A$1,jkm_call_put!$G:$G&amp;jkm_call_put!$O:$O&amp;jkm_call_put!$F:$F,0),1),"")</f>
        <v/>
      </c>
      <c r="AD4" s="7" t="str" cm="1">
        <f t="array" aca="1" ref="AD4" ca="1">_xlfn.IFNA(INDEX(jkm_call_put!$L:$L,MATCH($B4&amp;AD$2&amp;$A$1,jkm_call_put!$G:$G&amp;jkm_call_put!$O:$O&amp;jkm_call_put!$F:$F,0),1),"")</f>
        <v/>
      </c>
      <c r="AE4" s="7" t="str" cm="1">
        <f t="array" aca="1" ref="AE4" ca="1">_xlfn.IFNA(INDEX(jkm_call_put!$L:$L,MATCH($B4&amp;AE$2&amp;$A$1,jkm_call_put!$G:$G&amp;jkm_call_put!$O:$O&amp;jkm_call_put!$F:$F,0),1),"")</f>
        <v/>
      </c>
      <c r="AF4" s="7" t="str" cm="1">
        <f t="array" aca="1" ref="AF4" ca="1">_xlfn.IFNA(INDEX(jkm_call_put!$L:$L,MATCH($B4&amp;AF$2&amp;$A$1,jkm_call_put!$G:$G&amp;jkm_call_put!$O:$O&amp;jkm_call_put!$F:$F,0),1),"")</f>
        <v/>
      </c>
      <c r="AG4" s="7" t="str" cm="1">
        <f t="array" aca="1" ref="AG4" ca="1">_xlfn.IFNA(INDEX(jkm_call_put!$L:$L,MATCH($B4&amp;AG$2&amp;$A$1,jkm_call_put!$G:$G&amp;jkm_call_put!$O:$O&amp;jkm_call_put!$F:$F,0),1),"")</f>
        <v/>
      </c>
      <c r="AH4" s="7" t="str" cm="1">
        <f t="array" aca="1" ref="AH4" ca="1">_xlfn.IFNA(INDEX(jkm_call_put!$L:$L,MATCH($B4&amp;AH$2&amp;$A$1,jkm_call_put!$G:$G&amp;jkm_call_put!$O:$O&amp;jkm_call_put!$F:$F,0),1),"")</f>
        <v/>
      </c>
      <c r="AI4" s="7" t="str" cm="1">
        <f t="array" aca="1" ref="AI4" ca="1">_xlfn.IFNA(INDEX(jkm_call_put!$L:$L,MATCH($B4&amp;AI$2&amp;$A$1,jkm_call_put!$G:$G&amp;jkm_call_put!$O:$O&amp;jkm_call_put!$F:$F,0),1),"")</f>
        <v/>
      </c>
      <c r="AJ4" s="7" t="str" cm="1">
        <f t="array" aca="1" ref="AJ4" ca="1">_xlfn.IFNA(INDEX(jkm_call_put!$L:$L,MATCH($B4&amp;AJ$2&amp;$A$1,jkm_call_put!$G:$G&amp;jkm_call_put!$O:$O&amp;jkm_call_put!$F:$F,0),1),"")</f>
        <v/>
      </c>
      <c r="AK4" s="7" t="str" cm="1">
        <f t="array" aca="1" ref="AK4" ca="1">_xlfn.IFNA(INDEX(jkm_call_put!$L:$L,MATCH($B4&amp;AK$2&amp;$A$1,jkm_call_put!$G:$G&amp;jkm_call_put!$O:$O&amp;jkm_call_put!$F:$F,0),1),"")</f>
        <v/>
      </c>
      <c r="AL4" s="7" t="str" cm="1">
        <f t="array" aca="1" ref="AL4" ca="1">_xlfn.IFNA(INDEX(jkm_call_put!$L:$L,MATCH($B4&amp;AL$2&amp;$A$1,jkm_call_put!$G:$G&amp;jkm_call_put!$O:$O&amp;jkm_call_put!$F:$F,0),1),"")</f>
        <v/>
      </c>
    </row>
    <row r="5" spans="1:38" x14ac:dyDescent="0.25">
      <c r="B5">
        <v>7</v>
      </c>
      <c r="C5" s="7" t="str" cm="1">
        <f t="array" aca="1" ref="C5" ca="1">_xlfn.IFNA(INDEX(jkm_call_put!$L:$L,MATCH($B5&amp;C$2&amp;$A$1,jkm_call_put!$G:$G&amp;jkm_call_put!$O:$O&amp;jkm_call_put!$F:$F,0),1),"")</f>
        <v/>
      </c>
      <c r="D5" s="7" t="str" cm="1">
        <f t="array" aca="1" ref="D5" ca="1">_xlfn.IFNA(INDEX(jkm_call_put!$L:$L,MATCH($B5&amp;D$2&amp;$A$1,jkm_call_put!$G:$G&amp;jkm_call_put!$O:$O&amp;jkm_call_put!$F:$F,0),1),"")</f>
        <v/>
      </c>
      <c r="E5" s="7" t="str" cm="1">
        <f t="array" aca="1" ref="E5" ca="1">_xlfn.IFNA(INDEX(jkm_call_put!$L:$L,MATCH($B5&amp;E$2&amp;$A$1,jkm_call_put!$G:$G&amp;jkm_call_put!$O:$O&amp;jkm_call_put!$F:$F,0),1),"")</f>
        <v/>
      </c>
      <c r="F5" s="7" t="str" cm="1">
        <f t="array" aca="1" ref="F5" ca="1">_xlfn.IFNA(INDEX(jkm_call_put!$L:$L,MATCH($B5&amp;F$2&amp;$A$1,jkm_call_put!$G:$G&amp;jkm_call_put!$O:$O&amp;jkm_call_put!$F:$F,0),1),"")</f>
        <v/>
      </c>
      <c r="G5" s="7" t="str" cm="1">
        <f t="array" aca="1" ref="G5" ca="1">_xlfn.IFNA(INDEX(jkm_call_put!$L:$L,MATCH($B5&amp;G$2&amp;$A$1,jkm_call_put!$G:$G&amp;jkm_call_put!$O:$O&amp;jkm_call_put!$F:$F,0),1),"")</f>
        <v/>
      </c>
      <c r="H5" s="7" t="str" cm="1">
        <f t="array" aca="1" ref="H5" ca="1">_xlfn.IFNA(INDEX(jkm_call_put!$L:$L,MATCH($B5&amp;H$2&amp;$A$1,jkm_call_put!$G:$G&amp;jkm_call_put!$O:$O&amp;jkm_call_put!$F:$F,0),1),"")</f>
        <v/>
      </c>
      <c r="I5" s="7" t="str" cm="1">
        <f t="array" aca="1" ref="I5" ca="1">_xlfn.IFNA(INDEX(jkm_call_put!$L:$L,MATCH($B5&amp;I$2&amp;$A$1,jkm_call_put!$G:$G&amp;jkm_call_put!$O:$O&amp;jkm_call_put!$F:$F,0),1),"")</f>
        <v/>
      </c>
      <c r="J5" s="7" t="str" cm="1">
        <f t="array" aca="1" ref="J5" ca="1">_xlfn.IFNA(INDEX(jkm_call_put!$L:$L,MATCH($B5&amp;J$2&amp;$A$1,jkm_call_put!$G:$G&amp;jkm_call_put!$O:$O&amp;jkm_call_put!$F:$F,0),1),"")</f>
        <v/>
      </c>
      <c r="K5" s="7" cm="1">
        <f t="array" aca="1" ref="K5" ca="1">_xlfn.IFNA(INDEX(jkm_call_put!$L:$L,MATCH($B5&amp;K$2&amp;$A$1,jkm_call_put!$G:$G&amp;jkm_call_put!$O:$O&amp;jkm_call_put!$F:$F,0),1),"")</f>
        <v>62.974499999999999</v>
      </c>
      <c r="L5" s="7" t="str" cm="1">
        <f t="array" aca="1" ref="L5" ca="1">_xlfn.IFNA(INDEX(jkm_call_put!$L:$L,MATCH($B5&amp;L$2&amp;$A$1,jkm_call_put!$G:$G&amp;jkm_call_put!$O:$O&amp;jkm_call_put!$F:$F,0),1),"")</f>
        <v/>
      </c>
      <c r="M5" s="7" t="str" cm="1">
        <f t="array" aca="1" ref="M5" ca="1">_xlfn.IFNA(INDEX(jkm_call_put!$L:$L,MATCH($B5&amp;M$2&amp;$A$1,jkm_call_put!$G:$G&amp;jkm_call_put!$O:$O&amp;jkm_call_put!$F:$F,0),1),"")</f>
        <v/>
      </c>
      <c r="N5" s="7" t="str" cm="1">
        <f t="array" aca="1" ref="N5" ca="1">_xlfn.IFNA(INDEX(jkm_call_put!$L:$L,MATCH($B5&amp;N$2&amp;$A$1,jkm_call_put!$G:$G&amp;jkm_call_put!$O:$O&amp;jkm_call_put!$F:$F,0),1),"")</f>
        <v/>
      </c>
      <c r="O5" s="7" t="str" cm="1">
        <f t="array" aca="1" ref="O5" ca="1">_xlfn.IFNA(INDEX(jkm_call_put!$L:$L,MATCH($B5&amp;O$2&amp;$A$1,jkm_call_put!$G:$G&amp;jkm_call_put!$O:$O&amp;jkm_call_put!$F:$F,0),1),"")</f>
        <v/>
      </c>
      <c r="P5" s="7" t="str" cm="1">
        <f t="array" aca="1" ref="P5" ca="1">_xlfn.IFNA(INDEX(jkm_call_put!$L:$L,MATCH($B5&amp;P$2&amp;$A$1,jkm_call_put!$G:$G&amp;jkm_call_put!$O:$O&amp;jkm_call_put!$F:$F,0),1),"")</f>
        <v/>
      </c>
      <c r="Q5" s="7" t="str" cm="1">
        <f t="array" aca="1" ref="Q5" ca="1">_xlfn.IFNA(INDEX(jkm_call_put!$L:$L,MATCH($B5&amp;Q$2&amp;$A$1,jkm_call_put!$G:$G&amp;jkm_call_put!$O:$O&amp;jkm_call_put!$F:$F,0),1),"")</f>
        <v/>
      </c>
      <c r="R5" s="7" t="str" cm="1">
        <f t="array" aca="1" ref="R5" ca="1">_xlfn.IFNA(INDEX(jkm_call_put!$L:$L,MATCH($B5&amp;R$2&amp;$A$1,jkm_call_put!$G:$G&amp;jkm_call_put!$O:$O&amp;jkm_call_put!$F:$F,0),1),"")</f>
        <v/>
      </c>
      <c r="S5" s="7" t="str" cm="1">
        <f t="array" aca="1" ref="S5" ca="1">_xlfn.IFNA(INDEX(jkm_call_put!$L:$L,MATCH($B5&amp;S$2&amp;$A$1,jkm_call_put!$G:$G&amp;jkm_call_put!$O:$O&amp;jkm_call_put!$F:$F,0),1),"")</f>
        <v/>
      </c>
      <c r="T5" s="7" t="str" cm="1">
        <f t="array" aca="1" ref="T5" ca="1">_xlfn.IFNA(INDEX(jkm_call_put!$L:$L,MATCH($B5&amp;T$2&amp;$A$1,jkm_call_put!$G:$G&amp;jkm_call_put!$O:$O&amp;jkm_call_put!$F:$F,0),1),"")</f>
        <v/>
      </c>
      <c r="U5" s="7" t="str" cm="1">
        <f t="array" aca="1" ref="U5" ca="1">_xlfn.IFNA(INDEX(jkm_call_put!$L:$L,MATCH($B5&amp;U$2&amp;$A$1,jkm_call_put!$G:$G&amp;jkm_call_put!$O:$O&amp;jkm_call_put!$F:$F,0),1),"")</f>
        <v/>
      </c>
      <c r="V5" s="7" t="str" cm="1">
        <f t="array" aca="1" ref="V5" ca="1">_xlfn.IFNA(INDEX(jkm_call_put!$L:$L,MATCH($B5&amp;V$2&amp;$A$1,jkm_call_put!$G:$G&amp;jkm_call_put!$O:$O&amp;jkm_call_put!$F:$F,0),1),"")</f>
        <v/>
      </c>
      <c r="W5" s="7" t="str" cm="1">
        <f t="array" aca="1" ref="W5" ca="1">_xlfn.IFNA(INDEX(jkm_call_put!$L:$L,MATCH($B5&amp;W$2&amp;$A$1,jkm_call_put!$G:$G&amp;jkm_call_put!$O:$O&amp;jkm_call_put!$F:$F,0),1),"")</f>
        <v/>
      </c>
      <c r="X5" s="7" t="str" cm="1">
        <f t="array" aca="1" ref="X5" ca="1">_xlfn.IFNA(INDEX(jkm_call_put!$L:$L,MATCH($B5&amp;X$2&amp;$A$1,jkm_call_put!$G:$G&amp;jkm_call_put!$O:$O&amp;jkm_call_put!$F:$F,0),1),"")</f>
        <v/>
      </c>
      <c r="Y5" s="7" t="str" cm="1">
        <f t="array" aca="1" ref="Y5" ca="1">_xlfn.IFNA(INDEX(jkm_call_put!$L:$L,MATCH($B5&amp;Y$2&amp;$A$1,jkm_call_put!$G:$G&amp;jkm_call_put!$O:$O&amp;jkm_call_put!$F:$F,0),1),"")</f>
        <v/>
      </c>
      <c r="Z5" s="7" cm="1">
        <f t="array" aca="1" ref="Z5" ca="1">_xlfn.IFNA(INDEX(jkm_call_put!$L:$L,MATCH($B5&amp;Z$2&amp;$A$1,jkm_call_put!$G:$G&amp;jkm_call_put!$O:$O&amp;jkm_call_put!$F:$F,0),1),"")</f>
        <v>30.291399999999999</v>
      </c>
      <c r="AA5" s="7" cm="1">
        <f t="array" aca="1" ref="AA5" ca="1">_xlfn.IFNA(INDEX(jkm_call_put!$L:$L,MATCH($B5&amp;AA$2&amp;$A$1,jkm_call_put!$G:$G&amp;jkm_call_put!$O:$O&amp;jkm_call_put!$F:$F,0),1),"")</f>
        <v>30.307600000000001</v>
      </c>
      <c r="AB5" s="7" cm="1">
        <f t="array" aca="1" ref="AB5" ca="1">_xlfn.IFNA(INDEX(jkm_call_put!$L:$L,MATCH($B5&amp;AB$2&amp;$A$1,jkm_call_put!$G:$G&amp;jkm_call_put!$O:$O&amp;jkm_call_put!$F:$F,0),1),"")</f>
        <v>30.284300000000002</v>
      </c>
      <c r="AC5" s="7" cm="1">
        <f t="array" aca="1" ref="AC5" ca="1">_xlfn.IFNA(INDEX(jkm_call_put!$L:$L,MATCH($B5&amp;AC$2&amp;$A$1,jkm_call_put!$G:$G&amp;jkm_call_put!$O:$O&amp;jkm_call_put!$F:$F,0),1),"")</f>
        <v>30.3018</v>
      </c>
      <c r="AD5" s="7" cm="1">
        <f t="array" aca="1" ref="AD5" ca="1">_xlfn.IFNA(INDEX(jkm_call_put!$L:$L,MATCH($B5&amp;AD$2&amp;$A$1,jkm_call_put!$G:$G&amp;jkm_call_put!$O:$O&amp;jkm_call_put!$F:$F,0),1),"")</f>
        <v>30.355799999999999</v>
      </c>
      <c r="AE5" s="7" cm="1">
        <f t="array" aca="1" ref="AE5" ca="1">_xlfn.IFNA(INDEX(jkm_call_put!$L:$L,MATCH($B5&amp;AE$2&amp;$A$1,jkm_call_put!$G:$G&amp;jkm_call_put!$O:$O&amp;jkm_call_put!$F:$F,0),1),"")</f>
        <v>30.3706</v>
      </c>
      <c r="AF5" s="7" t="str" cm="1">
        <f t="array" aca="1" ref="AF5" ca="1">_xlfn.IFNA(INDEX(jkm_call_put!$L:$L,MATCH($B5&amp;AF$2&amp;$A$1,jkm_call_put!$G:$G&amp;jkm_call_put!$O:$O&amp;jkm_call_put!$F:$F,0),1),"")</f>
        <v/>
      </c>
      <c r="AG5" s="7" t="str" cm="1">
        <f t="array" aca="1" ref="AG5" ca="1">_xlfn.IFNA(INDEX(jkm_call_put!$L:$L,MATCH($B5&amp;AG$2&amp;$A$1,jkm_call_put!$G:$G&amp;jkm_call_put!$O:$O&amp;jkm_call_put!$F:$F,0),1),"")</f>
        <v/>
      </c>
      <c r="AH5" s="7" t="str" cm="1">
        <f t="array" aca="1" ref="AH5" ca="1">_xlfn.IFNA(INDEX(jkm_call_put!$L:$L,MATCH($B5&amp;AH$2&amp;$A$1,jkm_call_put!$G:$G&amp;jkm_call_put!$O:$O&amp;jkm_call_put!$F:$F,0),1),"")</f>
        <v/>
      </c>
      <c r="AI5" s="7" t="str" cm="1">
        <f t="array" aca="1" ref="AI5" ca="1">_xlfn.IFNA(INDEX(jkm_call_put!$L:$L,MATCH($B5&amp;AI$2&amp;$A$1,jkm_call_put!$G:$G&amp;jkm_call_put!$O:$O&amp;jkm_call_put!$F:$F,0),1),"")</f>
        <v/>
      </c>
      <c r="AJ5" s="7" t="str" cm="1">
        <f t="array" aca="1" ref="AJ5" ca="1">_xlfn.IFNA(INDEX(jkm_call_put!$L:$L,MATCH($B5&amp;AJ$2&amp;$A$1,jkm_call_put!$G:$G&amp;jkm_call_put!$O:$O&amp;jkm_call_put!$F:$F,0),1),"")</f>
        <v/>
      </c>
      <c r="AK5" s="7" t="str" cm="1">
        <f t="array" aca="1" ref="AK5" ca="1">_xlfn.IFNA(INDEX(jkm_call_put!$L:$L,MATCH($B5&amp;AK$2&amp;$A$1,jkm_call_put!$G:$G&amp;jkm_call_put!$O:$O&amp;jkm_call_put!$F:$F,0),1),"")</f>
        <v/>
      </c>
      <c r="AL5" s="7" t="str" cm="1">
        <f t="array" aca="1" ref="AL5" ca="1">_xlfn.IFNA(INDEX(jkm_call_put!$L:$L,MATCH($B5&amp;AL$2&amp;$A$1,jkm_call_put!$G:$G&amp;jkm_call_put!$O:$O&amp;jkm_call_put!$F:$F,0),1),"")</f>
        <v/>
      </c>
    </row>
    <row r="6" spans="1:38" x14ac:dyDescent="0.25">
      <c r="B6">
        <v>7.6</v>
      </c>
      <c r="C6" s="7" t="str" cm="1">
        <f t="array" aca="1" ref="C6" ca="1">_xlfn.IFNA(INDEX(jkm_call_put!$L:$L,MATCH($B6&amp;C$2&amp;$A$1,jkm_call_put!$G:$G&amp;jkm_call_put!$O:$O&amp;jkm_call_put!$F:$F,0),1),"")</f>
        <v/>
      </c>
      <c r="D6" s="7" t="str" cm="1">
        <f t="array" aca="1" ref="D6" ca="1">_xlfn.IFNA(INDEX(jkm_call_put!$L:$L,MATCH($B6&amp;D$2&amp;$A$1,jkm_call_put!$G:$G&amp;jkm_call_put!$O:$O&amp;jkm_call_put!$F:$F,0),1),"")</f>
        <v/>
      </c>
      <c r="E6" s="7" t="str" cm="1">
        <f t="array" aca="1" ref="E6" ca="1">_xlfn.IFNA(INDEX(jkm_call_put!$L:$L,MATCH($B6&amp;E$2&amp;$A$1,jkm_call_put!$G:$G&amp;jkm_call_put!$O:$O&amp;jkm_call_put!$F:$F,0),1),"")</f>
        <v/>
      </c>
      <c r="F6" s="7" t="str" cm="1">
        <f t="array" aca="1" ref="F6" ca="1">_xlfn.IFNA(INDEX(jkm_call_put!$L:$L,MATCH($B6&amp;F$2&amp;$A$1,jkm_call_put!$G:$G&amp;jkm_call_put!$O:$O&amp;jkm_call_put!$F:$F,0),1),"")</f>
        <v/>
      </c>
      <c r="G6" s="7" t="str" cm="1">
        <f t="array" aca="1" ref="G6" ca="1">_xlfn.IFNA(INDEX(jkm_call_put!$L:$L,MATCH($B6&amp;G$2&amp;$A$1,jkm_call_put!$G:$G&amp;jkm_call_put!$O:$O&amp;jkm_call_put!$F:$F,0),1),"")</f>
        <v/>
      </c>
      <c r="H6" s="7" t="str" cm="1">
        <f t="array" aca="1" ref="H6" ca="1">_xlfn.IFNA(INDEX(jkm_call_put!$L:$L,MATCH($B6&amp;H$2&amp;$A$1,jkm_call_put!$G:$G&amp;jkm_call_put!$O:$O&amp;jkm_call_put!$F:$F,0),1),"")</f>
        <v/>
      </c>
      <c r="I6" s="7" t="str" cm="1">
        <f t="array" aca="1" ref="I6" ca="1">_xlfn.IFNA(INDEX(jkm_call_put!$L:$L,MATCH($B6&amp;I$2&amp;$A$1,jkm_call_put!$G:$G&amp;jkm_call_put!$O:$O&amp;jkm_call_put!$F:$F,0),1),"")</f>
        <v/>
      </c>
      <c r="J6" s="7" t="str" cm="1">
        <f t="array" aca="1" ref="J6" ca="1">_xlfn.IFNA(INDEX(jkm_call_put!$L:$L,MATCH($B6&amp;J$2&amp;$A$1,jkm_call_put!$G:$G&amp;jkm_call_put!$O:$O&amp;jkm_call_put!$F:$F,0),1),"")</f>
        <v/>
      </c>
      <c r="K6" s="7" t="str" cm="1">
        <f t="array" aca="1" ref="K6" ca="1">_xlfn.IFNA(INDEX(jkm_call_put!$L:$L,MATCH($B6&amp;K$2&amp;$A$1,jkm_call_put!$G:$G&amp;jkm_call_put!$O:$O&amp;jkm_call_put!$F:$F,0),1),"")</f>
        <v/>
      </c>
      <c r="L6" s="7" t="str" cm="1">
        <f t="array" aca="1" ref="L6" ca="1">_xlfn.IFNA(INDEX(jkm_call_put!$L:$L,MATCH($B6&amp;L$2&amp;$A$1,jkm_call_put!$G:$G&amp;jkm_call_put!$O:$O&amp;jkm_call_put!$F:$F,0),1),"")</f>
        <v/>
      </c>
      <c r="M6" s="7" t="str" cm="1">
        <f t="array" aca="1" ref="M6" ca="1">_xlfn.IFNA(INDEX(jkm_call_put!$L:$L,MATCH($B6&amp;M$2&amp;$A$1,jkm_call_put!$G:$G&amp;jkm_call_put!$O:$O&amp;jkm_call_put!$F:$F,0),1),"")</f>
        <v/>
      </c>
      <c r="N6" s="7" t="str" cm="1">
        <f t="array" aca="1" ref="N6" ca="1">_xlfn.IFNA(INDEX(jkm_call_put!$L:$L,MATCH($B6&amp;N$2&amp;$A$1,jkm_call_put!$G:$G&amp;jkm_call_put!$O:$O&amp;jkm_call_put!$F:$F,0),1),"")</f>
        <v/>
      </c>
      <c r="O6" s="7" t="str" cm="1">
        <f t="array" aca="1" ref="O6" ca="1">_xlfn.IFNA(INDEX(jkm_call_put!$L:$L,MATCH($B6&amp;O$2&amp;$A$1,jkm_call_put!$G:$G&amp;jkm_call_put!$O:$O&amp;jkm_call_put!$F:$F,0),1),"")</f>
        <v/>
      </c>
      <c r="P6" s="7" t="str" cm="1">
        <f t="array" aca="1" ref="P6" ca="1">_xlfn.IFNA(INDEX(jkm_call_put!$L:$L,MATCH($B6&amp;P$2&amp;$A$1,jkm_call_put!$G:$G&amp;jkm_call_put!$O:$O&amp;jkm_call_put!$F:$F,0),1),"")</f>
        <v/>
      </c>
      <c r="Q6" s="7" t="str" cm="1">
        <f t="array" aca="1" ref="Q6" ca="1">_xlfn.IFNA(INDEX(jkm_call_put!$L:$L,MATCH($B6&amp;Q$2&amp;$A$1,jkm_call_put!$G:$G&amp;jkm_call_put!$O:$O&amp;jkm_call_put!$F:$F,0),1),"")</f>
        <v/>
      </c>
      <c r="R6" s="7" t="str" cm="1">
        <f t="array" aca="1" ref="R6" ca="1">_xlfn.IFNA(INDEX(jkm_call_put!$L:$L,MATCH($B6&amp;R$2&amp;$A$1,jkm_call_put!$G:$G&amp;jkm_call_put!$O:$O&amp;jkm_call_put!$F:$F,0),1),"")</f>
        <v/>
      </c>
      <c r="S6" s="7" t="str" cm="1">
        <f t="array" aca="1" ref="S6" ca="1">_xlfn.IFNA(INDEX(jkm_call_put!$L:$L,MATCH($B6&amp;S$2&amp;$A$1,jkm_call_put!$G:$G&amp;jkm_call_put!$O:$O&amp;jkm_call_put!$F:$F,0),1),"")</f>
        <v/>
      </c>
      <c r="T6" s="7" t="str" cm="1">
        <f t="array" aca="1" ref="T6" ca="1">_xlfn.IFNA(INDEX(jkm_call_put!$L:$L,MATCH($B6&amp;T$2&amp;$A$1,jkm_call_put!$G:$G&amp;jkm_call_put!$O:$O&amp;jkm_call_put!$F:$F,0),1),"")</f>
        <v/>
      </c>
      <c r="U6" s="7" t="str" cm="1">
        <f t="array" aca="1" ref="U6" ca="1">_xlfn.IFNA(INDEX(jkm_call_put!$L:$L,MATCH($B6&amp;U$2&amp;$A$1,jkm_call_put!$G:$G&amp;jkm_call_put!$O:$O&amp;jkm_call_put!$F:$F,0),1),"")</f>
        <v/>
      </c>
      <c r="V6" s="7" t="str" cm="1">
        <f t="array" aca="1" ref="V6" ca="1">_xlfn.IFNA(INDEX(jkm_call_put!$L:$L,MATCH($B6&amp;V$2&amp;$A$1,jkm_call_put!$G:$G&amp;jkm_call_put!$O:$O&amp;jkm_call_put!$F:$F,0),1),"")</f>
        <v/>
      </c>
      <c r="W6" s="7" t="str" cm="1">
        <f t="array" aca="1" ref="W6" ca="1">_xlfn.IFNA(INDEX(jkm_call_put!$L:$L,MATCH($B6&amp;W$2&amp;$A$1,jkm_call_put!$G:$G&amp;jkm_call_put!$O:$O&amp;jkm_call_put!$F:$F,0),1),"")</f>
        <v/>
      </c>
      <c r="X6" s="7" t="str" cm="1">
        <f t="array" aca="1" ref="X6" ca="1">_xlfn.IFNA(INDEX(jkm_call_put!$L:$L,MATCH($B6&amp;X$2&amp;$A$1,jkm_call_put!$G:$G&amp;jkm_call_put!$O:$O&amp;jkm_call_put!$F:$F,0),1),"")</f>
        <v/>
      </c>
      <c r="Y6" s="7" t="str" cm="1">
        <f t="array" aca="1" ref="Y6" ca="1">_xlfn.IFNA(INDEX(jkm_call_put!$L:$L,MATCH($B6&amp;Y$2&amp;$A$1,jkm_call_put!$G:$G&amp;jkm_call_put!$O:$O&amp;jkm_call_put!$F:$F,0),1),"")</f>
        <v/>
      </c>
      <c r="Z6" s="7" t="str" cm="1">
        <f t="array" aca="1" ref="Z6" ca="1">_xlfn.IFNA(INDEX(jkm_call_put!$L:$L,MATCH($B6&amp;Z$2&amp;$A$1,jkm_call_put!$G:$G&amp;jkm_call_put!$O:$O&amp;jkm_call_put!$F:$F,0),1),"")</f>
        <v/>
      </c>
      <c r="AA6" s="7" t="str" cm="1">
        <f t="array" aca="1" ref="AA6" ca="1">_xlfn.IFNA(INDEX(jkm_call_put!$L:$L,MATCH($B6&amp;AA$2&amp;$A$1,jkm_call_put!$G:$G&amp;jkm_call_put!$O:$O&amp;jkm_call_put!$F:$F,0),1),"")</f>
        <v/>
      </c>
      <c r="AB6" s="7" t="str" cm="1">
        <f t="array" aca="1" ref="AB6" ca="1">_xlfn.IFNA(INDEX(jkm_call_put!$L:$L,MATCH($B6&amp;AB$2&amp;$A$1,jkm_call_put!$G:$G&amp;jkm_call_put!$O:$O&amp;jkm_call_put!$F:$F,0),1),"")</f>
        <v/>
      </c>
      <c r="AC6" s="7" t="str" cm="1">
        <f t="array" aca="1" ref="AC6" ca="1">_xlfn.IFNA(INDEX(jkm_call_put!$L:$L,MATCH($B6&amp;AC$2&amp;$A$1,jkm_call_put!$G:$G&amp;jkm_call_put!$O:$O&amp;jkm_call_put!$F:$F,0),1),"")</f>
        <v/>
      </c>
      <c r="AD6" s="7" t="str" cm="1">
        <f t="array" aca="1" ref="AD6" ca="1">_xlfn.IFNA(INDEX(jkm_call_put!$L:$L,MATCH($B6&amp;AD$2&amp;$A$1,jkm_call_put!$G:$G&amp;jkm_call_put!$O:$O&amp;jkm_call_put!$F:$F,0),1),"")</f>
        <v/>
      </c>
      <c r="AE6" s="7" cm="1">
        <f t="array" aca="1" ref="AE6" ca="1">_xlfn.IFNA(INDEX(jkm_call_put!$L:$L,MATCH($B6&amp;AE$2&amp;$A$1,jkm_call_put!$G:$G&amp;jkm_call_put!$O:$O&amp;jkm_call_put!$F:$F,0),1),"")</f>
        <v>30.301100000000002</v>
      </c>
      <c r="AF6" s="7" t="str" cm="1">
        <f t="array" aca="1" ref="AF6" ca="1">_xlfn.IFNA(INDEX(jkm_call_put!$L:$L,MATCH($B6&amp;AF$2&amp;$A$1,jkm_call_put!$G:$G&amp;jkm_call_put!$O:$O&amp;jkm_call_put!$F:$F,0),1),"")</f>
        <v/>
      </c>
      <c r="AG6" s="7" t="str" cm="1">
        <f t="array" aca="1" ref="AG6" ca="1">_xlfn.IFNA(INDEX(jkm_call_put!$L:$L,MATCH($B6&amp;AG$2&amp;$A$1,jkm_call_put!$G:$G&amp;jkm_call_put!$O:$O&amp;jkm_call_put!$F:$F,0),1),"")</f>
        <v/>
      </c>
      <c r="AH6" s="7" t="str" cm="1">
        <f t="array" aca="1" ref="AH6" ca="1">_xlfn.IFNA(INDEX(jkm_call_put!$L:$L,MATCH($B6&amp;AH$2&amp;$A$1,jkm_call_put!$G:$G&amp;jkm_call_put!$O:$O&amp;jkm_call_put!$F:$F,0),1),"")</f>
        <v/>
      </c>
      <c r="AI6" s="7" t="str" cm="1">
        <f t="array" aca="1" ref="AI6" ca="1">_xlfn.IFNA(INDEX(jkm_call_put!$L:$L,MATCH($B6&amp;AI$2&amp;$A$1,jkm_call_put!$G:$G&amp;jkm_call_put!$O:$O&amp;jkm_call_put!$F:$F,0),1),"")</f>
        <v/>
      </c>
      <c r="AJ6" s="7" t="str" cm="1">
        <f t="array" aca="1" ref="AJ6" ca="1">_xlfn.IFNA(INDEX(jkm_call_put!$L:$L,MATCH($B6&amp;AJ$2&amp;$A$1,jkm_call_put!$G:$G&amp;jkm_call_put!$O:$O&amp;jkm_call_put!$F:$F,0),1),"")</f>
        <v/>
      </c>
      <c r="AK6" s="7" t="str" cm="1">
        <f t="array" aca="1" ref="AK6" ca="1">_xlfn.IFNA(INDEX(jkm_call_put!$L:$L,MATCH($B6&amp;AK$2&amp;$A$1,jkm_call_put!$G:$G&amp;jkm_call_put!$O:$O&amp;jkm_call_put!$F:$F,0),1),"")</f>
        <v/>
      </c>
      <c r="AL6" s="7" t="str" cm="1">
        <f t="array" aca="1" ref="AL6" ca="1">_xlfn.IFNA(INDEX(jkm_call_put!$L:$L,MATCH($B6&amp;AL$2&amp;$A$1,jkm_call_put!$G:$G&amp;jkm_call_put!$O:$O&amp;jkm_call_put!$F:$F,0),1),"")</f>
        <v/>
      </c>
    </row>
    <row r="7" spans="1:38" x14ac:dyDescent="0.25">
      <c r="B7">
        <v>8</v>
      </c>
      <c r="C7" s="7" cm="1">
        <f t="array" aca="1" ref="C7" ca="1">_xlfn.IFNA(INDEX(jkm_call_put!$L:$L,MATCH($B7&amp;C$2&amp;$A$1,jkm_call_put!$G:$G&amp;jkm_call_put!$O:$O&amp;jkm_call_put!$F:$F,0),1),"")</f>
        <v>68.337699999999998</v>
      </c>
      <c r="D7" s="7" cm="1">
        <f t="array" aca="1" ref="D7" ca="1">_xlfn.IFNA(INDEX(jkm_call_put!$L:$L,MATCH($B7&amp;D$2&amp;$A$1,jkm_call_put!$G:$G&amp;jkm_call_put!$O:$O&amp;jkm_call_put!$F:$F,0),1),"")</f>
        <v>46.440899999999999</v>
      </c>
      <c r="E7" s="7" cm="1">
        <f t="array" aca="1" ref="E7" ca="1">_xlfn.IFNA(INDEX(jkm_call_put!$L:$L,MATCH($B7&amp;E$2&amp;$A$1,jkm_call_put!$G:$G&amp;jkm_call_put!$O:$O&amp;jkm_call_put!$F:$F,0),1),"")</f>
        <v>75.213200000000001</v>
      </c>
      <c r="F7" s="7" cm="1">
        <f t="array" aca="1" ref="F7" ca="1">_xlfn.IFNA(INDEX(jkm_call_put!$L:$L,MATCH($B7&amp;F$2&amp;$A$1,jkm_call_put!$G:$G&amp;jkm_call_put!$O:$O&amp;jkm_call_put!$F:$F,0),1),"")</f>
        <v>77.622100000000003</v>
      </c>
      <c r="G7" s="7" cm="1">
        <f t="array" aca="1" ref="G7" ca="1">_xlfn.IFNA(INDEX(jkm_call_put!$L:$L,MATCH($B7&amp;G$2&amp;$A$1,jkm_call_put!$G:$G&amp;jkm_call_put!$O:$O&amp;jkm_call_put!$F:$F,0),1),"")</f>
        <v>79.237899999999996</v>
      </c>
      <c r="H7" s="7" t="str" cm="1">
        <f t="array" aca="1" ref="H7" ca="1">_xlfn.IFNA(INDEX(jkm_call_put!$L:$L,MATCH($B7&amp;H$2&amp;$A$1,jkm_call_put!$G:$G&amp;jkm_call_put!$O:$O&amp;jkm_call_put!$F:$F,0),1),"")</f>
        <v/>
      </c>
      <c r="I7" s="7" t="str" cm="1">
        <f t="array" aca="1" ref="I7" ca="1">_xlfn.IFNA(INDEX(jkm_call_put!$L:$L,MATCH($B7&amp;I$2&amp;$A$1,jkm_call_put!$G:$G&amp;jkm_call_put!$O:$O&amp;jkm_call_put!$F:$F,0),1),"")</f>
        <v/>
      </c>
      <c r="J7" s="7" cm="1">
        <f t="array" aca="1" ref="J7" ca="1">_xlfn.IFNA(INDEX(jkm_call_put!$L:$L,MATCH($B7&amp;J$2&amp;$A$1,jkm_call_put!$G:$G&amp;jkm_call_put!$O:$O&amp;jkm_call_put!$F:$F,0),1),"")</f>
        <v>62.921199999999999</v>
      </c>
      <c r="K7" s="7" cm="1">
        <f t="array" aca="1" ref="K7" ca="1">_xlfn.IFNA(INDEX(jkm_call_put!$L:$L,MATCH($B7&amp;K$2&amp;$A$1,jkm_call_put!$G:$G&amp;jkm_call_put!$O:$O&amp;jkm_call_put!$F:$F,0),1),"")</f>
        <v>63.0242</v>
      </c>
      <c r="L7" s="7" cm="1">
        <f t="array" aca="1" ref="L7" ca="1">_xlfn.IFNA(INDEX(jkm_call_put!$L:$L,MATCH($B7&amp;L$2&amp;$A$1,jkm_call_put!$G:$G&amp;jkm_call_put!$O:$O&amp;jkm_call_put!$F:$F,0),1),"")</f>
        <v>63.308100000000003</v>
      </c>
      <c r="M7" s="7" cm="1">
        <f t="array" aca="1" ref="M7" ca="1">_xlfn.IFNA(INDEX(jkm_call_put!$L:$L,MATCH($B7&amp;M$2&amp;$A$1,jkm_call_put!$G:$G&amp;jkm_call_put!$O:$O&amp;jkm_call_put!$F:$F,0),1),"")</f>
        <v>63.500700000000002</v>
      </c>
      <c r="N7" s="7" t="str" cm="1">
        <f t="array" aca="1" ref="N7" ca="1">_xlfn.IFNA(INDEX(jkm_call_put!$L:$L,MATCH($B7&amp;N$2&amp;$A$1,jkm_call_put!$G:$G&amp;jkm_call_put!$O:$O&amp;jkm_call_put!$F:$F,0),1),"")</f>
        <v/>
      </c>
      <c r="O7" s="7" cm="1">
        <f t="array" aca="1" ref="O7" ca="1">_xlfn.IFNA(INDEX(jkm_call_put!$L:$L,MATCH($B7&amp;O$2&amp;$A$1,jkm_call_put!$G:$G&amp;jkm_call_put!$O:$O&amp;jkm_call_put!$F:$F,0),1),"")</f>
        <v>47.880800000000001</v>
      </c>
      <c r="P7" s="7" cm="1">
        <f t="array" aca="1" ref="P7" ca="1">_xlfn.IFNA(INDEX(jkm_call_put!$L:$L,MATCH($B7&amp;P$2&amp;$A$1,jkm_call_put!$G:$G&amp;jkm_call_put!$O:$O&amp;jkm_call_put!$F:$F,0),1),"")</f>
        <v>48.079799999999999</v>
      </c>
      <c r="Q7" s="7" t="str" cm="1">
        <f t="array" aca="1" ref="Q7" ca="1">_xlfn.IFNA(INDEX(jkm_call_put!$L:$L,MATCH($B7&amp;Q$2&amp;$A$1,jkm_call_put!$G:$G&amp;jkm_call_put!$O:$O&amp;jkm_call_put!$F:$F,0),1),"")</f>
        <v/>
      </c>
      <c r="R7" s="7" t="str" cm="1">
        <f t="array" aca="1" ref="R7" ca="1">_xlfn.IFNA(INDEX(jkm_call_put!$L:$L,MATCH($B7&amp;R$2&amp;$A$1,jkm_call_put!$G:$G&amp;jkm_call_put!$O:$O&amp;jkm_call_put!$F:$F,0),1),"")</f>
        <v/>
      </c>
      <c r="S7" s="7" t="str" cm="1">
        <f t="array" aca="1" ref="S7" ca="1">_xlfn.IFNA(INDEX(jkm_call_put!$L:$L,MATCH($B7&amp;S$2&amp;$A$1,jkm_call_put!$G:$G&amp;jkm_call_put!$O:$O&amp;jkm_call_put!$F:$F,0),1),"")</f>
        <v/>
      </c>
      <c r="T7" s="7" t="str" cm="1">
        <f t="array" aca="1" ref="T7" ca="1">_xlfn.IFNA(INDEX(jkm_call_put!$L:$L,MATCH($B7&amp;T$2&amp;$A$1,jkm_call_put!$G:$G&amp;jkm_call_put!$O:$O&amp;jkm_call_put!$F:$F,0),1),"")</f>
        <v/>
      </c>
      <c r="U7" s="7" t="str" cm="1">
        <f t="array" aca="1" ref="U7" ca="1">_xlfn.IFNA(INDEX(jkm_call_put!$L:$L,MATCH($B7&amp;U$2&amp;$A$1,jkm_call_put!$G:$G&amp;jkm_call_put!$O:$O&amp;jkm_call_put!$F:$F,0),1),"")</f>
        <v/>
      </c>
      <c r="V7" s="7" t="str" cm="1">
        <f t="array" aca="1" ref="V7" ca="1">_xlfn.IFNA(INDEX(jkm_call_put!$L:$L,MATCH($B7&amp;V$2&amp;$A$1,jkm_call_put!$G:$G&amp;jkm_call_put!$O:$O&amp;jkm_call_put!$F:$F,0),1),"")</f>
        <v/>
      </c>
      <c r="W7" s="7" cm="1">
        <f t="array" aca="1" ref="W7" ca="1">_xlfn.IFNA(INDEX(jkm_call_put!$L:$L,MATCH($B7&amp;W$2&amp;$A$1,jkm_call_put!$G:$G&amp;jkm_call_put!$O:$O&amp;jkm_call_put!$F:$F,0),1),"")</f>
        <v>35.070399999999999</v>
      </c>
      <c r="X7" s="7" cm="1">
        <f t="array" aca="1" ref="X7" ca="1">_xlfn.IFNA(INDEX(jkm_call_put!$L:$L,MATCH($B7&amp;X$2&amp;$A$1,jkm_call_put!$G:$G&amp;jkm_call_put!$O:$O&amp;jkm_call_put!$F:$F,0),1),"")</f>
        <v>35.119599999999998</v>
      </c>
      <c r="Y7" s="7" cm="1">
        <f t="array" aca="1" ref="Y7" ca="1">_xlfn.IFNA(INDEX(jkm_call_put!$L:$L,MATCH($B7&amp;Y$2&amp;$A$1,jkm_call_put!$G:$G&amp;jkm_call_put!$O:$O&amp;jkm_call_put!$F:$F,0),1),"")</f>
        <v>35.097299999999997</v>
      </c>
      <c r="Z7" s="7" cm="1">
        <f t="array" aca="1" ref="Z7" ca="1">_xlfn.IFNA(INDEX(jkm_call_put!$L:$L,MATCH($B7&amp;Z$2&amp;$A$1,jkm_call_put!$G:$G&amp;jkm_call_put!$O:$O&amp;jkm_call_put!$F:$F,0),1),"")</f>
        <v>30.1983</v>
      </c>
      <c r="AA7" s="7" cm="1">
        <f t="array" aca="1" ref="AA7" ca="1">_xlfn.IFNA(INDEX(jkm_call_put!$L:$L,MATCH($B7&amp;AA$2&amp;$A$1,jkm_call_put!$G:$G&amp;jkm_call_put!$O:$O&amp;jkm_call_put!$F:$F,0),1),"")</f>
        <v>30.212199999999999</v>
      </c>
      <c r="AB7" s="7" cm="1">
        <f t="array" aca="1" ref="AB7" ca="1">_xlfn.IFNA(INDEX(jkm_call_put!$L:$L,MATCH($B7&amp;AB$2&amp;$A$1,jkm_call_put!$G:$G&amp;jkm_call_put!$O:$O&amp;jkm_call_put!$F:$F,0),1),"")</f>
        <v>30.188700000000001</v>
      </c>
      <c r="AC7" s="7" cm="1">
        <f t="array" aca="1" ref="AC7" ca="1">_xlfn.IFNA(INDEX(jkm_call_put!$L:$L,MATCH($B7&amp;AC$2&amp;$A$1,jkm_call_put!$G:$G&amp;jkm_call_put!$O:$O&amp;jkm_call_put!$F:$F,0),1),"")</f>
        <v>30.206600000000002</v>
      </c>
      <c r="AD7" s="7" cm="1">
        <f t="array" aca="1" ref="AD7" ca="1">_xlfn.IFNA(INDEX(jkm_call_put!$L:$L,MATCH($B7&amp;AD$2&amp;$A$1,jkm_call_put!$G:$G&amp;jkm_call_put!$O:$O&amp;jkm_call_put!$F:$F,0),1),"")</f>
        <v>30.2605</v>
      </c>
      <c r="AE7" s="7" cm="1">
        <f t="array" aca="1" ref="AE7" ca="1">_xlfn.IFNA(INDEX(jkm_call_put!$L:$L,MATCH($B7&amp;AE$2&amp;$A$1,jkm_call_put!$G:$G&amp;jkm_call_put!$O:$O&amp;jkm_call_put!$F:$F,0),1),"")</f>
        <v>30.255700000000001</v>
      </c>
      <c r="AF7" s="7" cm="1">
        <f t="array" aca="1" ref="AF7" ca="1">_xlfn.IFNA(INDEX(jkm_call_put!$L:$L,MATCH($B7&amp;AF$2&amp;$A$1,jkm_call_put!$G:$G&amp;jkm_call_put!$O:$O&amp;jkm_call_put!$F:$F,0),1),"")</f>
        <v>35.195799999999998</v>
      </c>
      <c r="AG7" s="7" cm="1">
        <f t="array" aca="1" ref="AG7" ca="1">_xlfn.IFNA(INDEX(jkm_call_put!$L:$L,MATCH($B7&amp;AG$2&amp;$A$1,jkm_call_put!$G:$G&amp;jkm_call_put!$O:$O&amp;jkm_call_put!$F:$F,0),1),"")</f>
        <v>35.275399999999998</v>
      </c>
      <c r="AH7" s="7" cm="1">
        <f t="array" aca="1" ref="AH7" ca="1">_xlfn.IFNA(INDEX(jkm_call_put!$L:$L,MATCH($B7&amp;AH$2&amp;$A$1,jkm_call_put!$G:$G&amp;jkm_call_put!$O:$O&amp;jkm_call_put!$F:$F,0),1),"")</f>
        <v>35.243099999999998</v>
      </c>
      <c r="AI7" s="7" t="str" cm="1">
        <f t="array" aca="1" ref="AI7" ca="1">_xlfn.IFNA(INDEX(jkm_call_put!$L:$L,MATCH($B7&amp;AI$2&amp;$A$1,jkm_call_put!$G:$G&amp;jkm_call_put!$O:$O&amp;jkm_call_put!$F:$F,0),1),"")</f>
        <v/>
      </c>
      <c r="AJ7" s="7" t="str" cm="1">
        <f t="array" aca="1" ref="AJ7" ca="1">_xlfn.IFNA(INDEX(jkm_call_put!$L:$L,MATCH($B7&amp;AJ$2&amp;$A$1,jkm_call_put!$G:$G&amp;jkm_call_put!$O:$O&amp;jkm_call_put!$F:$F,0),1),"")</f>
        <v/>
      </c>
      <c r="AK7" s="7" t="str" cm="1">
        <f t="array" aca="1" ref="AK7" ca="1">_xlfn.IFNA(INDEX(jkm_call_put!$L:$L,MATCH($B7&amp;AK$2&amp;$A$1,jkm_call_put!$G:$G&amp;jkm_call_put!$O:$O&amp;jkm_call_put!$F:$F,0),1),"")</f>
        <v/>
      </c>
      <c r="AL7" s="7" t="str" cm="1">
        <f t="array" aca="1" ref="AL7" ca="1">_xlfn.IFNA(INDEX(jkm_call_put!$L:$L,MATCH($B7&amp;AL$2&amp;$A$1,jkm_call_put!$G:$G&amp;jkm_call_put!$O:$O&amp;jkm_call_put!$F:$F,0),1),"")</f>
        <v/>
      </c>
    </row>
    <row r="8" spans="1:38" x14ac:dyDescent="0.25">
      <c r="B8">
        <v>8.5</v>
      </c>
      <c r="C8" s="7" t="str" cm="1">
        <f t="array" aca="1" ref="C8" ca="1">_xlfn.IFNA(INDEX(jkm_call_put!$L:$L,MATCH($B8&amp;C$2&amp;$A$1,jkm_call_put!$G:$G&amp;jkm_call_put!$O:$O&amp;jkm_call_put!$F:$F,0),1),"")</f>
        <v/>
      </c>
      <c r="D8" s="7" cm="1">
        <f t="array" aca="1" ref="D8" ca="1">_xlfn.IFNA(INDEX(jkm_call_put!$L:$L,MATCH($B8&amp;D$2&amp;$A$1,jkm_call_put!$G:$G&amp;jkm_call_put!$O:$O&amp;jkm_call_put!$F:$F,0),1),"")</f>
        <v>43.235100000000003</v>
      </c>
      <c r="E8" s="7" cm="1">
        <f t="array" aca="1" ref="E8" ca="1">_xlfn.IFNA(INDEX(jkm_call_put!$L:$L,MATCH($B8&amp;E$2&amp;$A$1,jkm_call_put!$G:$G&amp;jkm_call_put!$O:$O&amp;jkm_call_put!$F:$F,0),1),"")</f>
        <v>75.214100000000002</v>
      </c>
      <c r="F8" s="7" t="str" cm="1">
        <f t="array" aca="1" ref="F8" ca="1">_xlfn.IFNA(INDEX(jkm_call_put!$L:$L,MATCH($B8&amp;F$2&amp;$A$1,jkm_call_put!$G:$G&amp;jkm_call_put!$O:$O&amp;jkm_call_put!$F:$F,0),1),"")</f>
        <v/>
      </c>
      <c r="G8" s="7" t="str" cm="1">
        <f t="array" aca="1" ref="G8" ca="1">_xlfn.IFNA(INDEX(jkm_call_put!$L:$L,MATCH($B8&amp;G$2&amp;$A$1,jkm_call_put!$G:$G&amp;jkm_call_put!$O:$O&amp;jkm_call_put!$F:$F,0),1),"")</f>
        <v/>
      </c>
      <c r="H8" s="7" cm="1">
        <f t="array" aca="1" ref="H8" ca="1">_xlfn.IFNA(INDEX(jkm_call_put!$L:$L,MATCH($B8&amp;H$2&amp;$A$1,jkm_call_put!$G:$G&amp;jkm_call_put!$O:$O&amp;jkm_call_put!$F:$F,0),1),"")</f>
        <v>61.785699999999999</v>
      </c>
      <c r="I8" s="7" cm="1">
        <f t="array" aca="1" ref="I8" ca="1">_xlfn.IFNA(INDEX(jkm_call_put!$L:$L,MATCH($B8&amp;I$2&amp;$A$1,jkm_call_put!$G:$G&amp;jkm_call_put!$O:$O&amp;jkm_call_put!$F:$F,0),1),"")</f>
        <v>62.4377</v>
      </c>
      <c r="J8" s="7" t="str" cm="1">
        <f t="array" aca="1" ref="J8" ca="1">_xlfn.IFNA(INDEX(jkm_call_put!$L:$L,MATCH($B8&amp;J$2&amp;$A$1,jkm_call_put!$G:$G&amp;jkm_call_put!$O:$O&amp;jkm_call_put!$F:$F,0),1),"")</f>
        <v/>
      </c>
      <c r="K8" s="7" cm="1">
        <f t="array" aca="1" ref="K8" ca="1">_xlfn.IFNA(INDEX(jkm_call_put!$L:$L,MATCH($B8&amp;K$2&amp;$A$1,jkm_call_put!$G:$G&amp;jkm_call_put!$O:$O&amp;jkm_call_put!$F:$F,0),1),"")</f>
        <v>63.048999999999999</v>
      </c>
      <c r="L8" s="7" t="str" cm="1">
        <f t="array" aca="1" ref="L8" ca="1">_xlfn.IFNA(INDEX(jkm_call_put!$L:$L,MATCH($B8&amp;L$2&amp;$A$1,jkm_call_put!$G:$G&amp;jkm_call_put!$O:$O&amp;jkm_call_put!$F:$F,0),1),"")</f>
        <v/>
      </c>
      <c r="M8" s="7" t="str" cm="1">
        <f t="array" aca="1" ref="M8" ca="1">_xlfn.IFNA(INDEX(jkm_call_put!$L:$L,MATCH($B8&amp;M$2&amp;$A$1,jkm_call_put!$G:$G&amp;jkm_call_put!$O:$O&amp;jkm_call_put!$F:$F,0),1),"")</f>
        <v/>
      </c>
      <c r="N8" s="7" t="str" cm="1">
        <f t="array" aca="1" ref="N8" ca="1">_xlfn.IFNA(INDEX(jkm_call_put!$L:$L,MATCH($B8&amp;N$2&amp;$A$1,jkm_call_put!$G:$G&amp;jkm_call_put!$O:$O&amp;jkm_call_put!$F:$F,0),1),"")</f>
        <v/>
      </c>
      <c r="O8" s="7" t="str" cm="1">
        <f t="array" aca="1" ref="O8" ca="1">_xlfn.IFNA(INDEX(jkm_call_put!$L:$L,MATCH($B8&amp;O$2&amp;$A$1,jkm_call_put!$G:$G&amp;jkm_call_put!$O:$O&amp;jkm_call_put!$F:$F,0),1),"")</f>
        <v/>
      </c>
      <c r="P8" s="7" t="str" cm="1">
        <f t="array" aca="1" ref="P8" ca="1">_xlfn.IFNA(INDEX(jkm_call_put!$L:$L,MATCH($B8&amp;P$2&amp;$A$1,jkm_call_put!$G:$G&amp;jkm_call_put!$O:$O&amp;jkm_call_put!$F:$F,0),1),"")</f>
        <v/>
      </c>
      <c r="Q8" s="7" t="str" cm="1">
        <f t="array" aca="1" ref="Q8" ca="1">_xlfn.IFNA(INDEX(jkm_call_put!$L:$L,MATCH($B8&amp;Q$2&amp;$A$1,jkm_call_put!$G:$G&amp;jkm_call_put!$O:$O&amp;jkm_call_put!$F:$F,0),1),"")</f>
        <v/>
      </c>
      <c r="R8" s="7" t="str" cm="1">
        <f t="array" aca="1" ref="R8" ca="1">_xlfn.IFNA(INDEX(jkm_call_put!$L:$L,MATCH($B8&amp;R$2&amp;$A$1,jkm_call_put!$G:$G&amp;jkm_call_put!$O:$O&amp;jkm_call_put!$F:$F,0),1),"")</f>
        <v/>
      </c>
      <c r="S8" s="7" t="str" cm="1">
        <f t="array" aca="1" ref="S8" ca="1">_xlfn.IFNA(INDEX(jkm_call_put!$L:$L,MATCH($B8&amp;S$2&amp;$A$1,jkm_call_put!$G:$G&amp;jkm_call_put!$O:$O&amp;jkm_call_put!$F:$F,0),1),"")</f>
        <v/>
      </c>
      <c r="T8" s="7" t="str" cm="1">
        <f t="array" aca="1" ref="T8" ca="1">_xlfn.IFNA(INDEX(jkm_call_put!$L:$L,MATCH($B8&amp;T$2&amp;$A$1,jkm_call_put!$G:$G&amp;jkm_call_put!$O:$O&amp;jkm_call_put!$F:$F,0),1),"")</f>
        <v/>
      </c>
      <c r="U8" s="7" t="str" cm="1">
        <f t="array" aca="1" ref="U8" ca="1">_xlfn.IFNA(INDEX(jkm_call_put!$L:$L,MATCH($B8&amp;U$2&amp;$A$1,jkm_call_put!$G:$G&amp;jkm_call_put!$O:$O&amp;jkm_call_put!$F:$F,0),1),"")</f>
        <v/>
      </c>
      <c r="V8" s="7" t="str" cm="1">
        <f t="array" aca="1" ref="V8" ca="1">_xlfn.IFNA(INDEX(jkm_call_put!$L:$L,MATCH($B8&amp;V$2&amp;$A$1,jkm_call_put!$G:$G&amp;jkm_call_put!$O:$O&amp;jkm_call_put!$F:$F,0),1),"")</f>
        <v/>
      </c>
      <c r="W8" s="7" t="str" cm="1">
        <f t="array" aca="1" ref="W8" ca="1">_xlfn.IFNA(INDEX(jkm_call_put!$L:$L,MATCH($B8&amp;W$2&amp;$A$1,jkm_call_put!$G:$G&amp;jkm_call_put!$O:$O&amp;jkm_call_put!$F:$F,0),1),"")</f>
        <v/>
      </c>
      <c r="X8" s="7" t="str" cm="1">
        <f t="array" aca="1" ref="X8" ca="1">_xlfn.IFNA(INDEX(jkm_call_put!$L:$L,MATCH($B8&amp;X$2&amp;$A$1,jkm_call_put!$G:$G&amp;jkm_call_put!$O:$O&amp;jkm_call_put!$F:$F,0),1),"")</f>
        <v/>
      </c>
      <c r="Y8" s="7" t="str" cm="1">
        <f t="array" aca="1" ref="Y8" ca="1">_xlfn.IFNA(INDEX(jkm_call_put!$L:$L,MATCH($B8&amp;Y$2&amp;$A$1,jkm_call_put!$G:$G&amp;jkm_call_put!$O:$O&amp;jkm_call_put!$F:$F,0),1),"")</f>
        <v/>
      </c>
      <c r="Z8" s="7" t="str" cm="1">
        <f t="array" aca="1" ref="Z8" ca="1">_xlfn.IFNA(INDEX(jkm_call_put!$L:$L,MATCH($B8&amp;Z$2&amp;$A$1,jkm_call_put!$G:$G&amp;jkm_call_put!$O:$O&amp;jkm_call_put!$F:$F,0),1),"")</f>
        <v/>
      </c>
      <c r="AA8" s="7" t="str" cm="1">
        <f t="array" aca="1" ref="AA8" ca="1">_xlfn.IFNA(INDEX(jkm_call_put!$L:$L,MATCH($B8&amp;AA$2&amp;$A$1,jkm_call_put!$G:$G&amp;jkm_call_put!$O:$O&amp;jkm_call_put!$F:$F,0),1),"")</f>
        <v/>
      </c>
      <c r="AB8" s="7" t="str" cm="1">
        <f t="array" aca="1" ref="AB8" ca="1">_xlfn.IFNA(INDEX(jkm_call_put!$L:$L,MATCH($B8&amp;AB$2&amp;$A$1,jkm_call_put!$G:$G&amp;jkm_call_put!$O:$O&amp;jkm_call_put!$F:$F,0),1),"")</f>
        <v/>
      </c>
      <c r="AC8" s="7" t="str" cm="1">
        <f t="array" aca="1" ref="AC8" ca="1">_xlfn.IFNA(INDEX(jkm_call_put!$L:$L,MATCH($B8&amp;AC$2&amp;$A$1,jkm_call_put!$G:$G&amp;jkm_call_put!$O:$O&amp;jkm_call_put!$F:$F,0),1),"")</f>
        <v/>
      </c>
      <c r="AD8" s="7" t="str" cm="1">
        <f t="array" aca="1" ref="AD8" ca="1">_xlfn.IFNA(INDEX(jkm_call_put!$L:$L,MATCH($B8&amp;AD$2&amp;$A$1,jkm_call_put!$G:$G&amp;jkm_call_put!$O:$O&amp;jkm_call_put!$F:$F,0),1),"")</f>
        <v/>
      </c>
      <c r="AE8" s="7" t="str" cm="1">
        <f t="array" aca="1" ref="AE8" ca="1">_xlfn.IFNA(INDEX(jkm_call_put!$L:$L,MATCH($B8&amp;AE$2&amp;$A$1,jkm_call_put!$G:$G&amp;jkm_call_put!$O:$O&amp;jkm_call_put!$F:$F,0),1),"")</f>
        <v/>
      </c>
      <c r="AF8" s="7" t="str" cm="1">
        <f t="array" aca="1" ref="AF8" ca="1">_xlfn.IFNA(INDEX(jkm_call_put!$L:$L,MATCH($B8&amp;AF$2&amp;$A$1,jkm_call_put!$G:$G&amp;jkm_call_put!$O:$O&amp;jkm_call_put!$F:$F,0),1),"")</f>
        <v/>
      </c>
      <c r="AG8" s="7" t="str" cm="1">
        <f t="array" aca="1" ref="AG8" ca="1">_xlfn.IFNA(INDEX(jkm_call_put!$L:$L,MATCH($B8&amp;AG$2&amp;$A$1,jkm_call_put!$G:$G&amp;jkm_call_put!$O:$O&amp;jkm_call_put!$F:$F,0),1),"")</f>
        <v/>
      </c>
      <c r="AH8" s="7" t="str" cm="1">
        <f t="array" aca="1" ref="AH8" ca="1">_xlfn.IFNA(INDEX(jkm_call_put!$L:$L,MATCH($B8&amp;AH$2&amp;$A$1,jkm_call_put!$G:$G&amp;jkm_call_put!$O:$O&amp;jkm_call_put!$F:$F,0),1),"")</f>
        <v/>
      </c>
      <c r="AI8" s="7" t="str" cm="1">
        <f t="array" aca="1" ref="AI8" ca="1">_xlfn.IFNA(INDEX(jkm_call_put!$L:$L,MATCH($B8&amp;AI$2&amp;$A$1,jkm_call_put!$G:$G&amp;jkm_call_put!$O:$O&amp;jkm_call_put!$F:$F,0),1),"")</f>
        <v/>
      </c>
      <c r="AJ8" s="7" t="str" cm="1">
        <f t="array" aca="1" ref="AJ8" ca="1">_xlfn.IFNA(INDEX(jkm_call_put!$L:$L,MATCH($B8&amp;AJ$2&amp;$A$1,jkm_call_put!$G:$G&amp;jkm_call_put!$O:$O&amp;jkm_call_put!$F:$F,0),1),"")</f>
        <v/>
      </c>
      <c r="AK8" s="7" t="str" cm="1">
        <f t="array" aca="1" ref="AK8" ca="1">_xlfn.IFNA(INDEX(jkm_call_put!$L:$L,MATCH($B8&amp;AK$2&amp;$A$1,jkm_call_put!$G:$G&amp;jkm_call_put!$O:$O&amp;jkm_call_put!$F:$F,0),1),"")</f>
        <v/>
      </c>
      <c r="AL8" s="7" t="str" cm="1">
        <f t="array" aca="1" ref="AL8" ca="1">_xlfn.IFNA(INDEX(jkm_call_put!$L:$L,MATCH($B8&amp;AL$2&amp;$A$1,jkm_call_put!$G:$G&amp;jkm_call_put!$O:$O&amp;jkm_call_put!$F:$F,0),1),"")</f>
        <v/>
      </c>
    </row>
    <row r="9" spans="1:38" x14ac:dyDescent="0.25">
      <c r="B9">
        <v>9</v>
      </c>
      <c r="C9" s="7" cm="1">
        <f t="array" aca="1" ref="C9" ca="1">_xlfn.IFNA(INDEX(jkm_call_put!$L:$L,MATCH($B9&amp;C$2&amp;$A$1,jkm_call_put!$G:$G&amp;jkm_call_put!$O:$O&amp;jkm_call_put!$F:$F,0),1),"")</f>
        <v>59.463999999999999</v>
      </c>
      <c r="D9" s="7" cm="1">
        <f t="array" aca="1" ref="D9" ca="1">_xlfn.IFNA(INDEX(jkm_call_put!$L:$L,MATCH($B9&amp;D$2&amp;$A$1,jkm_call_put!$G:$G&amp;jkm_call_put!$O:$O&amp;jkm_call_put!$F:$F,0),1),"")</f>
        <v>43.067399999999999</v>
      </c>
      <c r="E9" s="7" cm="1">
        <f t="array" aca="1" ref="E9" ca="1">_xlfn.IFNA(INDEX(jkm_call_put!$L:$L,MATCH($B9&amp;E$2&amp;$A$1,jkm_call_put!$G:$G&amp;jkm_call_put!$O:$O&amp;jkm_call_put!$F:$F,0),1),"")</f>
        <v>75.214699999999993</v>
      </c>
      <c r="F9" s="7" cm="1">
        <f t="array" aca="1" ref="F9" ca="1">_xlfn.IFNA(INDEX(jkm_call_put!$L:$L,MATCH($B9&amp;F$2&amp;$A$1,jkm_call_put!$G:$G&amp;jkm_call_put!$O:$O&amp;jkm_call_put!$F:$F,0),1),"")</f>
        <v>77.624200000000002</v>
      </c>
      <c r="G9" s="7" cm="1">
        <f t="array" aca="1" ref="G9" ca="1">_xlfn.IFNA(INDEX(jkm_call_put!$L:$L,MATCH($B9&amp;G$2&amp;$A$1,jkm_call_put!$G:$G&amp;jkm_call_put!$O:$O&amp;jkm_call_put!$F:$F,0),1),"")</f>
        <v>79.240099999999998</v>
      </c>
      <c r="H9" s="7" cm="1">
        <f t="array" aca="1" ref="H9" ca="1">_xlfn.IFNA(INDEX(jkm_call_put!$L:$L,MATCH($B9&amp;H$2&amp;$A$1,jkm_call_put!$G:$G&amp;jkm_call_put!$O:$O&amp;jkm_call_put!$F:$F,0),1),"")</f>
        <v>61.810299999999998</v>
      </c>
      <c r="I9" s="7" cm="1">
        <f t="array" aca="1" ref="I9" ca="1">_xlfn.IFNA(INDEX(jkm_call_put!$L:$L,MATCH($B9&amp;I$2&amp;$A$1,jkm_call_put!$G:$G&amp;jkm_call_put!$O:$O&amp;jkm_call_put!$F:$F,0),1),"")</f>
        <v>62.462400000000002</v>
      </c>
      <c r="J9" s="7" cm="1">
        <f t="array" aca="1" ref="J9" ca="1">_xlfn.IFNA(INDEX(jkm_call_put!$L:$L,MATCH($B9&amp;J$2&amp;$A$1,jkm_call_put!$G:$G&amp;jkm_call_put!$O:$O&amp;jkm_call_put!$F:$F,0),1),"")</f>
        <v>62.970799999999997</v>
      </c>
      <c r="K9" s="7" cm="1">
        <f t="array" aca="1" ref="K9" ca="1">_xlfn.IFNA(INDEX(jkm_call_put!$L:$L,MATCH($B9&amp;K$2&amp;$A$1,jkm_call_put!$G:$G&amp;jkm_call_put!$O:$O&amp;jkm_call_put!$F:$F,0),1),"")</f>
        <v>63.073900000000002</v>
      </c>
      <c r="L9" s="7" cm="1">
        <f t="array" aca="1" ref="L9" ca="1">_xlfn.IFNA(INDEX(jkm_call_put!$L:$L,MATCH($B9&amp;L$2&amp;$A$1,jkm_call_put!$G:$G&amp;jkm_call_put!$O:$O&amp;jkm_call_put!$F:$F,0),1),"")</f>
        <v>63.357999999999997</v>
      </c>
      <c r="M9" s="7" cm="1">
        <f t="array" aca="1" ref="M9" ca="1">_xlfn.IFNA(INDEX(jkm_call_put!$L:$L,MATCH($B9&amp;M$2&amp;$A$1,jkm_call_put!$G:$G&amp;jkm_call_put!$O:$O&amp;jkm_call_put!$F:$F,0),1),"")</f>
        <v>63.550800000000002</v>
      </c>
      <c r="N9" s="7" t="str" cm="1">
        <f t="array" aca="1" ref="N9" ca="1">_xlfn.IFNA(INDEX(jkm_call_put!$L:$L,MATCH($B9&amp;N$2&amp;$A$1,jkm_call_put!$G:$G&amp;jkm_call_put!$O:$O&amp;jkm_call_put!$F:$F,0),1),"")</f>
        <v/>
      </c>
      <c r="O9" s="7" t="str" cm="1">
        <f t="array" aca="1" ref="O9" ca="1">_xlfn.IFNA(INDEX(jkm_call_put!$L:$L,MATCH($B9&amp;O$2&amp;$A$1,jkm_call_put!$G:$G&amp;jkm_call_put!$O:$O&amp;jkm_call_put!$F:$F,0),1),"")</f>
        <v/>
      </c>
      <c r="P9" s="7" t="str" cm="1">
        <f t="array" aca="1" ref="P9" ca="1">_xlfn.IFNA(INDEX(jkm_call_put!$L:$L,MATCH($B9&amp;P$2&amp;$A$1,jkm_call_put!$G:$G&amp;jkm_call_put!$O:$O&amp;jkm_call_put!$F:$F,0),1),"")</f>
        <v/>
      </c>
      <c r="Q9" s="7" t="str" cm="1">
        <f t="array" aca="1" ref="Q9" ca="1">_xlfn.IFNA(INDEX(jkm_call_put!$L:$L,MATCH($B9&amp;Q$2&amp;$A$1,jkm_call_put!$G:$G&amp;jkm_call_put!$O:$O&amp;jkm_call_put!$F:$F,0),1),"")</f>
        <v/>
      </c>
      <c r="R9" s="7" t="str" cm="1">
        <f t="array" aca="1" ref="R9" ca="1">_xlfn.IFNA(INDEX(jkm_call_put!$L:$L,MATCH($B9&amp;R$2&amp;$A$1,jkm_call_put!$G:$G&amp;jkm_call_put!$O:$O&amp;jkm_call_put!$F:$F,0),1),"")</f>
        <v/>
      </c>
      <c r="S9" s="7" t="str" cm="1">
        <f t="array" aca="1" ref="S9" ca="1">_xlfn.IFNA(INDEX(jkm_call_put!$L:$L,MATCH($B9&amp;S$2&amp;$A$1,jkm_call_put!$G:$G&amp;jkm_call_put!$O:$O&amp;jkm_call_put!$F:$F,0),1),"")</f>
        <v/>
      </c>
      <c r="T9" s="7" t="str" cm="1">
        <f t="array" aca="1" ref="T9" ca="1">_xlfn.IFNA(INDEX(jkm_call_put!$L:$L,MATCH($B9&amp;T$2&amp;$A$1,jkm_call_put!$G:$G&amp;jkm_call_put!$O:$O&amp;jkm_call_put!$F:$F,0),1),"")</f>
        <v/>
      </c>
      <c r="U9" s="7" t="str" cm="1">
        <f t="array" aca="1" ref="U9" ca="1">_xlfn.IFNA(INDEX(jkm_call_put!$L:$L,MATCH($B9&amp;U$2&amp;$A$1,jkm_call_put!$G:$G&amp;jkm_call_put!$O:$O&amp;jkm_call_put!$F:$F,0),1),"")</f>
        <v/>
      </c>
      <c r="V9" s="7" t="str" cm="1">
        <f t="array" aca="1" ref="V9" ca="1">_xlfn.IFNA(INDEX(jkm_call_put!$L:$L,MATCH($B9&amp;V$2&amp;$A$1,jkm_call_put!$G:$G&amp;jkm_call_put!$O:$O&amp;jkm_call_put!$F:$F,0),1),"")</f>
        <v/>
      </c>
      <c r="W9" s="7" t="str" cm="1">
        <f t="array" aca="1" ref="W9" ca="1">_xlfn.IFNA(INDEX(jkm_call_put!$L:$L,MATCH($B9&amp;W$2&amp;$A$1,jkm_call_put!$G:$G&amp;jkm_call_put!$O:$O&amp;jkm_call_put!$F:$F,0),1),"")</f>
        <v/>
      </c>
      <c r="X9" s="7" t="str" cm="1">
        <f t="array" aca="1" ref="X9" ca="1">_xlfn.IFNA(INDEX(jkm_call_put!$L:$L,MATCH($B9&amp;X$2&amp;$A$1,jkm_call_put!$G:$G&amp;jkm_call_put!$O:$O&amp;jkm_call_put!$F:$F,0),1),"")</f>
        <v/>
      </c>
      <c r="Y9" s="7" t="str" cm="1">
        <f t="array" aca="1" ref="Y9" ca="1">_xlfn.IFNA(INDEX(jkm_call_put!$L:$L,MATCH($B9&amp;Y$2&amp;$A$1,jkm_call_put!$G:$G&amp;jkm_call_put!$O:$O&amp;jkm_call_put!$F:$F,0),1),"")</f>
        <v/>
      </c>
      <c r="Z9" s="7" t="str" cm="1">
        <f t="array" aca="1" ref="Z9" ca="1">_xlfn.IFNA(INDEX(jkm_call_put!$L:$L,MATCH($B9&amp;Z$2&amp;$A$1,jkm_call_put!$G:$G&amp;jkm_call_put!$O:$O&amp;jkm_call_put!$F:$F,0),1),"")</f>
        <v/>
      </c>
      <c r="AA9" s="7" t="str" cm="1">
        <f t="array" aca="1" ref="AA9" ca="1">_xlfn.IFNA(INDEX(jkm_call_put!$L:$L,MATCH($B9&amp;AA$2&amp;$A$1,jkm_call_put!$G:$G&amp;jkm_call_put!$O:$O&amp;jkm_call_put!$F:$F,0),1),"")</f>
        <v/>
      </c>
      <c r="AB9" s="7" t="str" cm="1">
        <f t="array" aca="1" ref="AB9" ca="1">_xlfn.IFNA(INDEX(jkm_call_put!$L:$L,MATCH($B9&amp;AB$2&amp;$A$1,jkm_call_put!$G:$G&amp;jkm_call_put!$O:$O&amp;jkm_call_put!$F:$F,0),1),"")</f>
        <v/>
      </c>
      <c r="AC9" s="7" t="str" cm="1">
        <f t="array" aca="1" ref="AC9" ca="1">_xlfn.IFNA(INDEX(jkm_call_put!$L:$L,MATCH($B9&amp;AC$2&amp;$A$1,jkm_call_put!$G:$G&amp;jkm_call_put!$O:$O&amp;jkm_call_put!$F:$F,0),1),"")</f>
        <v/>
      </c>
      <c r="AD9" s="7" t="str" cm="1">
        <f t="array" aca="1" ref="AD9" ca="1">_xlfn.IFNA(INDEX(jkm_call_put!$L:$L,MATCH($B9&amp;AD$2&amp;$A$1,jkm_call_put!$G:$G&amp;jkm_call_put!$O:$O&amp;jkm_call_put!$F:$F,0),1),"")</f>
        <v/>
      </c>
      <c r="AE9" s="7" t="str" cm="1">
        <f t="array" aca="1" ref="AE9" ca="1">_xlfn.IFNA(INDEX(jkm_call_put!$L:$L,MATCH($B9&amp;AE$2&amp;$A$1,jkm_call_put!$G:$G&amp;jkm_call_put!$O:$O&amp;jkm_call_put!$F:$F,0),1),"")</f>
        <v/>
      </c>
      <c r="AF9" s="7" t="str" cm="1">
        <f t="array" aca="1" ref="AF9" ca="1">_xlfn.IFNA(INDEX(jkm_call_put!$L:$L,MATCH($B9&amp;AF$2&amp;$A$1,jkm_call_put!$G:$G&amp;jkm_call_put!$O:$O&amp;jkm_call_put!$F:$F,0),1),"")</f>
        <v/>
      </c>
      <c r="AG9" s="7" t="str" cm="1">
        <f t="array" aca="1" ref="AG9" ca="1">_xlfn.IFNA(INDEX(jkm_call_put!$L:$L,MATCH($B9&amp;AG$2&amp;$A$1,jkm_call_put!$G:$G&amp;jkm_call_put!$O:$O&amp;jkm_call_put!$F:$F,0),1),"")</f>
        <v/>
      </c>
      <c r="AH9" s="7" t="str" cm="1">
        <f t="array" aca="1" ref="AH9" ca="1">_xlfn.IFNA(INDEX(jkm_call_put!$L:$L,MATCH($B9&amp;AH$2&amp;$A$1,jkm_call_put!$G:$G&amp;jkm_call_put!$O:$O&amp;jkm_call_put!$F:$F,0),1),"")</f>
        <v/>
      </c>
      <c r="AI9" s="7" t="str" cm="1">
        <f t="array" aca="1" ref="AI9" ca="1">_xlfn.IFNA(INDEX(jkm_call_put!$L:$L,MATCH($B9&amp;AI$2&amp;$A$1,jkm_call_put!$G:$G&amp;jkm_call_put!$O:$O&amp;jkm_call_put!$F:$F,0),1),"")</f>
        <v/>
      </c>
      <c r="AJ9" s="7" t="str" cm="1">
        <f t="array" aca="1" ref="AJ9" ca="1">_xlfn.IFNA(INDEX(jkm_call_put!$L:$L,MATCH($B9&amp;AJ$2&amp;$A$1,jkm_call_put!$G:$G&amp;jkm_call_put!$O:$O&amp;jkm_call_put!$F:$F,0),1),"")</f>
        <v/>
      </c>
      <c r="AK9" s="7" t="str" cm="1">
        <f t="array" aca="1" ref="AK9" ca="1">_xlfn.IFNA(INDEX(jkm_call_put!$L:$L,MATCH($B9&amp;AK$2&amp;$A$1,jkm_call_put!$G:$G&amp;jkm_call_put!$O:$O&amp;jkm_call_put!$F:$F,0),1),"")</f>
        <v/>
      </c>
      <c r="AL9" s="7" t="str" cm="1">
        <f t="array" aca="1" ref="AL9" ca="1">_xlfn.IFNA(INDEX(jkm_call_put!$L:$L,MATCH($B9&amp;AL$2&amp;$A$1,jkm_call_put!$G:$G&amp;jkm_call_put!$O:$O&amp;jkm_call_put!$F:$F,0),1),"")</f>
        <v/>
      </c>
    </row>
    <row r="10" spans="1:38" x14ac:dyDescent="0.25">
      <c r="B10">
        <v>9.5</v>
      </c>
      <c r="C10" s="7" t="str" cm="1">
        <f t="array" aca="1" ref="C10" ca="1">_xlfn.IFNA(INDEX(jkm_call_put!$L:$L,MATCH($B10&amp;C$2&amp;$A$1,jkm_call_put!$G:$G&amp;jkm_call_put!$O:$O&amp;jkm_call_put!$F:$F,0),1),"")</f>
        <v/>
      </c>
      <c r="D10" s="7" t="str" cm="1">
        <f t="array" aca="1" ref="D10" ca="1">_xlfn.IFNA(INDEX(jkm_call_put!$L:$L,MATCH($B10&amp;D$2&amp;$A$1,jkm_call_put!$G:$G&amp;jkm_call_put!$O:$O&amp;jkm_call_put!$F:$F,0),1),"")</f>
        <v/>
      </c>
      <c r="E10" s="7" cm="1">
        <f t="array" aca="1" ref="E10" ca="1">_xlfn.IFNA(INDEX(jkm_call_put!$L:$L,MATCH($B10&amp;E$2&amp;$A$1,jkm_call_put!$G:$G&amp;jkm_call_put!$O:$O&amp;jkm_call_put!$F:$F,0),1),"")</f>
        <v>75.215900000000005</v>
      </c>
      <c r="F10" s="7" t="str" cm="1">
        <f t="array" aca="1" ref="F10" ca="1">_xlfn.IFNA(INDEX(jkm_call_put!$L:$L,MATCH($B10&amp;F$2&amp;$A$1,jkm_call_put!$G:$G&amp;jkm_call_put!$O:$O&amp;jkm_call_put!$F:$F,0),1),"")</f>
        <v/>
      </c>
      <c r="G10" s="7" t="str" cm="1">
        <f t="array" aca="1" ref="G10" ca="1">_xlfn.IFNA(INDEX(jkm_call_put!$L:$L,MATCH($B10&amp;G$2&amp;$A$1,jkm_call_put!$G:$G&amp;jkm_call_put!$O:$O&amp;jkm_call_put!$F:$F,0),1),"")</f>
        <v/>
      </c>
      <c r="H10" s="7" cm="1">
        <f t="array" aca="1" ref="H10" ca="1">_xlfn.IFNA(INDEX(jkm_call_put!$L:$L,MATCH($B10&amp;H$2&amp;$A$1,jkm_call_put!$G:$G&amp;jkm_call_put!$O:$O&amp;jkm_call_put!$F:$F,0),1),"")</f>
        <v>61.834800000000001</v>
      </c>
      <c r="I10" s="7" cm="1">
        <f t="array" aca="1" ref="I10" ca="1">_xlfn.IFNA(INDEX(jkm_call_put!$L:$L,MATCH($B10&amp;I$2&amp;$A$1,jkm_call_put!$G:$G&amp;jkm_call_put!$O:$O&amp;jkm_call_put!$F:$F,0),1),"")</f>
        <v>62.487200000000001</v>
      </c>
      <c r="J10" s="7" cm="1">
        <f t="array" aca="1" ref="J10" ca="1">_xlfn.IFNA(INDEX(jkm_call_put!$L:$L,MATCH($B10&amp;J$2&amp;$A$1,jkm_call_put!$G:$G&amp;jkm_call_put!$O:$O&amp;jkm_call_put!$F:$F,0),1),"")</f>
        <v>62.995600000000003</v>
      </c>
      <c r="K10" s="7" cm="1">
        <f t="array" aca="1" ref="K10" ca="1">_xlfn.IFNA(INDEX(jkm_call_put!$L:$L,MATCH($B10&amp;K$2&amp;$A$1,jkm_call_put!$G:$G&amp;jkm_call_put!$O:$O&amp;jkm_call_put!$F:$F,0),1),"")</f>
        <v>63.098700000000001</v>
      </c>
      <c r="L10" s="7" cm="1">
        <f t="array" aca="1" ref="L10" ca="1">_xlfn.IFNA(INDEX(jkm_call_put!$L:$L,MATCH($B10&amp;L$2&amp;$A$1,jkm_call_put!$G:$G&amp;jkm_call_put!$O:$O&amp;jkm_call_put!$F:$F,0),1),"")</f>
        <v>63.382899999999999</v>
      </c>
      <c r="M10" s="7" cm="1">
        <f t="array" aca="1" ref="M10" ca="1">_xlfn.IFNA(INDEX(jkm_call_put!$L:$L,MATCH($B10&amp;M$2&amp;$A$1,jkm_call_put!$G:$G&amp;jkm_call_put!$O:$O&amp;jkm_call_put!$F:$F,0),1),"")</f>
        <v>63.575800000000001</v>
      </c>
      <c r="N10" s="7" t="str" cm="1">
        <f t="array" aca="1" ref="N10" ca="1">_xlfn.IFNA(INDEX(jkm_call_put!$L:$L,MATCH($B10&amp;N$2&amp;$A$1,jkm_call_put!$G:$G&amp;jkm_call_put!$O:$O&amp;jkm_call_put!$F:$F,0),1),"")</f>
        <v/>
      </c>
      <c r="O10" s="7" t="str" cm="1">
        <f t="array" aca="1" ref="O10" ca="1">_xlfn.IFNA(INDEX(jkm_call_put!$L:$L,MATCH($B10&amp;O$2&amp;$A$1,jkm_call_put!$G:$G&amp;jkm_call_put!$O:$O&amp;jkm_call_put!$F:$F,0),1),"")</f>
        <v/>
      </c>
      <c r="P10" s="7" t="str" cm="1">
        <f t="array" aca="1" ref="P10" ca="1">_xlfn.IFNA(INDEX(jkm_call_put!$L:$L,MATCH($B10&amp;P$2&amp;$A$1,jkm_call_put!$G:$G&amp;jkm_call_put!$O:$O&amp;jkm_call_put!$F:$F,0),1),"")</f>
        <v/>
      </c>
      <c r="Q10" s="7" t="str" cm="1">
        <f t="array" aca="1" ref="Q10" ca="1">_xlfn.IFNA(INDEX(jkm_call_put!$L:$L,MATCH($B10&amp;Q$2&amp;$A$1,jkm_call_put!$G:$G&amp;jkm_call_put!$O:$O&amp;jkm_call_put!$F:$F,0),1),"")</f>
        <v/>
      </c>
      <c r="R10" s="7" t="str" cm="1">
        <f t="array" aca="1" ref="R10" ca="1">_xlfn.IFNA(INDEX(jkm_call_put!$L:$L,MATCH($B10&amp;R$2&amp;$A$1,jkm_call_put!$G:$G&amp;jkm_call_put!$O:$O&amp;jkm_call_put!$F:$F,0),1),"")</f>
        <v/>
      </c>
      <c r="S10" s="7" t="str" cm="1">
        <f t="array" aca="1" ref="S10" ca="1">_xlfn.IFNA(INDEX(jkm_call_put!$L:$L,MATCH($B10&amp;S$2&amp;$A$1,jkm_call_put!$G:$G&amp;jkm_call_put!$O:$O&amp;jkm_call_put!$F:$F,0),1),"")</f>
        <v/>
      </c>
      <c r="T10" s="7" t="str" cm="1">
        <f t="array" aca="1" ref="T10" ca="1">_xlfn.IFNA(INDEX(jkm_call_put!$L:$L,MATCH($B10&amp;T$2&amp;$A$1,jkm_call_put!$G:$G&amp;jkm_call_put!$O:$O&amp;jkm_call_put!$F:$F,0),1),"")</f>
        <v/>
      </c>
      <c r="U10" s="7" t="str" cm="1">
        <f t="array" aca="1" ref="U10" ca="1">_xlfn.IFNA(INDEX(jkm_call_put!$L:$L,MATCH($B10&amp;U$2&amp;$A$1,jkm_call_put!$G:$G&amp;jkm_call_put!$O:$O&amp;jkm_call_put!$F:$F,0),1),"")</f>
        <v/>
      </c>
      <c r="V10" s="7" t="str" cm="1">
        <f t="array" aca="1" ref="V10" ca="1">_xlfn.IFNA(INDEX(jkm_call_put!$L:$L,MATCH($B10&amp;V$2&amp;$A$1,jkm_call_put!$G:$G&amp;jkm_call_put!$O:$O&amp;jkm_call_put!$F:$F,0),1),"")</f>
        <v/>
      </c>
      <c r="W10" s="7" t="str" cm="1">
        <f t="array" aca="1" ref="W10" ca="1">_xlfn.IFNA(INDEX(jkm_call_put!$L:$L,MATCH($B10&amp;W$2&amp;$A$1,jkm_call_put!$G:$G&amp;jkm_call_put!$O:$O&amp;jkm_call_put!$F:$F,0),1),"")</f>
        <v/>
      </c>
      <c r="X10" s="7" t="str" cm="1">
        <f t="array" aca="1" ref="X10" ca="1">_xlfn.IFNA(INDEX(jkm_call_put!$L:$L,MATCH($B10&amp;X$2&amp;$A$1,jkm_call_put!$G:$G&amp;jkm_call_put!$O:$O&amp;jkm_call_put!$F:$F,0),1),"")</f>
        <v/>
      </c>
      <c r="Y10" s="7" t="str" cm="1">
        <f t="array" aca="1" ref="Y10" ca="1">_xlfn.IFNA(INDEX(jkm_call_put!$L:$L,MATCH($B10&amp;Y$2&amp;$A$1,jkm_call_put!$G:$G&amp;jkm_call_put!$O:$O&amp;jkm_call_put!$F:$F,0),1),"")</f>
        <v/>
      </c>
      <c r="Z10" s="7" t="str" cm="1">
        <f t="array" aca="1" ref="Z10" ca="1">_xlfn.IFNA(INDEX(jkm_call_put!$L:$L,MATCH($B10&amp;Z$2&amp;$A$1,jkm_call_put!$G:$G&amp;jkm_call_put!$O:$O&amp;jkm_call_put!$F:$F,0),1),"")</f>
        <v/>
      </c>
      <c r="AA10" s="7" t="str" cm="1">
        <f t="array" aca="1" ref="AA10" ca="1">_xlfn.IFNA(INDEX(jkm_call_put!$L:$L,MATCH($B10&amp;AA$2&amp;$A$1,jkm_call_put!$G:$G&amp;jkm_call_put!$O:$O&amp;jkm_call_put!$F:$F,0),1),"")</f>
        <v/>
      </c>
      <c r="AB10" s="7" t="str" cm="1">
        <f t="array" aca="1" ref="AB10" ca="1">_xlfn.IFNA(INDEX(jkm_call_put!$L:$L,MATCH($B10&amp;AB$2&amp;$A$1,jkm_call_put!$G:$G&amp;jkm_call_put!$O:$O&amp;jkm_call_put!$F:$F,0),1),"")</f>
        <v/>
      </c>
      <c r="AC10" s="7" t="str" cm="1">
        <f t="array" aca="1" ref="AC10" ca="1">_xlfn.IFNA(INDEX(jkm_call_put!$L:$L,MATCH($B10&amp;AC$2&amp;$A$1,jkm_call_put!$G:$G&amp;jkm_call_put!$O:$O&amp;jkm_call_put!$F:$F,0),1),"")</f>
        <v/>
      </c>
      <c r="AD10" s="7" t="str" cm="1">
        <f t="array" aca="1" ref="AD10" ca="1">_xlfn.IFNA(INDEX(jkm_call_put!$L:$L,MATCH($B10&amp;AD$2&amp;$A$1,jkm_call_put!$G:$G&amp;jkm_call_put!$O:$O&amp;jkm_call_put!$F:$F,0),1),"")</f>
        <v/>
      </c>
      <c r="AE10" s="7" t="str" cm="1">
        <f t="array" aca="1" ref="AE10" ca="1">_xlfn.IFNA(INDEX(jkm_call_put!$L:$L,MATCH($B10&amp;AE$2&amp;$A$1,jkm_call_put!$G:$G&amp;jkm_call_put!$O:$O&amp;jkm_call_put!$F:$F,0),1),"")</f>
        <v/>
      </c>
      <c r="AF10" s="7" t="str" cm="1">
        <f t="array" aca="1" ref="AF10" ca="1">_xlfn.IFNA(INDEX(jkm_call_put!$L:$L,MATCH($B10&amp;AF$2&amp;$A$1,jkm_call_put!$G:$G&amp;jkm_call_put!$O:$O&amp;jkm_call_put!$F:$F,0),1),"")</f>
        <v/>
      </c>
      <c r="AG10" s="7" t="str" cm="1">
        <f t="array" aca="1" ref="AG10" ca="1">_xlfn.IFNA(INDEX(jkm_call_put!$L:$L,MATCH($B10&amp;AG$2&amp;$A$1,jkm_call_put!$G:$G&amp;jkm_call_put!$O:$O&amp;jkm_call_put!$F:$F,0),1),"")</f>
        <v/>
      </c>
      <c r="AH10" s="7" t="str" cm="1">
        <f t="array" aca="1" ref="AH10" ca="1">_xlfn.IFNA(INDEX(jkm_call_put!$L:$L,MATCH($B10&amp;AH$2&amp;$A$1,jkm_call_put!$G:$G&amp;jkm_call_put!$O:$O&amp;jkm_call_put!$F:$F,0),1),"")</f>
        <v/>
      </c>
      <c r="AI10" s="7" t="str" cm="1">
        <f t="array" aca="1" ref="AI10" ca="1">_xlfn.IFNA(INDEX(jkm_call_put!$L:$L,MATCH($B10&amp;AI$2&amp;$A$1,jkm_call_put!$G:$G&amp;jkm_call_put!$O:$O&amp;jkm_call_put!$F:$F,0),1),"")</f>
        <v/>
      </c>
      <c r="AJ10" s="7" t="str" cm="1">
        <f t="array" aca="1" ref="AJ10" ca="1">_xlfn.IFNA(INDEX(jkm_call_put!$L:$L,MATCH($B10&amp;AJ$2&amp;$A$1,jkm_call_put!$G:$G&amp;jkm_call_put!$O:$O&amp;jkm_call_put!$F:$F,0),1),"")</f>
        <v/>
      </c>
      <c r="AK10" s="7" t="str" cm="1">
        <f t="array" aca="1" ref="AK10" ca="1">_xlfn.IFNA(INDEX(jkm_call_put!$L:$L,MATCH($B10&amp;AK$2&amp;$A$1,jkm_call_put!$G:$G&amp;jkm_call_put!$O:$O&amp;jkm_call_put!$F:$F,0),1),"")</f>
        <v/>
      </c>
      <c r="AL10" s="7" t="str" cm="1">
        <f t="array" aca="1" ref="AL10" ca="1">_xlfn.IFNA(INDEX(jkm_call_put!$L:$L,MATCH($B10&amp;AL$2&amp;$A$1,jkm_call_put!$G:$G&amp;jkm_call_put!$O:$O&amp;jkm_call_put!$F:$F,0),1),"")</f>
        <v/>
      </c>
    </row>
    <row r="11" spans="1:38" x14ac:dyDescent="0.25">
      <c r="B11">
        <v>9.6999999999999993</v>
      </c>
      <c r="C11" s="7" t="str" cm="1">
        <f t="array" aca="1" ref="C11" ca="1">_xlfn.IFNA(INDEX(jkm_call_put!$L:$L,MATCH($B11&amp;C$2&amp;$A$1,jkm_call_put!$G:$G&amp;jkm_call_put!$O:$O&amp;jkm_call_put!$F:$F,0),1),"")</f>
        <v/>
      </c>
      <c r="D11" s="7" t="str" cm="1">
        <f t="array" aca="1" ref="D11" ca="1">_xlfn.IFNA(INDEX(jkm_call_put!$L:$L,MATCH($B11&amp;D$2&amp;$A$1,jkm_call_put!$G:$G&amp;jkm_call_put!$O:$O&amp;jkm_call_put!$F:$F,0),1),"")</f>
        <v/>
      </c>
      <c r="E11" s="7" t="str" cm="1">
        <f t="array" aca="1" ref="E11" ca="1">_xlfn.IFNA(INDEX(jkm_call_put!$L:$L,MATCH($B11&amp;E$2&amp;$A$1,jkm_call_put!$G:$G&amp;jkm_call_put!$O:$O&amp;jkm_call_put!$F:$F,0),1),"")</f>
        <v/>
      </c>
      <c r="F11" s="7" t="str" cm="1">
        <f t="array" aca="1" ref="F11" ca="1">_xlfn.IFNA(INDEX(jkm_call_put!$L:$L,MATCH($B11&amp;F$2&amp;$A$1,jkm_call_put!$G:$G&amp;jkm_call_put!$O:$O&amp;jkm_call_put!$F:$F,0),1),"")</f>
        <v/>
      </c>
      <c r="G11" s="7" cm="1">
        <f t="array" aca="1" ref="G11" ca="1">_xlfn.IFNA(INDEX(jkm_call_put!$L:$L,MATCH($B11&amp;G$2&amp;$A$1,jkm_call_put!$G:$G&amp;jkm_call_put!$O:$O&amp;jkm_call_put!$F:$F,0),1),"")</f>
        <v>79.241500000000002</v>
      </c>
      <c r="H11" s="7" t="str" cm="1">
        <f t="array" aca="1" ref="H11" ca="1">_xlfn.IFNA(INDEX(jkm_call_put!$L:$L,MATCH($B11&amp;H$2&amp;$A$1,jkm_call_put!$G:$G&amp;jkm_call_put!$O:$O&amp;jkm_call_put!$F:$F,0),1),"")</f>
        <v/>
      </c>
      <c r="I11" s="7" t="str" cm="1">
        <f t="array" aca="1" ref="I11" ca="1">_xlfn.IFNA(INDEX(jkm_call_put!$L:$L,MATCH($B11&amp;I$2&amp;$A$1,jkm_call_put!$G:$G&amp;jkm_call_put!$O:$O&amp;jkm_call_put!$F:$F,0),1),"")</f>
        <v/>
      </c>
      <c r="J11" s="7" t="str" cm="1">
        <f t="array" aca="1" ref="J11" ca="1">_xlfn.IFNA(INDEX(jkm_call_put!$L:$L,MATCH($B11&amp;J$2&amp;$A$1,jkm_call_put!$G:$G&amp;jkm_call_put!$O:$O&amp;jkm_call_put!$F:$F,0),1),"")</f>
        <v/>
      </c>
      <c r="K11" s="7" t="str" cm="1">
        <f t="array" aca="1" ref="K11" ca="1">_xlfn.IFNA(INDEX(jkm_call_put!$L:$L,MATCH($B11&amp;K$2&amp;$A$1,jkm_call_put!$G:$G&amp;jkm_call_put!$O:$O&amp;jkm_call_put!$F:$F,0),1),"")</f>
        <v/>
      </c>
      <c r="L11" s="7" t="str" cm="1">
        <f t="array" aca="1" ref="L11" ca="1">_xlfn.IFNA(INDEX(jkm_call_put!$L:$L,MATCH($B11&amp;L$2&amp;$A$1,jkm_call_put!$G:$G&amp;jkm_call_put!$O:$O&amp;jkm_call_put!$F:$F,0),1),"")</f>
        <v/>
      </c>
      <c r="M11" s="7" t="str" cm="1">
        <f t="array" aca="1" ref="M11" ca="1">_xlfn.IFNA(INDEX(jkm_call_put!$L:$L,MATCH($B11&amp;M$2&amp;$A$1,jkm_call_put!$G:$G&amp;jkm_call_put!$O:$O&amp;jkm_call_put!$F:$F,0),1),"")</f>
        <v/>
      </c>
      <c r="N11" s="7" t="str" cm="1">
        <f t="array" aca="1" ref="N11" ca="1">_xlfn.IFNA(INDEX(jkm_call_put!$L:$L,MATCH($B11&amp;N$2&amp;$A$1,jkm_call_put!$G:$G&amp;jkm_call_put!$O:$O&amp;jkm_call_put!$F:$F,0),1),"")</f>
        <v/>
      </c>
      <c r="O11" s="7" t="str" cm="1">
        <f t="array" aca="1" ref="O11" ca="1">_xlfn.IFNA(INDEX(jkm_call_put!$L:$L,MATCH($B11&amp;O$2&amp;$A$1,jkm_call_put!$G:$G&amp;jkm_call_put!$O:$O&amp;jkm_call_put!$F:$F,0),1),"")</f>
        <v/>
      </c>
      <c r="P11" s="7" t="str" cm="1">
        <f t="array" aca="1" ref="P11" ca="1">_xlfn.IFNA(INDEX(jkm_call_put!$L:$L,MATCH($B11&amp;P$2&amp;$A$1,jkm_call_put!$G:$G&amp;jkm_call_put!$O:$O&amp;jkm_call_put!$F:$F,0),1),"")</f>
        <v/>
      </c>
      <c r="Q11" s="7" t="str" cm="1">
        <f t="array" aca="1" ref="Q11" ca="1">_xlfn.IFNA(INDEX(jkm_call_put!$L:$L,MATCH($B11&amp;Q$2&amp;$A$1,jkm_call_put!$G:$G&amp;jkm_call_put!$O:$O&amp;jkm_call_put!$F:$F,0),1),"")</f>
        <v/>
      </c>
      <c r="R11" s="7" t="str" cm="1">
        <f t="array" aca="1" ref="R11" ca="1">_xlfn.IFNA(INDEX(jkm_call_put!$L:$L,MATCH($B11&amp;R$2&amp;$A$1,jkm_call_put!$G:$G&amp;jkm_call_put!$O:$O&amp;jkm_call_put!$F:$F,0),1),"")</f>
        <v/>
      </c>
      <c r="S11" s="7" t="str" cm="1">
        <f t="array" aca="1" ref="S11" ca="1">_xlfn.IFNA(INDEX(jkm_call_put!$L:$L,MATCH($B11&amp;S$2&amp;$A$1,jkm_call_put!$G:$G&amp;jkm_call_put!$O:$O&amp;jkm_call_put!$F:$F,0),1),"")</f>
        <v/>
      </c>
      <c r="T11" s="7" t="str" cm="1">
        <f t="array" aca="1" ref="T11" ca="1">_xlfn.IFNA(INDEX(jkm_call_put!$L:$L,MATCH($B11&amp;T$2&amp;$A$1,jkm_call_put!$G:$G&amp;jkm_call_put!$O:$O&amp;jkm_call_put!$F:$F,0),1),"")</f>
        <v/>
      </c>
      <c r="U11" s="7" t="str" cm="1">
        <f t="array" aca="1" ref="U11" ca="1">_xlfn.IFNA(INDEX(jkm_call_put!$L:$L,MATCH($B11&amp;U$2&amp;$A$1,jkm_call_put!$G:$G&amp;jkm_call_put!$O:$O&amp;jkm_call_put!$F:$F,0),1),"")</f>
        <v/>
      </c>
      <c r="V11" s="7" t="str" cm="1">
        <f t="array" aca="1" ref="V11" ca="1">_xlfn.IFNA(INDEX(jkm_call_put!$L:$L,MATCH($B11&amp;V$2&amp;$A$1,jkm_call_put!$G:$G&amp;jkm_call_put!$O:$O&amp;jkm_call_put!$F:$F,0),1),"")</f>
        <v/>
      </c>
      <c r="W11" s="7" t="str" cm="1">
        <f t="array" aca="1" ref="W11" ca="1">_xlfn.IFNA(INDEX(jkm_call_put!$L:$L,MATCH($B11&amp;W$2&amp;$A$1,jkm_call_put!$G:$G&amp;jkm_call_put!$O:$O&amp;jkm_call_put!$F:$F,0),1),"")</f>
        <v/>
      </c>
      <c r="X11" s="7" t="str" cm="1">
        <f t="array" aca="1" ref="X11" ca="1">_xlfn.IFNA(INDEX(jkm_call_put!$L:$L,MATCH($B11&amp;X$2&amp;$A$1,jkm_call_put!$G:$G&amp;jkm_call_put!$O:$O&amp;jkm_call_put!$F:$F,0),1),"")</f>
        <v/>
      </c>
      <c r="Y11" s="7" t="str" cm="1">
        <f t="array" aca="1" ref="Y11" ca="1">_xlfn.IFNA(INDEX(jkm_call_put!$L:$L,MATCH($B11&amp;Y$2&amp;$A$1,jkm_call_put!$G:$G&amp;jkm_call_put!$O:$O&amp;jkm_call_put!$F:$F,0),1),"")</f>
        <v/>
      </c>
      <c r="Z11" s="7" t="str" cm="1">
        <f t="array" aca="1" ref="Z11" ca="1">_xlfn.IFNA(INDEX(jkm_call_put!$L:$L,MATCH($B11&amp;Z$2&amp;$A$1,jkm_call_put!$G:$G&amp;jkm_call_put!$O:$O&amp;jkm_call_put!$F:$F,0),1),"")</f>
        <v/>
      </c>
      <c r="AA11" s="7" t="str" cm="1">
        <f t="array" aca="1" ref="AA11" ca="1">_xlfn.IFNA(INDEX(jkm_call_put!$L:$L,MATCH($B11&amp;AA$2&amp;$A$1,jkm_call_put!$G:$G&amp;jkm_call_put!$O:$O&amp;jkm_call_put!$F:$F,0),1),"")</f>
        <v/>
      </c>
      <c r="AB11" s="7" t="str" cm="1">
        <f t="array" aca="1" ref="AB11" ca="1">_xlfn.IFNA(INDEX(jkm_call_put!$L:$L,MATCH($B11&amp;AB$2&amp;$A$1,jkm_call_put!$G:$G&amp;jkm_call_put!$O:$O&amp;jkm_call_put!$F:$F,0),1),"")</f>
        <v/>
      </c>
      <c r="AC11" s="7" t="str" cm="1">
        <f t="array" aca="1" ref="AC11" ca="1">_xlfn.IFNA(INDEX(jkm_call_put!$L:$L,MATCH($B11&amp;AC$2&amp;$A$1,jkm_call_put!$G:$G&amp;jkm_call_put!$O:$O&amp;jkm_call_put!$F:$F,0),1),"")</f>
        <v/>
      </c>
      <c r="AD11" s="7" t="str" cm="1">
        <f t="array" aca="1" ref="AD11" ca="1">_xlfn.IFNA(INDEX(jkm_call_put!$L:$L,MATCH($B11&amp;AD$2&amp;$A$1,jkm_call_put!$G:$G&amp;jkm_call_put!$O:$O&amp;jkm_call_put!$F:$F,0),1),"")</f>
        <v/>
      </c>
      <c r="AE11" s="7" t="str" cm="1">
        <f t="array" aca="1" ref="AE11" ca="1">_xlfn.IFNA(INDEX(jkm_call_put!$L:$L,MATCH($B11&amp;AE$2&amp;$A$1,jkm_call_put!$G:$G&amp;jkm_call_put!$O:$O&amp;jkm_call_put!$F:$F,0),1),"")</f>
        <v/>
      </c>
      <c r="AF11" s="7" t="str" cm="1">
        <f t="array" aca="1" ref="AF11" ca="1">_xlfn.IFNA(INDEX(jkm_call_put!$L:$L,MATCH($B11&amp;AF$2&amp;$A$1,jkm_call_put!$G:$G&amp;jkm_call_put!$O:$O&amp;jkm_call_put!$F:$F,0),1),"")</f>
        <v/>
      </c>
      <c r="AG11" s="7" t="str" cm="1">
        <f t="array" aca="1" ref="AG11" ca="1">_xlfn.IFNA(INDEX(jkm_call_put!$L:$L,MATCH($B11&amp;AG$2&amp;$A$1,jkm_call_put!$G:$G&amp;jkm_call_put!$O:$O&amp;jkm_call_put!$F:$F,0),1),"")</f>
        <v/>
      </c>
      <c r="AH11" s="7" t="str" cm="1">
        <f t="array" aca="1" ref="AH11" ca="1">_xlfn.IFNA(INDEX(jkm_call_put!$L:$L,MATCH($B11&amp;AH$2&amp;$A$1,jkm_call_put!$G:$G&amp;jkm_call_put!$O:$O&amp;jkm_call_put!$F:$F,0),1),"")</f>
        <v/>
      </c>
      <c r="AI11" s="7" t="str" cm="1">
        <f t="array" aca="1" ref="AI11" ca="1">_xlfn.IFNA(INDEX(jkm_call_put!$L:$L,MATCH($B11&amp;AI$2&amp;$A$1,jkm_call_put!$G:$G&amp;jkm_call_put!$O:$O&amp;jkm_call_put!$F:$F,0),1),"")</f>
        <v/>
      </c>
      <c r="AJ11" s="7" t="str" cm="1">
        <f t="array" aca="1" ref="AJ11" ca="1">_xlfn.IFNA(INDEX(jkm_call_put!$L:$L,MATCH($B11&amp;AJ$2&amp;$A$1,jkm_call_put!$G:$G&amp;jkm_call_put!$O:$O&amp;jkm_call_put!$F:$F,0),1),"")</f>
        <v/>
      </c>
      <c r="AK11" s="7" t="str" cm="1">
        <f t="array" aca="1" ref="AK11" ca="1">_xlfn.IFNA(INDEX(jkm_call_put!$L:$L,MATCH($B11&amp;AK$2&amp;$A$1,jkm_call_put!$G:$G&amp;jkm_call_put!$O:$O&amp;jkm_call_put!$F:$F,0),1),"")</f>
        <v/>
      </c>
      <c r="AL11" s="7" t="str" cm="1">
        <f t="array" aca="1" ref="AL11" ca="1">_xlfn.IFNA(INDEX(jkm_call_put!$L:$L,MATCH($B11&amp;AL$2&amp;$A$1,jkm_call_put!$G:$G&amp;jkm_call_put!$O:$O&amp;jkm_call_put!$F:$F,0),1),"")</f>
        <v/>
      </c>
    </row>
    <row r="12" spans="1:38" x14ac:dyDescent="0.25">
      <c r="B12">
        <v>9.8000000000000007</v>
      </c>
      <c r="C12" s="7" t="str" cm="1">
        <f t="array" aca="1" ref="C12" ca="1">_xlfn.IFNA(INDEX(jkm_call_put!$L:$L,MATCH($B12&amp;C$2&amp;$A$1,jkm_call_put!$G:$G&amp;jkm_call_put!$O:$O&amp;jkm_call_put!$F:$F,0),1),"")</f>
        <v/>
      </c>
      <c r="D12" s="7" t="str" cm="1">
        <f t="array" aca="1" ref="D12" ca="1">_xlfn.IFNA(INDEX(jkm_call_put!$L:$L,MATCH($B12&amp;D$2&amp;$A$1,jkm_call_put!$G:$G&amp;jkm_call_put!$O:$O&amp;jkm_call_put!$F:$F,0),1),"")</f>
        <v/>
      </c>
      <c r="E12" s="7" t="str" cm="1">
        <f t="array" aca="1" ref="E12" ca="1">_xlfn.IFNA(INDEX(jkm_call_put!$L:$L,MATCH($B12&amp;E$2&amp;$A$1,jkm_call_put!$G:$G&amp;jkm_call_put!$O:$O&amp;jkm_call_put!$F:$F,0),1),"")</f>
        <v/>
      </c>
      <c r="F12" s="7" t="str" cm="1">
        <f t="array" aca="1" ref="F12" ca="1">_xlfn.IFNA(INDEX(jkm_call_put!$L:$L,MATCH($B12&amp;F$2&amp;$A$1,jkm_call_put!$G:$G&amp;jkm_call_put!$O:$O&amp;jkm_call_put!$F:$F,0),1),"")</f>
        <v/>
      </c>
      <c r="G12" s="7" cm="1">
        <f t="array" aca="1" ref="G12" ca="1">_xlfn.IFNA(INDEX(jkm_call_put!$L:$L,MATCH($B12&amp;G$2&amp;$A$1,jkm_call_put!$G:$G&amp;jkm_call_put!$O:$O&amp;jkm_call_put!$F:$F,0),1),"")</f>
        <v>79.241699999999994</v>
      </c>
      <c r="H12" s="7" t="str" cm="1">
        <f t="array" aca="1" ref="H12" ca="1">_xlfn.IFNA(INDEX(jkm_call_put!$L:$L,MATCH($B12&amp;H$2&amp;$A$1,jkm_call_put!$G:$G&amp;jkm_call_put!$O:$O&amp;jkm_call_put!$F:$F,0),1),"")</f>
        <v/>
      </c>
      <c r="I12" s="7" t="str" cm="1">
        <f t="array" aca="1" ref="I12" ca="1">_xlfn.IFNA(INDEX(jkm_call_put!$L:$L,MATCH($B12&amp;I$2&amp;$A$1,jkm_call_put!$G:$G&amp;jkm_call_put!$O:$O&amp;jkm_call_put!$F:$F,0),1),"")</f>
        <v/>
      </c>
      <c r="J12" s="7" t="str" cm="1">
        <f t="array" aca="1" ref="J12" ca="1">_xlfn.IFNA(INDEX(jkm_call_put!$L:$L,MATCH($B12&amp;J$2&amp;$A$1,jkm_call_put!$G:$G&amp;jkm_call_put!$O:$O&amp;jkm_call_put!$F:$F,0),1),"")</f>
        <v/>
      </c>
      <c r="K12" s="7" t="str" cm="1">
        <f t="array" aca="1" ref="K12" ca="1">_xlfn.IFNA(INDEX(jkm_call_put!$L:$L,MATCH($B12&amp;K$2&amp;$A$1,jkm_call_put!$G:$G&amp;jkm_call_put!$O:$O&amp;jkm_call_put!$F:$F,0),1),"")</f>
        <v/>
      </c>
      <c r="L12" s="7" t="str" cm="1">
        <f t="array" aca="1" ref="L12" ca="1">_xlfn.IFNA(INDEX(jkm_call_put!$L:$L,MATCH($B12&amp;L$2&amp;$A$1,jkm_call_put!$G:$G&amp;jkm_call_put!$O:$O&amp;jkm_call_put!$F:$F,0),1),"")</f>
        <v/>
      </c>
      <c r="M12" s="7" t="str" cm="1">
        <f t="array" aca="1" ref="M12" ca="1">_xlfn.IFNA(INDEX(jkm_call_put!$L:$L,MATCH($B12&amp;M$2&amp;$A$1,jkm_call_put!$G:$G&amp;jkm_call_put!$O:$O&amp;jkm_call_put!$F:$F,0),1),"")</f>
        <v/>
      </c>
      <c r="N12" s="7" t="str" cm="1">
        <f t="array" aca="1" ref="N12" ca="1">_xlfn.IFNA(INDEX(jkm_call_put!$L:$L,MATCH($B12&amp;N$2&amp;$A$1,jkm_call_put!$G:$G&amp;jkm_call_put!$O:$O&amp;jkm_call_put!$F:$F,0),1),"")</f>
        <v/>
      </c>
      <c r="O12" s="7" t="str" cm="1">
        <f t="array" aca="1" ref="O12" ca="1">_xlfn.IFNA(INDEX(jkm_call_put!$L:$L,MATCH($B12&amp;O$2&amp;$A$1,jkm_call_put!$G:$G&amp;jkm_call_put!$O:$O&amp;jkm_call_put!$F:$F,0),1),"")</f>
        <v/>
      </c>
      <c r="P12" s="7" t="str" cm="1">
        <f t="array" aca="1" ref="P12" ca="1">_xlfn.IFNA(INDEX(jkm_call_put!$L:$L,MATCH($B12&amp;P$2&amp;$A$1,jkm_call_put!$G:$G&amp;jkm_call_put!$O:$O&amp;jkm_call_put!$F:$F,0),1),"")</f>
        <v/>
      </c>
      <c r="Q12" s="7" t="str" cm="1">
        <f t="array" aca="1" ref="Q12" ca="1">_xlfn.IFNA(INDEX(jkm_call_put!$L:$L,MATCH($B12&amp;Q$2&amp;$A$1,jkm_call_put!$G:$G&amp;jkm_call_put!$O:$O&amp;jkm_call_put!$F:$F,0),1),"")</f>
        <v/>
      </c>
      <c r="R12" s="7" t="str" cm="1">
        <f t="array" aca="1" ref="R12" ca="1">_xlfn.IFNA(INDEX(jkm_call_put!$L:$L,MATCH($B12&amp;R$2&amp;$A$1,jkm_call_put!$G:$G&amp;jkm_call_put!$O:$O&amp;jkm_call_put!$F:$F,0),1),"")</f>
        <v/>
      </c>
      <c r="S12" s="7" t="str" cm="1">
        <f t="array" aca="1" ref="S12" ca="1">_xlfn.IFNA(INDEX(jkm_call_put!$L:$L,MATCH($B12&amp;S$2&amp;$A$1,jkm_call_put!$G:$G&amp;jkm_call_put!$O:$O&amp;jkm_call_put!$F:$F,0),1),"")</f>
        <v/>
      </c>
      <c r="T12" s="7" t="str" cm="1">
        <f t="array" aca="1" ref="T12" ca="1">_xlfn.IFNA(INDEX(jkm_call_put!$L:$L,MATCH($B12&amp;T$2&amp;$A$1,jkm_call_put!$G:$G&amp;jkm_call_put!$O:$O&amp;jkm_call_put!$F:$F,0),1),"")</f>
        <v/>
      </c>
      <c r="U12" s="7" t="str" cm="1">
        <f t="array" aca="1" ref="U12" ca="1">_xlfn.IFNA(INDEX(jkm_call_put!$L:$L,MATCH($B12&amp;U$2&amp;$A$1,jkm_call_put!$G:$G&amp;jkm_call_put!$O:$O&amp;jkm_call_put!$F:$F,0),1),"")</f>
        <v/>
      </c>
      <c r="V12" s="7" t="str" cm="1">
        <f t="array" aca="1" ref="V12" ca="1">_xlfn.IFNA(INDEX(jkm_call_put!$L:$L,MATCH($B12&amp;V$2&amp;$A$1,jkm_call_put!$G:$G&amp;jkm_call_put!$O:$O&amp;jkm_call_put!$F:$F,0),1),"")</f>
        <v/>
      </c>
      <c r="W12" s="7" t="str" cm="1">
        <f t="array" aca="1" ref="W12" ca="1">_xlfn.IFNA(INDEX(jkm_call_put!$L:$L,MATCH($B12&amp;W$2&amp;$A$1,jkm_call_put!$G:$G&amp;jkm_call_put!$O:$O&amp;jkm_call_put!$F:$F,0),1),"")</f>
        <v/>
      </c>
      <c r="X12" s="7" t="str" cm="1">
        <f t="array" aca="1" ref="X12" ca="1">_xlfn.IFNA(INDEX(jkm_call_put!$L:$L,MATCH($B12&amp;X$2&amp;$A$1,jkm_call_put!$G:$G&amp;jkm_call_put!$O:$O&amp;jkm_call_put!$F:$F,0),1),"")</f>
        <v/>
      </c>
      <c r="Y12" s="7" t="str" cm="1">
        <f t="array" aca="1" ref="Y12" ca="1">_xlfn.IFNA(INDEX(jkm_call_put!$L:$L,MATCH($B12&amp;Y$2&amp;$A$1,jkm_call_put!$G:$G&amp;jkm_call_put!$O:$O&amp;jkm_call_put!$F:$F,0),1),"")</f>
        <v/>
      </c>
      <c r="Z12" s="7" t="str" cm="1">
        <f t="array" aca="1" ref="Z12" ca="1">_xlfn.IFNA(INDEX(jkm_call_put!$L:$L,MATCH($B12&amp;Z$2&amp;$A$1,jkm_call_put!$G:$G&amp;jkm_call_put!$O:$O&amp;jkm_call_put!$F:$F,0),1),"")</f>
        <v/>
      </c>
      <c r="AA12" s="7" t="str" cm="1">
        <f t="array" aca="1" ref="AA12" ca="1">_xlfn.IFNA(INDEX(jkm_call_put!$L:$L,MATCH($B12&amp;AA$2&amp;$A$1,jkm_call_put!$G:$G&amp;jkm_call_put!$O:$O&amp;jkm_call_put!$F:$F,0),1),"")</f>
        <v/>
      </c>
      <c r="AB12" s="7" t="str" cm="1">
        <f t="array" aca="1" ref="AB12" ca="1">_xlfn.IFNA(INDEX(jkm_call_put!$L:$L,MATCH($B12&amp;AB$2&amp;$A$1,jkm_call_put!$G:$G&amp;jkm_call_put!$O:$O&amp;jkm_call_put!$F:$F,0),1),"")</f>
        <v/>
      </c>
      <c r="AC12" s="7" t="str" cm="1">
        <f t="array" aca="1" ref="AC12" ca="1">_xlfn.IFNA(INDEX(jkm_call_put!$L:$L,MATCH($B12&amp;AC$2&amp;$A$1,jkm_call_put!$G:$G&amp;jkm_call_put!$O:$O&amp;jkm_call_put!$F:$F,0),1),"")</f>
        <v/>
      </c>
      <c r="AD12" s="7" t="str" cm="1">
        <f t="array" aca="1" ref="AD12" ca="1">_xlfn.IFNA(INDEX(jkm_call_put!$L:$L,MATCH($B12&amp;AD$2&amp;$A$1,jkm_call_put!$G:$G&amp;jkm_call_put!$O:$O&amp;jkm_call_put!$F:$F,0),1),"")</f>
        <v/>
      </c>
      <c r="AE12" s="7" t="str" cm="1">
        <f t="array" aca="1" ref="AE12" ca="1">_xlfn.IFNA(INDEX(jkm_call_put!$L:$L,MATCH($B12&amp;AE$2&amp;$A$1,jkm_call_put!$G:$G&amp;jkm_call_put!$O:$O&amp;jkm_call_put!$F:$F,0),1),"")</f>
        <v/>
      </c>
      <c r="AF12" s="7" t="str" cm="1">
        <f t="array" aca="1" ref="AF12" ca="1">_xlfn.IFNA(INDEX(jkm_call_put!$L:$L,MATCH($B12&amp;AF$2&amp;$A$1,jkm_call_put!$G:$G&amp;jkm_call_put!$O:$O&amp;jkm_call_put!$F:$F,0),1),"")</f>
        <v/>
      </c>
      <c r="AG12" s="7" t="str" cm="1">
        <f t="array" aca="1" ref="AG12" ca="1">_xlfn.IFNA(INDEX(jkm_call_put!$L:$L,MATCH($B12&amp;AG$2&amp;$A$1,jkm_call_put!$G:$G&amp;jkm_call_put!$O:$O&amp;jkm_call_put!$F:$F,0),1),"")</f>
        <v/>
      </c>
      <c r="AH12" s="7" t="str" cm="1">
        <f t="array" aca="1" ref="AH12" ca="1">_xlfn.IFNA(INDEX(jkm_call_put!$L:$L,MATCH($B12&amp;AH$2&amp;$A$1,jkm_call_put!$G:$G&amp;jkm_call_put!$O:$O&amp;jkm_call_put!$F:$F,0),1),"")</f>
        <v/>
      </c>
      <c r="AI12" s="7" t="str" cm="1">
        <f t="array" aca="1" ref="AI12" ca="1">_xlfn.IFNA(INDEX(jkm_call_put!$L:$L,MATCH($B12&amp;AI$2&amp;$A$1,jkm_call_put!$G:$G&amp;jkm_call_put!$O:$O&amp;jkm_call_put!$F:$F,0),1),"")</f>
        <v/>
      </c>
      <c r="AJ12" s="7" t="str" cm="1">
        <f t="array" aca="1" ref="AJ12" ca="1">_xlfn.IFNA(INDEX(jkm_call_put!$L:$L,MATCH($B12&amp;AJ$2&amp;$A$1,jkm_call_put!$G:$G&amp;jkm_call_put!$O:$O&amp;jkm_call_put!$F:$F,0),1),"")</f>
        <v/>
      </c>
      <c r="AK12" s="7" t="str" cm="1">
        <f t="array" aca="1" ref="AK12" ca="1">_xlfn.IFNA(INDEX(jkm_call_put!$L:$L,MATCH($B12&amp;AK$2&amp;$A$1,jkm_call_put!$G:$G&amp;jkm_call_put!$O:$O&amp;jkm_call_put!$F:$F,0),1),"")</f>
        <v/>
      </c>
      <c r="AL12" s="7" t="str" cm="1">
        <f t="array" aca="1" ref="AL12" ca="1">_xlfn.IFNA(INDEX(jkm_call_put!$L:$L,MATCH($B12&amp;AL$2&amp;$A$1,jkm_call_put!$G:$G&amp;jkm_call_put!$O:$O&amp;jkm_call_put!$F:$F,0),1),"")</f>
        <v/>
      </c>
    </row>
    <row r="13" spans="1:38" x14ac:dyDescent="0.25">
      <c r="B13">
        <v>10</v>
      </c>
      <c r="C13" s="7" cm="1">
        <f t="array" aca="1" ref="C13" ca="1">_xlfn.IFNA(INDEX(jkm_call_put!$L:$L,MATCH($B13&amp;C$2&amp;$A$1,jkm_call_put!$G:$G&amp;jkm_call_put!$O:$O&amp;jkm_call_put!$F:$F,0),1),"")</f>
        <v>51.517800000000001</v>
      </c>
      <c r="D13" s="7" cm="1">
        <f t="array" aca="1" ref="D13" ca="1">_xlfn.IFNA(INDEX(jkm_call_put!$L:$L,MATCH($B13&amp;D$2&amp;$A$1,jkm_call_put!$G:$G&amp;jkm_call_put!$O:$O&amp;jkm_call_put!$F:$F,0),1),"")</f>
        <v>43.056100000000001</v>
      </c>
      <c r="E13" s="7" cm="1">
        <f t="array" aca="1" ref="E13" ca="1">_xlfn.IFNA(INDEX(jkm_call_put!$L:$L,MATCH($B13&amp;E$2&amp;$A$1,jkm_call_put!$G:$G&amp;jkm_call_put!$O:$O&amp;jkm_call_put!$F:$F,0),1),"")</f>
        <v>75.2166</v>
      </c>
      <c r="F13" s="7" cm="1">
        <f t="array" aca="1" ref="F13" ca="1">_xlfn.IFNA(INDEX(jkm_call_put!$L:$L,MATCH($B13&amp;F$2&amp;$A$1,jkm_call_put!$G:$G&amp;jkm_call_put!$O:$O&amp;jkm_call_put!$F:$F,0),1),"")</f>
        <v>77.626099999999994</v>
      </c>
      <c r="G13" s="7" cm="1">
        <f t="array" aca="1" ref="G13" ca="1">_xlfn.IFNA(INDEX(jkm_call_put!$L:$L,MATCH($B13&amp;G$2&amp;$A$1,jkm_call_put!$G:$G&amp;jkm_call_put!$O:$O&amp;jkm_call_put!$F:$F,0),1),"")</f>
        <v>79.242000000000004</v>
      </c>
      <c r="H13" s="7" cm="1">
        <f t="array" aca="1" ref="H13" ca="1">_xlfn.IFNA(INDEX(jkm_call_put!$L:$L,MATCH($B13&amp;H$2&amp;$A$1,jkm_call_put!$G:$G&amp;jkm_call_put!$O:$O&amp;jkm_call_put!$F:$F,0),1),"")</f>
        <v>61.859400000000001</v>
      </c>
      <c r="I13" s="7" cm="1">
        <f t="array" aca="1" ref="I13" ca="1">_xlfn.IFNA(INDEX(jkm_call_put!$L:$L,MATCH($B13&amp;I$2&amp;$A$1,jkm_call_put!$G:$G&amp;jkm_call_put!$O:$O&amp;jkm_call_put!$F:$F,0),1),"")</f>
        <v>62.511800000000001</v>
      </c>
      <c r="J13" s="7" cm="1">
        <f t="array" aca="1" ref="J13" ca="1">_xlfn.IFNA(INDEX(jkm_call_put!$L:$L,MATCH($B13&amp;J$2&amp;$A$1,jkm_call_put!$G:$G&amp;jkm_call_put!$O:$O&amp;jkm_call_put!$F:$F,0),1),"")</f>
        <v>63.020299999999999</v>
      </c>
      <c r="K13" s="7" cm="1">
        <f t="array" aca="1" ref="K13" ca="1">_xlfn.IFNA(INDEX(jkm_call_put!$L:$L,MATCH($B13&amp;K$2&amp;$A$1,jkm_call_put!$G:$G&amp;jkm_call_put!$O:$O&amp;jkm_call_put!$F:$F,0),1),"")</f>
        <v>63.123600000000003</v>
      </c>
      <c r="L13" s="7" cm="1">
        <f t="array" aca="1" ref="L13" ca="1">_xlfn.IFNA(INDEX(jkm_call_put!$L:$L,MATCH($B13&amp;L$2&amp;$A$1,jkm_call_put!$G:$G&amp;jkm_call_put!$O:$O&amp;jkm_call_put!$F:$F,0),1),"")</f>
        <v>63.407800000000002</v>
      </c>
      <c r="M13" s="7" cm="1">
        <f t="array" aca="1" ref="M13" ca="1">_xlfn.IFNA(INDEX(jkm_call_put!$L:$L,MATCH($B13&amp;M$2&amp;$A$1,jkm_call_put!$G:$G&amp;jkm_call_put!$O:$O&amp;jkm_call_put!$F:$F,0),1),"")</f>
        <v>63.6008</v>
      </c>
      <c r="N13" s="7" cm="1">
        <f t="array" aca="1" ref="N13" ca="1">_xlfn.IFNA(INDEX(jkm_call_put!$L:$L,MATCH($B13&amp;N$2&amp;$A$1,jkm_call_put!$G:$G&amp;jkm_call_put!$O:$O&amp;jkm_call_put!$F:$F,0),1),"")</f>
        <v>47.746600000000001</v>
      </c>
      <c r="O13" s="7" cm="1">
        <f t="array" aca="1" ref="O13" ca="1">_xlfn.IFNA(INDEX(jkm_call_put!$L:$L,MATCH($B13&amp;O$2&amp;$A$1,jkm_call_put!$G:$G&amp;jkm_call_put!$O:$O&amp;jkm_call_put!$F:$F,0),1),"")</f>
        <v>47.738599999999998</v>
      </c>
      <c r="P13" s="7" cm="1">
        <f t="array" aca="1" ref="P13" ca="1">_xlfn.IFNA(INDEX(jkm_call_put!$L:$L,MATCH($B13&amp;P$2&amp;$A$1,jkm_call_put!$G:$G&amp;jkm_call_put!$O:$O&amp;jkm_call_put!$F:$F,0),1),"")</f>
        <v>47.934199999999997</v>
      </c>
      <c r="Q13" s="7" cm="1">
        <f t="array" aca="1" ref="Q13" ca="1">_xlfn.IFNA(INDEX(jkm_call_put!$L:$L,MATCH($B13&amp;Q$2&amp;$A$1,jkm_call_put!$G:$G&amp;jkm_call_put!$O:$O&amp;jkm_call_put!$F:$F,0),1),"")</f>
        <v>47.883800000000001</v>
      </c>
      <c r="R13" s="7" cm="1">
        <f t="array" aca="1" ref="R13" ca="1">_xlfn.IFNA(INDEX(jkm_call_put!$L:$L,MATCH($B13&amp;R$2&amp;$A$1,jkm_call_put!$G:$G&amp;jkm_call_put!$O:$O&amp;jkm_call_put!$F:$F,0),1),"")</f>
        <v>47.861899999999999</v>
      </c>
      <c r="S13" s="7" cm="1">
        <f t="array" aca="1" ref="S13" ca="1">_xlfn.IFNA(INDEX(jkm_call_put!$L:$L,MATCH($B13&amp;S$2&amp;$A$1,jkm_call_put!$G:$G&amp;jkm_call_put!$O:$O&amp;jkm_call_put!$F:$F,0),1),"")</f>
        <v>47.952199999999998</v>
      </c>
      <c r="T13" s="7" cm="1">
        <f t="array" aca="1" ref="T13" ca="1">_xlfn.IFNA(INDEX(jkm_call_put!$L:$L,MATCH($B13&amp;T$2&amp;$A$1,jkm_call_put!$G:$G&amp;jkm_call_put!$O:$O&amp;jkm_call_put!$F:$F,0),1),"")</f>
        <v>35.203299999999999</v>
      </c>
      <c r="U13" s="7" cm="1">
        <f t="array" aca="1" ref="U13" ca="1">_xlfn.IFNA(INDEX(jkm_call_put!$L:$L,MATCH($B13&amp;U$2&amp;$A$1,jkm_call_put!$G:$G&amp;jkm_call_put!$O:$O&amp;jkm_call_put!$F:$F,0),1),"")</f>
        <v>35.103200000000001</v>
      </c>
      <c r="V13" s="7" cm="1">
        <f t="array" aca="1" ref="V13" ca="1">_xlfn.IFNA(INDEX(jkm_call_put!$L:$L,MATCH($B13&amp;V$2&amp;$A$1,jkm_call_put!$G:$G&amp;jkm_call_put!$O:$O&amp;jkm_call_put!$F:$F,0),1),"")</f>
        <v>34.988799999999998</v>
      </c>
      <c r="W13" s="7" cm="1">
        <f t="array" aca="1" ref="W13" ca="1">_xlfn.IFNA(INDEX(jkm_call_put!$L:$L,MATCH($B13&amp;W$2&amp;$A$1,jkm_call_put!$G:$G&amp;jkm_call_put!$O:$O&amp;jkm_call_put!$F:$F,0),1),"")</f>
        <v>34.948300000000003</v>
      </c>
      <c r="X13" s="7" cm="1">
        <f t="array" aca="1" ref="X13" ca="1">_xlfn.IFNA(INDEX(jkm_call_put!$L:$L,MATCH($B13&amp;X$2&amp;$A$1,jkm_call_put!$G:$G&amp;jkm_call_put!$O:$O&amp;jkm_call_put!$F:$F,0),1),"")</f>
        <v>34.996600000000001</v>
      </c>
      <c r="Y13" s="7" cm="1">
        <f t="array" aca="1" ref="Y13" ca="1">_xlfn.IFNA(INDEX(jkm_call_put!$L:$L,MATCH($B13&amp;Y$2&amp;$A$1,jkm_call_put!$G:$G&amp;jkm_call_put!$O:$O&amp;jkm_call_put!$F:$F,0),1),"")</f>
        <v>34.967100000000002</v>
      </c>
      <c r="Z13" s="7" cm="1">
        <f t="array" aca="1" ref="Z13" ca="1">_xlfn.IFNA(INDEX(jkm_call_put!$L:$L,MATCH($B13&amp;Z$2&amp;$A$1,jkm_call_put!$G:$G&amp;jkm_call_put!$O:$O&amp;jkm_call_put!$F:$F,0),1),"")</f>
        <v>30.0822</v>
      </c>
      <c r="AA13" s="7" cm="1">
        <f t="array" aca="1" ref="AA13" ca="1">_xlfn.IFNA(INDEX(jkm_call_put!$L:$L,MATCH($B13&amp;AA$2&amp;$A$1,jkm_call_put!$G:$G&amp;jkm_call_put!$O:$O&amp;jkm_call_put!$F:$F,0),1),"")</f>
        <v>30.096</v>
      </c>
      <c r="AB13" s="7" cm="1">
        <f t="array" aca="1" ref="AB13" ca="1">_xlfn.IFNA(INDEX(jkm_call_put!$L:$L,MATCH($B13&amp;AB$2&amp;$A$1,jkm_call_put!$G:$G&amp;jkm_call_put!$O:$O&amp;jkm_call_put!$F:$F,0),1),"")</f>
        <v>30.067900000000002</v>
      </c>
      <c r="AC13" s="7" cm="1">
        <f t="array" aca="1" ref="AC13" ca="1">_xlfn.IFNA(INDEX(jkm_call_put!$L:$L,MATCH($B13&amp;AC$2&amp;$A$1,jkm_call_put!$G:$G&amp;jkm_call_put!$O:$O&amp;jkm_call_put!$F:$F,0),1),"")</f>
        <v>30.0886</v>
      </c>
      <c r="AD13" s="7" cm="1">
        <f t="array" aca="1" ref="AD13" ca="1">_xlfn.IFNA(INDEX(jkm_call_put!$L:$L,MATCH($B13&amp;AD$2&amp;$A$1,jkm_call_put!$G:$G&amp;jkm_call_put!$O:$O&amp;jkm_call_put!$F:$F,0),1),"")</f>
        <v>30.1433</v>
      </c>
      <c r="AE13" s="7" cm="1">
        <f t="array" aca="1" ref="AE13" ca="1">_xlfn.IFNA(INDEX(jkm_call_put!$L:$L,MATCH($B13&amp;AE$2&amp;$A$1,jkm_call_put!$G:$G&amp;jkm_call_put!$O:$O&amp;jkm_call_put!$F:$F,0),1),"")</f>
        <v>30.113399999999999</v>
      </c>
      <c r="AF13" s="7" cm="1">
        <f t="array" aca="1" ref="AF13" ca="1">_xlfn.IFNA(INDEX(jkm_call_put!$L:$L,MATCH($B13&amp;AF$2&amp;$A$1,jkm_call_put!$G:$G&amp;jkm_call_put!$O:$O&amp;jkm_call_put!$F:$F,0),1),"")</f>
        <v>35.0809</v>
      </c>
      <c r="AG13" s="7" cm="1">
        <f t="array" aca="1" ref="AG13" ca="1">_xlfn.IFNA(INDEX(jkm_call_put!$L:$L,MATCH($B13&amp;AG$2&amp;$A$1,jkm_call_put!$G:$G&amp;jkm_call_put!$O:$O&amp;jkm_call_put!$F:$F,0),1),"")</f>
        <v>35.150399999999998</v>
      </c>
      <c r="AH13" s="7" cm="1">
        <f t="array" aca="1" ref="AH13" ca="1">_xlfn.IFNA(INDEX(jkm_call_put!$L:$L,MATCH($B13&amp;AH$2&amp;$A$1,jkm_call_put!$G:$G&amp;jkm_call_put!$O:$O&amp;jkm_call_put!$F:$F,0),1),"")</f>
        <v>35.111499999999999</v>
      </c>
      <c r="AI13" s="7" cm="1">
        <f t="array" aca="1" ref="AI13" ca="1">_xlfn.IFNA(INDEX(jkm_call_put!$L:$L,MATCH($B13&amp;AI$2&amp;$A$1,jkm_call_put!$G:$G&amp;jkm_call_put!$O:$O&amp;jkm_call_put!$F:$F,0),1),"")</f>
        <v>35.1389</v>
      </c>
      <c r="AJ13" s="7" cm="1">
        <f t="array" aca="1" ref="AJ13" ca="1">_xlfn.IFNA(INDEX(jkm_call_put!$L:$L,MATCH($B13&amp;AJ$2&amp;$A$1,jkm_call_put!$G:$G&amp;jkm_call_put!$O:$O&amp;jkm_call_put!$F:$F,0),1),"")</f>
        <v>35.142299999999999</v>
      </c>
      <c r="AK13" s="7" cm="1">
        <f t="array" aca="1" ref="AK13" ca="1">_xlfn.IFNA(INDEX(jkm_call_put!$L:$L,MATCH($B13&amp;AK$2&amp;$A$1,jkm_call_put!$G:$G&amp;jkm_call_put!$O:$O&amp;jkm_call_put!$F:$F,0),1),"")</f>
        <v>35.113</v>
      </c>
      <c r="AL13" s="7" cm="1">
        <f t="array" aca="1" ref="AL13" ca="1">_xlfn.IFNA(INDEX(jkm_call_put!$L:$L,MATCH($B13&amp;AL$2&amp;$A$1,jkm_call_put!$G:$G&amp;jkm_call_put!$O:$O&amp;jkm_call_put!$F:$F,0),1),"")</f>
        <v>35.1753</v>
      </c>
    </row>
    <row r="14" spans="1:38" x14ac:dyDescent="0.25">
      <c r="B14">
        <v>10.5</v>
      </c>
      <c r="C14" s="7" t="str" cm="1">
        <f t="array" aca="1" ref="C14" ca="1">_xlfn.IFNA(INDEX(jkm_call_put!$L:$L,MATCH($B14&amp;C$2&amp;$A$1,jkm_call_put!$G:$G&amp;jkm_call_put!$O:$O&amp;jkm_call_put!$F:$F,0),1),"")</f>
        <v/>
      </c>
      <c r="D14" s="7" t="str" cm="1">
        <f t="array" aca="1" ref="D14" ca="1">_xlfn.IFNA(INDEX(jkm_call_put!$L:$L,MATCH($B14&amp;D$2&amp;$A$1,jkm_call_put!$G:$G&amp;jkm_call_put!$O:$O&amp;jkm_call_put!$F:$F,0),1),"")</f>
        <v/>
      </c>
      <c r="E14" s="7" t="str" cm="1">
        <f t="array" aca="1" ref="E14" ca="1">_xlfn.IFNA(INDEX(jkm_call_put!$L:$L,MATCH($B14&amp;E$2&amp;$A$1,jkm_call_put!$G:$G&amp;jkm_call_put!$O:$O&amp;jkm_call_put!$F:$F,0),1),"")</f>
        <v/>
      </c>
      <c r="F14" s="7" t="str" cm="1">
        <f t="array" aca="1" ref="F14" ca="1">_xlfn.IFNA(INDEX(jkm_call_put!$L:$L,MATCH($B14&amp;F$2&amp;$A$1,jkm_call_put!$G:$G&amp;jkm_call_put!$O:$O&amp;jkm_call_put!$F:$F,0),1),"")</f>
        <v/>
      </c>
      <c r="G14" s="7" t="str" cm="1">
        <f t="array" aca="1" ref="G14" ca="1">_xlfn.IFNA(INDEX(jkm_call_put!$L:$L,MATCH($B14&amp;G$2&amp;$A$1,jkm_call_put!$G:$G&amp;jkm_call_put!$O:$O&amp;jkm_call_put!$F:$F,0),1),"")</f>
        <v/>
      </c>
      <c r="H14" s="7" cm="1">
        <f t="array" aca="1" ref="H14" ca="1">_xlfn.IFNA(INDEX(jkm_call_put!$L:$L,MATCH($B14&amp;H$2&amp;$A$1,jkm_call_put!$G:$G&amp;jkm_call_put!$O:$O&amp;jkm_call_put!$F:$F,0),1),"")</f>
        <v>61.883899999999997</v>
      </c>
      <c r="I14" s="7" cm="1">
        <f t="array" aca="1" ref="I14" ca="1">_xlfn.IFNA(INDEX(jkm_call_put!$L:$L,MATCH($B14&amp;I$2&amp;$A$1,jkm_call_put!$G:$G&amp;jkm_call_put!$O:$O&amp;jkm_call_put!$F:$F,0),1),"")</f>
        <v>62.5366</v>
      </c>
      <c r="J14" s="7" cm="1">
        <f t="array" aca="1" ref="J14" ca="1">_xlfn.IFNA(INDEX(jkm_call_put!$L:$L,MATCH($B14&amp;J$2&amp;$A$1,jkm_call_put!$G:$G&amp;jkm_call_put!$O:$O&amp;jkm_call_put!$F:$F,0),1),"")</f>
        <v>63.045099999999998</v>
      </c>
      <c r="K14" s="7" cm="1">
        <f t="array" aca="1" ref="K14" ca="1">_xlfn.IFNA(INDEX(jkm_call_put!$L:$L,MATCH($B14&amp;K$2&amp;$A$1,jkm_call_put!$G:$G&amp;jkm_call_put!$O:$O&amp;jkm_call_put!$F:$F,0),1),"")</f>
        <v>63.148400000000002</v>
      </c>
      <c r="L14" s="7" cm="1">
        <f t="array" aca="1" ref="L14" ca="1">_xlfn.IFNA(INDEX(jkm_call_put!$L:$L,MATCH($B14&amp;L$2&amp;$A$1,jkm_call_put!$G:$G&amp;jkm_call_put!$O:$O&amp;jkm_call_put!$F:$F,0),1),"")</f>
        <v>63.432699999999997</v>
      </c>
      <c r="M14" s="7" cm="1">
        <f t="array" aca="1" ref="M14" ca="1">_xlfn.IFNA(INDEX(jkm_call_put!$L:$L,MATCH($B14&amp;M$2&amp;$A$1,jkm_call_put!$G:$G&amp;jkm_call_put!$O:$O&amp;jkm_call_put!$F:$F,0),1),"")</f>
        <v>63.625900000000001</v>
      </c>
      <c r="N14" s="7" cm="1">
        <f t="array" aca="1" ref="N14" ca="1">_xlfn.IFNA(INDEX(jkm_call_put!$L:$L,MATCH($B14&amp;N$2&amp;$A$1,jkm_call_put!$G:$G&amp;jkm_call_put!$O:$O&amp;jkm_call_put!$F:$F,0),1),"")</f>
        <v>47.716299999999997</v>
      </c>
      <c r="O14" s="7" cm="1">
        <f t="array" aca="1" ref="O14" ca="1">_xlfn.IFNA(INDEX(jkm_call_put!$L:$L,MATCH($B14&amp;O$2&amp;$A$1,jkm_call_put!$G:$G&amp;jkm_call_put!$O:$O&amp;jkm_call_put!$F:$F,0),1),"")</f>
        <v>47.7074</v>
      </c>
      <c r="P14" s="7" cm="1">
        <f t="array" aca="1" ref="P14" ca="1">_xlfn.IFNA(INDEX(jkm_call_put!$L:$L,MATCH($B14&amp;P$2&amp;$A$1,jkm_call_put!$G:$G&amp;jkm_call_put!$O:$O&amp;jkm_call_put!$F:$F,0),1),"")</f>
        <v>47.902299999999997</v>
      </c>
      <c r="Q14" s="7" cm="1">
        <f t="array" aca="1" ref="Q14" ca="1">_xlfn.IFNA(INDEX(jkm_call_put!$L:$L,MATCH($B14&amp;Q$2&amp;$A$1,jkm_call_put!$G:$G&amp;jkm_call_put!$O:$O&amp;jkm_call_put!$F:$F,0),1),"")</f>
        <v>47.853099999999998</v>
      </c>
      <c r="R14" s="7" cm="1">
        <f t="array" aca="1" ref="R14" ca="1">_xlfn.IFNA(INDEX(jkm_call_put!$L:$L,MATCH($B14&amp;R$2&amp;$A$1,jkm_call_put!$G:$G&amp;jkm_call_put!$O:$O&amp;jkm_call_put!$F:$F,0),1),"")</f>
        <v>47.831499999999998</v>
      </c>
      <c r="S14" s="7" cm="1">
        <f t="array" aca="1" ref="S14" ca="1">_xlfn.IFNA(INDEX(jkm_call_put!$L:$L,MATCH($B14&amp;S$2&amp;$A$1,jkm_call_put!$G:$G&amp;jkm_call_put!$O:$O&amp;jkm_call_put!$F:$F,0),1),"")</f>
        <v>47.921999999999997</v>
      </c>
      <c r="T14" s="7" t="str" cm="1">
        <f t="array" aca="1" ref="T14" ca="1">_xlfn.IFNA(INDEX(jkm_call_put!$L:$L,MATCH($B14&amp;T$2&amp;$A$1,jkm_call_put!$G:$G&amp;jkm_call_put!$O:$O&amp;jkm_call_put!$F:$F,0),1),"")</f>
        <v/>
      </c>
      <c r="U14" s="7" t="str" cm="1">
        <f t="array" aca="1" ref="U14" ca="1">_xlfn.IFNA(INDEX(jkm_call_put!$L:$L,MATCH($B14&amp;U$2&amp;$A$1,jkm_call_put!$G:$G&amp;jkm_call_put!$O:$O&amp;jkm_call_put!$F:$F,0),1),"")</f>
        <v/>
      </c>
      <c r="V14" s="7" t="str" cm="1">
        <f t="array" aca="1" ref="V14" ca="1">_xlfn.IFNA(INDEX(jkm_call_put!$L:$L,MATCH($B14&amp;V$2&amp;$A$1,jkm_call_put!$G:$G&amp;jkm_call_put!$O:$O&amp;jkm_call_put!$F:$F,0),1),"")</f>
        <v/>
      </c>
      <c r="W14" s="7" t="str" cm="1">
        <f t="array" aca="1" ref="W14" ca="1">_xlfn.IFNA(INDEX(jkm_call_put!$L:$L,MATCH($B14&amp;W$2&amp;$A$1,jkm_call_put!$G:$G&amp;jkm_call_put!$O:$O&amp;jkm_call_put!$F:$F,0),1),"")</f>
        <v/>
      </c>
      <c r="X14" s="7" t="str" cm="1">
        <f t="array" aca="1" ref="X14" ca="1">_xlfn.IFNA(INDEX(jkm_call_put!$L:$L,MATCH($B14&amp;X$2&amp;$A$1,jkm_call_put!$G:$G&amp;jkm_call_put!$O:$O&amp;jkm_call_put!$F:$F,0),1),"")</f>
        <v/>
      </c>
      <c r="Y14" s="7" t="str" cm="1">
        <f t="array" aca="1" ref="Y14" ca="1">_xlfn.IFNA(INDEX(jkm_call_put!$L:$L,MATCH($B14&amp;Y$2&amp;$A$1,jkm_call_put!$G:$G&amp;jkm_call_put!$O:$O&amp;jkm_call_put!$F:$F,0),1),"")</f>
        <v/>
      </c>
      <c r="Z14" s="7" t="str" cm="1">
        <f t="array" aca="1" ref="Z14" ca="1">_xlfn.IFNA(INDEX(jkm_call_put!$L:$L,MATCH($B14&amp;Z$2&amp;$A$1,jkm_call_put!$G:$G&amp;jkm_call_put!$O:$O&amp;jkm_call_put!$F:$F,0),1),"")</f>
        <v/>
      </c>
      <c r="AA14" s="7" t="str" cm="1">
        <f t="array" aca="1" ref="AA14" ca="1">_xlfn.IFNA(INDEX(jkm_call_put!$L:$L,MATCH($B14&amp;AA$2&amp;$A$1,jkm_call_put!$G:$G&amp;jkm_call_put!$O:$O&amp;jkm_call_put!$F:$F,0),1),"")</f>
        <v/>
      </c>
      <c r="AB14" s="7" t="str" cm="1">
        <f t="array" aca="1" ref="AB14" ca="1">_xlfn.IFNA(INDEX(jkm_call_put!$L:$L,MATCH($B14&amp;AB$2&amp;$A$1,jkm_call_put!$G:$G&amp;jkm_call_put!$O:$O&amp;jkm_call_put!$F:$F,0),1),"")</f>
        <v/>
      </c>
      <c r="AC14" s="7" t="str" cm="1">
        <f t="array" aca="1" ref="AC14" ca="1">_xlfn.IFNA(INDEX(jkm_call_put!$L:$L,MATCH($B14&amp;AC$2&amp;$A$1,jkm_call_put!$G:$G&amp;jkm_call_put!$O:$O&amp;jkm_call_put!$F:$F,0),1),"")</f>
        <v/>
      </c>
      <c r="AD14" s="7" t="str" cm="1">
        <f t="array" aca="1" ref="AD14" ca="1">_xlfn.IFNA(INDEX(jkm_call_put!$L:$L,MATCH($B14&amp;AD$2&amp;$A$1,jkm_call_put!$G:$G&amp;jkm_call_put!$O:$O&amp;jkm_call_put!$F:$F,0),1),"")</f>
        <v/>
      </c>
      <c r="AE14" s="7" t="str" cm="1">
        <f t="array" aca="1" ref="AE14" ca="1">_xlfn.IFNA(INDEX(jkm_call_put!$L:$L,MATCH($B14&amp;AE$2&amp;$A$1,jkm_call_put!$G:$G&amp;jkm_call_put!$O:$O&amp;jkm_call_put!$F:$F,0),1),"")</f>
        <v/>
      </c>
      <c r="AF14" s="7" t="str" cm="1">
        <f t="array" aca="1" ref="AF14" ca="1">_xlfn.IFNA(INDEX(jkm_call_put!$L:$L,MATCH($B14&amp;AF$2&amp;$A$1,jkm_call_put!$G:$G&amp;jkm_call_put!$O:$O&amp;jkm_call_put!$F:$F,0),1),"")</f>
        <v/>
      </c>
      <c r="AG14" s="7" t="str" cm="1">
        <f t="array" aca="1" ref="AG14" ca="1">_xlfn.IFNA(INDEX(jkm_call_put!$L:$L,MATCH($B14&amp;AG$2&amp;$A$1,jkm_call_put!$G:$G&amp;jkm_call_put!$O:$O&amp;jkm_call_put!$F:$F,0),1),"")</f>
        <v/>
      </c>
      <c r="AH14" s="7" t="str" cm="1">
        <f t="array" aca="1" ref="AH14" ca="1">_xlfn.IFNA(INDEX(jkm_call_put!$L:$L,MATCH($B14&amp;AH$2&amp;$A$1,jkm_call_put!$G:$G&amp;jkm_call_put!$O:$O&amp;jkm_call_put!$F:$F,0),1),"")</f>
        <v/>
      </c>
      <c r="AI14" s="7" t="str" cm="1">
        <f t="array" aca="1" ref="AI14" ca="1">_xlfn.IFNA(INDEX(jkm_call_put!$L:$L,MATCH($B14&amp;AI$2&amp;$A$1,jkm_call_put!$G:$G&amp;jkm_call_put!$O:$O&amp;jkm_call_put!$F:$F,0),1),"")</f>
        <v/>
      </c>
      <c r="AJ14" s="7" t="str" cm="1">
        <f t="array" aca="1" ref="AJ14" ca="1">_xlfn.IFNA(INDEX(jkm_call_put!$L:$L,MATCH($B14&amp;AJ$2&amp;$A$1,jkm_call_put!$G:$G&amp;jkm_call_put!$O:$O&amp;jkm_call_put!$F:$F,0),1),"")</f>
        <v/>
      </c>
      <c r="AK14" s="7" t="str" cm="1">
        <f t="array" aca="1" ref="AK14" ca="1">_xlfn.IFNA(INDEX(jkm_call_put!$L:$L,MATCH($B14&amp;AK$2&amp;$A$1,jkm_call_put!$G:$G&amp;jkm_call_put!$O:$O&amp;jkm_call_put!$F:$F,0),1),"")</f>
        <v/>
      </c>
      <c r="AL14" s="7" t="str" cm="1">
        <f t="array" aca="1" ref="AL14" ca="1">_xlfn.IFNA(INDEX(jkm_call_put!$L:$L,MATCH($B14&amp;AL$2&amp;$A$1,jkm_call_put!$G:$G&amp;jkm_call_put!$O:$O&amp;jkm_call_put!$F:$F,0),1),"")</f>
        <v/>
      </c>
    </row>
    <row r="15" spans="1:38" x14ac:dyDescent="0.25">
      <c r="B15">
        <v>11</v>
      </c>
      <c r="C15" s="7" t="str" cm="1">
        <f t="array" aca="1" ref="C15" ca="1">_xlfn.IFNA(INDEX(jkm_call_put!$L:$L,MATCH($B15&amp;C$2&amp;$A$1,jkm_call_put!$G:$G&amp;jkm_call_put!$O:$O&amp;jkm_call_put!$F:$F,0),1),"")</f>
        <v/>
      </c>
      <c r="D15" s="7" t="str" cm="1">
        <f t="array" aca="1" ref="D15" ca="1">_xlfn.IFNA(INDEX(jkm_call_put!$L:$L,MATCH($B15&amp;D$2&amp;$A$1,jkm_call_put!$G:$G&amp;jkm_call_put!$O:$O&amp;jkm_call_put!$F:$F,0),1),"")</f>
        <v/>
      </c>
      <c r="E15" s="7" t="str" cm="1">
        <f t="array" aca="1" ref="E15" ca="1">_xlfn.IFNA(INDEX(jkm_call_put!$L:$L,MATCH($B15&amp;E$2&amp;$A$1,jkm_call_put!$G:$G&amp;jkm_call_put!$O:$O&amp;jkm_call_put!$F:$F,0),1),"")</f>
        <v/>
      </c>
      <c r="F15" s="7" t="str" cm="1">
        <f t="array" aca="1" ref="F15" ca="1">_xlfn.IFNA(INDEX(jkm_call_put!$L:$L,MATCH($B15&amp;F$2&amp;$A$1,jkm_call_put!$G:$G&amp;jkm_call_put!$O:$O&amp;jkm_call_put!$F:$F,0),1),"")</f>
        <v/>
      </c>
      <c r="G15" s="7" t="str" cm="1">
        <f t="array" aca="1" ref="G15" ca="1">_xlfn.IFNA(INDEX(jkm_call_put!$L:$L,MATCH($B15&amp;G$2&amp;$A$1,jkm_call_put!$G:$G&amp;jkm_call_put!$O:$O&amp;jkm_call_put!$F:$F,0),1),"")</f>
        <v/>
      </c>
      <c r="H15" s="7" cm="1">
        <f t="array" aca="1" ref="H15" ca="1">_xlfn.IFNA(INDEX(jkm_call_put!$L:$L,MATCH($B15&amp;H$2&amp;$A$1,jkm_call_put!$G:$G&amp;jkm_call_put!$O:$O&amp;jkm_call_put!$F:$F,0),1),"")</f>
        <v>61.908499999999997</v>
      </c>
      <c r="I15" s="7" cm="1">
        <f t="array" aca="1" ref="I15" ca="1">_xlfn.IFNA(INDEX(jkm_call_put!$L:$L,MATCH($B15&amp;I$2&amp;$A$1,jkm_call_put!$G:$G&amp;jkm_call_put!$O:$O&amp;jkm_call_put!$F:$F,0),1),"")</f>
        <v>62.561300000000003</v>
      </c>
      <c r="J15" s="7" cm="1">
        <f t="array" aca="1" ref="J15" ca="1">_xlfn.IFNA(INDEX(jkm_call_put!$L:$L,MATCH($B15&amp;J$2&amp;$A$1,jkm_call_put!$G:$G&amp;jkm_call_put!$O:$O&amp;jkm_call_put!$F:$F,0),1),"")</f>
        <v>63.069800000000001</v>
      </c>
      <c r="K15" s="7" cm="1">
        <f t="array" aca="1" ref="K15" ca="1">_xlfn.IFNA(INDEX(jkm_call_put!$L:$L,MATCH($B15&amp;K$2&amp;$A$1,jkm_call_put!$G:$G&amp;jkm_call_put!$O:$O&amp;jkm_call_put!$F:$F,0),1),"")</f>
        <v>63.173200000000001</v>
      </c>
      <c r="L15" s="7" t="str" cm="1">
        <f t="array" aca="1" ref="L15" ca="1">_xlfn.IFNA(INDEX(jkm_call_put!$L:$L,MATCH($B15&amp;L$2&amp;$A$1,jkm_call_put!$G:$G&amp;jkm_call_put!$O:$O&amp;jkm_call_put!$F:$F,0),1),"")</f>
        <v/>
      </c>
      <c r="M15" s="7" t="str" cm="1">
        <f t="array" aca="1" ref="M15" ca="1">_xlfn.IFNA(INDEX(jkm_call_put!$L:$L,MATCH($B15&amp;M$2&amp;$A$1,jkm_call_put!$G:$G&amp;jkm_call_put!$O:$O&amp;jkm_call_put!$F:$F,0),1),"")</f>
        <v/>
      </c>
      <c r="N15" s="7" cm="1">
        <f t="array" aca="1" ref="N15" ca="1">_xlfn.IFNA(INDEX(jkm_call_put!$L:$L,MATCH($B15&amp;N$2&amp;$A$1,jkm_call_put!$G:$G&amp;jkm_call_put!$O:$O&amp;jkm_call_put!$F:$F,0),1),"")</f>
        <v>47.687600000000003</v>
      </c>
      <c r="O15" s="7" cm="1">
        <f t="array" aca="1" ref="O15" ca="1">_xlfn.IFNA(INDEX(jkm_call_put!$L:$L,MATCH($B15&amp;O$2&amp;$A$1,jkm_call_put!$G:$G&amp;jkm_call_put!$O:$O&amp;jkm_call_put!$F:$F,0),1),"")</f>
        <v>47.677599999999998</v>
      </c>
      <c r="P15" s="7" cm="1">
        <f t="array" aca="1" ref="P15" ca="1">_xlfn.IFNA(INDEX(jkm_call_put!$L:$L,MATCH($B15&amp;P$2&amp;$A$1,jkm_call_put!$G:$G&amp;jkm_call_put!$O:$O&amp;jkm_call_put!$F:$F,0),1),"")</f>
        <v>47.871899999999997</v>
      </c>
      <c r="Q15" s="7" cm="1">
        <f t="array" aca="1" ref="Q15" ca="1">_xlfn.IFNA(INDEX(jkm_call_put!$L:$L,MATCH($B15&amp;Q$2&amp;$A$1,jkm_call_put!$G:$G&amp;jkm_call_put!$O:$O&amp;jkm_call_put!$F:$F,0),1),"")</f>
        <v>47.823599999999999</v>
      </c>
      <c r="R15" s="7" cm="1">
        <f t="array" aca="1" ref="R15" ca="1">_xlfn.IFNA(INDEX(jkm_call_put!$L:$L,MATCH($B15&amp;R$2&amp;$A$1,jkm_call_put!$G:$G&amp;jkm_call_put!$O:$O&amp;jkm_call_put!$F:$F,0),1),"")</f>
        <v>47.802399999999999</v>
      </c>
      <c r="S15" s="7" cm="1">
        <f t="array" aca="1" ref="S15" ca="1">_xlfn.IFNA(INDEX(jkm_call_put!$L:$L,MATCH($B15&amp;S$2&amp;$A$1,jkm_call_put!$G:$G&amp;jkm_call_put!$O:$O&amp;jkm_call_put!$F:$F,0),1),"")</f>
        <v>47.8932</v>
      </c>
      <c r="T15" s="7" t="str" cm="1">
        <f t="array" aca="1" ref="T15" ca="1">_xlfn.IFNA(INDEX(jkm_call_put!$L:$L,MATCH($B15&amp;T$2&amp;$A$1,jkm_call_put!$G:$G&amp;jkm_call_put!$O:$O&amp;jkm_call_put!$F:$F,0),1),"")</f>
        <v/>
      </c>
      <c r="U15" s="7" t="str" cm="1">
        <f t="array" aca="1" ref="U15" ca="1">_xlfn.IFNA(INDEX(jkm_call_put!$L:$L,MATCH($B15&amp;U$2&amp;$A$1,jkm_call_put!$G:$G&amp;jkm_call_put!$O:$O&amp;jkm_call_put!$F:$F,0),1),"")</f>
        <v/>
      </c>
      <c r="V15" s="7" t="str" cm="1">
        <f t="array" aca="1" ref="V15" ca="1">_xlfn.IFNA(INDEX(jkm_call_put!$L:$L,MATCH($B15&amp;V$2&amp;$A$1,jkm_call_put!$G:$G&amp;jkm_call_put!$O:$O&amp;jkm_call_put!$F:$F,0),1),"")</f>
        <v/>
      </c>
      <c r="W15" s="7" t="str" cm="1">
        <f t="array" aca="1" ref="W15" ca="1">_xlfn.IFNA(INDEX(jkm_call_put!$L:$L,MATCH($B15&amp;W$2&amp;$A$1,jkm_call_put!$G:$G&amp;jkm_call_put!$O:$O&amp;jkm_call_put!$F:$F,0),1),"")</f>
        <v/>
      </c>
      <c r="X15" s="7" t="str" cm="1">
        <f t="array" aca="1" ref="X15" ca="1">_xlfn.IFNA(INDEX(jkm_call_put!$L:$L,MATCH($B15&amp;X$2&amp;$A$1,jkm_call_put!$G:$G&amp;jkm_call_put!$O:$O&amp;jkm_call_put!$F:$F,0),1),"")</f>
        <v/>
      </c>
      <c r="Y15" s="7" t="str" cm="1">
        <f t="array" aca="1" ref="Y15" ca="1">_xlfn.IFNA(INDEX(jkm_call_put!$L:$L,MATCH($B15&amp;Y$2&amp;$A$1,jkm_call_put!$G:$G&amp;jkm_call_put!$O:$O&amp;jkm_call_put!$F:$F,0),1),"")</f>
        <v/>
      </c>
      <c r="Z15" s="7" t="str" cm="1">
        <f t="array" aca="1" ref="Z15" ca="1">_xlfn.IFNA(INDEX(jkm_call_put!$L:$L,MATCH($B15&amp;Z$2&amp;$A$1,jkm_call_put!$G:$G&amp;jkm_call_put!$O:$O&amp;jkm_call_put!$F:$F,0),1),"")</f>
        <v/>
      </c>
      <c r="AA15" s="7" t="str" cm="1">
        <f t="array" aca="1" ref="AA15" ca="1">_xlfn.IFNA(INDEX(jkm_call_put!$L:$L,MATCH($B15&amp;AA$2&amp;$A$1,jkm_call_put!$G:$G&amp;jkm_call_put!$O:$O&amp;jkm_call_put!$F:$F,0),1),"")</f>
        <v/>
      </c>
      <c r="AB15" s="7" t="str" cm="1">
        <f t="array" aca="1" ref="AB15" ca="1">_xlfn.IFNA(INDEX(jkm_call_put!$L:$L,MATCH($B15&amp;AB$2&amp;$A$1,jkm_call_put!$G:$G&amp;jkm_call_put!$O:$O&amp;jkm_call_put!$F:$F,0),1),"")</f>
        <v/>
      </c>
      <c r="AC15" s="7" t="str" cm="1">
        <f t="array" aca="1" ref="AC15" ca="1">_xlfn.IFNA(INDEX(jkm_call_put!$L:$L,MATCH($B15&amp;AC$2&amp;$A$1,jkm_call_put!$G:$G&amp;jkm_call_put!$O:$O&amp;jkm_call_put!$F:$F,0),1),"")</f>
        <v/>
      </c>
      <c r="AD15" s="7" t="str" cm="1">
        <f t="array" aca="1" ref="AD15" ca="1">_xlfn.IFNA(INDEX(jkm_call_put!$L:$L,MATCH($B15&amp;AD$2&amp;$A$1,jkm_call_put!$G:$G&amp;jkm_call_put!$O:$O&amp;jkm_call_put!$F:$F,0),1),"")</f>
        <v/>
      </c>
      <c r="AE15" s="7" t="str" cm="1">
        <f t="array" aca="1" ref="AE15" ca="1">_xlfn.IFNA(INDEX(jkm_call_put!$L:$L,MATCH($B15&amp;AE$2&amp;$A$1,jkm_call_put!$G:$G&amp;jkm_call_put!$O:$O&amp;jkm_call_put!$F:$F,0),1),"")</f>
        <v/>
      </c>
      <c r="AF15" s="7" t="str" cm="1">
        <f t="array" aca="1" ref="AF15" ca="1">_xlfn.IFNA(INDEX(jkm_call_put!$L:$L,MATCH($B15&amp;AF$2&amp;$A$1,jkm_call_put!$G:$G&amp;jkm_call_put!$O:$O&amp;jkm_call_put!$F:$F,0),1),"")</f>
        <v/>
      </c>
      <c r="AG15" s="7" t="str" cm="1">
        <f t="array" aca="1" ref="AG15" ca="1">_xlfn.IFNA(INDEX(jkm_call_put!$L:$L,MATCH($B15&amp;AG$2&amp;$A$1,jkm_call_put!$G:$G&amp;jkm_call_put!$O:$O&amp;jkm_call_put!$F:$F,0),1),"")</f>
        <v/>
      </c>
      <c r="AH15" s="7" t="str" cm="1">
        <f t="array" aca="1" ref="AH15" ca="1">_xlfn.IFNA(INDEX(jkm_call_put!$L:$L,MATCH($B15&amp;AH$2&amp;$A$1,jkm_call_put!$G:$G&amp;jkm_call_put!$O:$O&amp;jkm_call_put!$F:$F,0),1),"")</f>
        <v/>
      </c>
      <c r="AI15" s="7" t="str" cm="1">
        <f t="array" aca="1" ref="AI15" ca="1">_xlfn.IFNA(INDEX(jkm_call_put!$L:$L,MATCH($B15&amp;AI$2&amp;$A$1,jkm_call_put!$G:$G&amp;jkm_call_put!$O:$O&amp;jkm_call_put!$F:$F,0),1),"")</f>
        <v/>
      </c>
      <c r="AJ15" s="7" t="str" cm="1">
        <f t="array" aca="1" ref="AJ15" ca="1">_xlfn.IFNA(INDEX(jkm_call_put!$L:$L,MATCH($B15&amp;AJ$2&amp;$A$1,jkm_call_put!$G:$G&amp;jkm_call_put!$O:$O&amp;jkm_call_put!$F:$F,0),1),"")</f>
        <v/>
      </c>
      <c r="AK15" s="7" t="str" cm="1">
        <f t="array" aca="1" ref="AK15" ca="1">_xlfn.IFNA(INDEX(jkm_call_put!$L:$L,MATCH($B15&amp;AK$2&amp;$A$1,jkm_call_put!$G:$G&amp;jkm_call_put!$O:$O&amp;jkm_call_put!$F:$F,0),1),"")</f>
        <v/>
      </c>
      <c r="AL15" s="7" t="str" cm="1">
        <f t="array" aca="1" ref="AL15" ca="1">_xlfn.IFNA(INDEX(jkm_call_put!$L:$L,MATCH($B15&amp;AL$2&amp;$A$1,jkm_call_put!$G:$G&amp;jkm_call_put!$O:$O&amp;jkm_call_put!$F:$F,0),1),"")</f>
        <v/>
      </c>
    </row>
    <row r="16" spans="1:38" x14ac:dyDescent="0.25">
      <c r="B16">
        <v>11.5</v>
      </c>
      <c r="C16" s="7" cm="1">
        <f t="array" aca="1" ref="C16" ca="1">_xlfn.IFNA(INDEX(jkm_call_put!$L:$L,MATCH($B16&amp;C$2&amp;$A$1,jkm_call_put!$G:$G&amp;jkm_call_put!$O:$O&amp;jkm_call_put!$F:$F,0),1),"")</f>
        <v>40.952300000000001</v>
      </c>
      <c r="D16" s="7" cm="1">
        <f t="array" aca="1" ref="D16" ca="1">_xlfn.IFNA(INDEX(jkm_call_put!$L:$L,MATCH($B16&amp;D$2&amp;$A$1,jkm_call_put!$G:$G&amp;jkm_call_put!$O:$O&amp;jkm_call_put!$F:$F,0),1),"")</f>
        <v>43.039299999999997</v>
      </c>
      <c r="E16" s="7" t="str" cm="1">
        <f t="array" aca="1" ref="E16" ca="1">_xlfn.IFNA(INDEX(jkm_call_put!$L:$L,MATCH($B16&amp;E$2&amp;$A$1,jkm_call_put!$G:$G&amp;jkm_call_put!$O:$O&amp;jkm_call_put!$F:$F,0),1),"")</f>
        <v/>
      </c>
      <c r="F16" s="7" t="str" cm="1">
        <f t="array" aca="1" ref="F16" ca="1">_xlfn.IFNA(INDEX(jkm_call_put!$L:$L,MATCH($B16&amp;F$2&amp;$A$1,jkm_call_put!$G:$G&amp;jkm_call_put!$O:$O&amp;jkm_call_put!$F:$F,0),1),"")</f>
        <v/>
      </c>
      <c r="G16" s="7" t="str" cm="1">
        <f t="array" aca="1" ref="G16" ca="1">_xlfn.IFNA(INDEX(jkm_call_put!$L:$L,MATCH($B16&amp;G$2&amp;$A$1,jkm_call_put!$G:$G&amp;jkm_call_put!$O:$O&amp;jkm_call_put!$F:$F,0),1),"")</f>
        <v/>
      </c>
      <c r="H16" s="7" t="str" cm="1">
        <f t="array" aca="1" ref="H16" ca="1">_xlfn.IFNA(INDEX(jkm_call_put!$L:$L,MATCH($B16&amp;H$2&amp;$A$1,jkm_call_put!$G:$G&amp;jkm_call_put!$O:$O&amp;jkm_call_put!$F:$F,0),1),"")</f>
        <v/>
      </c>
      <c r="I16" s="7" t="str" cm="1">
        <f t="array" aca="1" ref="I16" ca="1">_xlfn.IFNA(INDEX(jkm_call_put!$L:$L,MATCH($B16&amp;I$2&amp;$A$1,jkm_call_put!$G:$G&amp;jkm_call_put!$O:$O&amp;jkm_call_put!$F:$F,0),1),"")</f>
        <v/>
      </c>
      <c r="J16" s="7" t="str" cm="1">
        <f t="array" aca="1" ref="J16" ca="1">_xlfn.IFNA(INDEX(jkm_call_put!$L:$L,MATCH($B16&amp;J$2&amp;$A$1,jkm_call_put!$G:$G&amp;jkm_call_put!$O:$O&amp;jkm_call_put!$F:$F,0),1),"")</f>
        <v/>
      </c>
      <c r="K16" s="7" t="str" cm="1">
        <f t="array" aca="1" ref="K16" ca="1">_xlfn.IFNA(INDEX(jkm_call_put!$L:$L,MATCH($B16&amp;K$2&amp;$A$1,jkm_call_put!$G:$G&amp;jkm_call_put!$O:$O&amp;jkm_call_put!$F:$F,0),1),"")</f>
        <v/>
      </c>
      <c r="L16" s="7" t="str" cm="1">
        <f t="array" aca="1" ref="L16" ca="1">_xlfn.IFNA(INDEX(jkm_call_put!$L:$L,MATCH($B16&amp;L$2&amp;$A$1,jkm_call_put!$G:$G&amp;jkm_call_put!$O:$O&amp;jkm_call_put!$F:$F,0),1),"")</f>
        <v/>
      </c>
      <c r="M16" s="7" t="str" cm="1">
        <f t="array" aca="1" ref="M16" ca="1">_xlfn.IFNA(INDEX(jkm_call_put!$L:$L,MATCH($B16&amp;M$2&amp;$A$1,jkm_call_put!$G:$G&amp;jkm_call_put!$O:$O&amp;jkm_call_put!$F:$F,0),1),"")</f>
        <v/>
      </c>
      <c r="N16" s="7" t="str" cm="1">
        <f t="array" aca="1" ref="N16" ca="1">_xlfn.IFNA(INDEX(jkm_call_put!$L:$L,MATCH($B16&amp;N$2&amp;$A$1,jkm_call_put!$G:$G&amp;jkm_call_put!$O:$O&amp;jkm_call_put!$F:$F,0),1),"")</f>
        <v/>
      </c>
      <c r="O16" s="7" t="str" cm="1">
        <f t="array" aca="1" ref="O16" ca="1">_xlfn.IFNA(INDEX(jkm_call_put!$L:$L,MATCH($B16&amp;O$2&amp;$A$1,jkm_call_put!$G:$G&amp;jkm_call_put!$O:$O&amp;jkm_call_put!$F:$F,0),1),"")</f>
        <v/>
      </c>
      <c r="P16" s="7" t="str" cm="1">
        <f t="array" aca="1" ref="P16" ca="1">_xlfn.IFNA(INDEX(jkm_call_put!$L:$L,MATCH($B16&amp;P$2&amp;$A$1,jkm_call_put!$G:$G&amp;jkm_call_put!$O:$O&amp;jkm_call_put!$F:$F,0),1),"")</f>
        <v/>
      </c>
      <c r="Q16" s="7" t="str" cm="1">
        <f t="array" aca="1" ref="Q16" ca="1">_xlfn.IFNA(INDEX(jkm_call_put!$L:$L,MATCH($B16&amp;Q$2&amp;$A$1,jkm_call_put!$G:$G&amp;jkm_call_put!$O:$O&amp;jkm_call_put!$F:$F,0),1),"")</f>
        <v/>
      </c>
      <c r="R16" s="7" t="str" cm="1">
        <f t="array" aca="1" ref="R16" ca="1">_xlfn.IFNA(INDEX(jkm_call_put!$L:$L,MATCH($B16&amp;R$2&amp;$A$1,jkm_call_put!$G:$G&amp;jkm_call_put!$O:$O&amp;jkm_call_put!$F:$F,0),1),"")</f>
        <v/>
      </c>
      <c r="S16" s="7" t="str" cm="1">
        <f t="array" aca="1" ref="S16" ca="1">_xlfn.IFNA(INDEX(jkm_call_put!$L:$L,MATCH($B16&amp;S$2&amp;$A$1,jkm_call_put!$G:$G&amp;jkm_call_put!$O:$O&amp;jkm_call_put!$F:$F,0),1),"")</f>
        <v/>
      </c>
      <c r="T16" s="7" t="str" cm="1">
        <f t="array" aca="1" ref="T16" ca="1">_xlfn.IFNA(INDEX(jkm_call_put!$L:$L,MATCH($B16&amp;T$2&amp;$A$1,jkm_call_put!$G:$G&amp;jkm_call_put!$O:$O&amp;jkm_call_put!$F:$F,0),1),"")</f>
        <v/>
      </c>
      <c r="U16" s="7" t="str" cm="1">
        <f t="array" aca="1" ref="U16" ca="1">_xlfn.IFNA(INDEX(jkm_call_put!$L:$L,MATCH($B16&amp;U$2&amp;$A$1,jkm_call_put!$G:$G&amp;jkm_call_put!$O:$O&amp;jkm_call_put!$F:$F,0),1),"")</f>
        <v/>
      </c>
      <c r="V16" s="7" t="str" cm="1">
        <f t="array" aca="1" ref="V16" ca="1">_xlfn.IFNA(INDEX(jkm_call_put!$L:$L,MATCH($B16&amp;V$2&amp;$A$1,jkm_call_put!$G:$G&amp;jkm_call_put!$O:$O&amp;jkm_call_put!$F:$F,0),1),"")</f>
        <v/>
      </c>
      <c r="W16" s="7" t="str" cm="1">
        <f t="array" aca="1" ref="W16" ca="1">_xlfn.IFNA(INDEX(jkm_call_put!$L:$L,MATCH($B16&amp;W$2&amp;$A$1,jkm_call_put!$G:$G&amp;jkm_call_put!$O:$O&amp;jkm_call_put!$F:$F,0),1),"")</f>
        <v/>
      </c>
      <c r="X16" s="7" t="str" cm="1">
        <f t="array" aca="1" ref="X16" ca="1">_xlfn.IFNA(INDEX(jkm_call_put!$L:$L,MATCH($B16&amp;X$2&amp;$A$1,jkm_call_put!$G:$G&amp;jkm_call_put!$O:$O&amp;jkm_call_put!$F:$F,0),1),"")</f>
        <v/>
      </c>
      <c r="Y16" s="7" t="str" cm="1">
        <f t="array" aca="1" ref="Y16" ca="1">_xlfn.IFNA(INDEX(jkm_call_put!$L:$L,MATCH($B16&amp;Y$2&amp;$A$1,jkm_call_put!$G:$G&amp;jkm_call_put!$O:$O&amp;jkm_call_put!$F:$F,0),1),"")</f>
        <v/>
      </c>
      <c r="Z16" s="7" t="str" cm="1">
        <f t="array" aca="1" ref="Z16" ca="1">_xlfn.IFNA(INDEX(jkm_call_put!$L:$L,MATCH($B16&amp;Z$2&amp;$A$1,jkm_call_put!$G:$G&amp;jkm_call_put!$O:$O&amp;jkm_call_put!$F:$F,0),1),"")</f>
        <v/>
      </c>
      <c r="AA16" s="7" t="str" cm="1">
        <f t="array" aca="1" ref="AA16" ca="1">_xlfn.IFNA(INDEX(jkm_call_put!$L:$L,MATCH($B16&amp;AA$2&amp;$A$1,jkm_call_put!$G:$G&amp;jkm_call_put!$O:$O&amp;jkm_call_put!$F:$F,0),1),"")</f>
        <v/>
      </c>
      <c r="AB16" s="7" t="str" cm="1">
        <f t="array" aca="1" ref="AB16" ca="1">_xlfn.IFNA(INDEX(jkm_call_put!$L:$L,MATCH($B16&amp;AB$2&amp;$A$1,jkm_call_put!$G:$G&amp;jkm_call_put!$O:$O&amp;jkm_call_put!$F:$F,0),1),"")</f>
        <v/>
      </c>
      <c r="AC16" s="7" t="str" cm="1">
        <f t="array" aca="1" ref="AC16" ca="1">_xlfn.IFNA(INDEX(jkm_call_put!$L:$L,MATCH($B16&amp;AC$2&amp;$A$1,jkm_call_put!$G:$G&amp;jkm_call_put!$O:$O&amp;jkm_call_put!$F:$F,0),1),"")</f>
        <v/>
      </c>
      <c r="AD16" s="7" t="str" cm="1">
        <f t="array" aca="1" ref="AD16" ca="1">_xlfn.IFNA(INDEX(jkm_call_put!$L:$L,MATCH($B16&amp;AD$2&amp;$A$1,jkm_call_put!$G:$G&amp;jkm_call_put!$O:$O&amp;jkm_call_put!$F:$F,0),1),"")</f>
        <v/>
      </c>
      <c r="AE16" s="7" t="str" cm="1">
        <f t="array" aca="1" ref="AE16" ca="1">_xlfn.IFNA(INDEX(jkm_call_put!$L:$L,MATCH($B16&amp;AE$2&amp;$A$1,jkm_call_put!$G:$G&amp;jkm_call_put!$O:$O&amp;jkm_call_put!$F:$F,0),1),"")</f>
        <v/>
      </c>
      <c r="AF16" s="7" t="str" cm="1">
        <f t="array" aca="1" ref="AF16" ca="1">_xlfn.IFNA(INDEX(jkm_call_put!$L:$L,MATCH($B16&amp;AF$2&amp;$A$1,jkm_call_put!$G:$G&amp;jkm_call_put!$O:$O&amp;jkm_call_put!$F:$F,0),1),"")</f>
        <v/>
      </c>
      <c r="AG16" s="7" t="str" cm="1">
        <f t="array" aca="1" ref="AG16" ca="1">_xlfn.IFNA(INDEX(jkm_call_put!$L:$L,MATCH($B16&amp;AG$2&amp;$A$1,jkm_call_put!$G:$G&amp;jkm_call_put!$O:$O&amp;jkm_call_put!$F:$F,0),1),"")</f>
        <v/>
      </c>
      <c r="AH16" s="7" t="str" cm="1">
        <f t="array" aca="1" ref="AH16" ca="1">_xlfn.IFNA(INDEX(jkm_call_put!$L:$L,MATCH($B16&amp;AH$2&amp;$A$1,jkm_call_put!$G:$G&amp;jkm_call_put!$O:$O&amp;jkm_call_put!$F:$F,0),1),"")</f>
        <v/>
      </c>
      <c r="AI16" s="7" t="str" cm="1">
        <f t="array" aca="1" ref="AI16" ca="1">_xlfn.IFNA(INDEX(jkm_call_put!$L:$L,MATCH($B16&amp;AI$2&amp;$A$1,jkm_call_put!$G:$G&amp;jkm_call_put!$O:$O&amp;jkm_call_put!$F:$F,0),1),"")</f>
        <v/>
      </c>
      <c r="AJ16" s="7" t="str" cm="1">
        <f t="array" aca="1" ref="AJ16" ca="1">_xlfn.IFNA(INDEX(jkm_call_put!$L:$L,MATCH($B16&amp;AJ$2&amp;$A$1,jkm_call_put!$G:$G&amp;jkm_call_put!$O:$O&amp;jkm_call_put!$F:$F,0),1),"")</f>
        <v/>
      </c>
      <c r="AK16" s="7" t="str" cm="1">
        <f t="array" aca="1" ref="AK16" ca="1">_xlfn.IFNA(INDEX(jkm_call_put!$L:$L,MATCH($B16&amp;AK$2&amp;$A$1,jkm_call_put!$G:$G&amp;jkm_call_put!$O:$O&amp;jkm_call_put!$F:$F,0),1),"")</f>
        <v/>
      </c>
      <c r="AL16" s="7" t="str" cm="1">
        <f t="array" aca="1" ref="AL16" ca="1">_xlfn.IFNA(INDEX(jkm_call_put!$L:$L,MATCH($B16&amp;AL$2&amp;$A$1,jkm_call_put!$G:$G&amp;jkm_call_put!$O:$O&amp;jkm_call_put!$F:$F,0),1),"")</f>
        <v/>
      </c>
    </row>
    <row r="17" spans="2:38" x14ac:dyDescent="0.25">
      <c r="B17">
        <v>12.5</v>
      </c>
      <c r="C17" s="7" cm="1">
        <f t="array" aca="1" ref="C17" ca="1">_xlfn.IFNA(INDEX(jkm_call_put!$L:$L,MATCH($B17&amp;C$2&amp;$A$1,jkm_call_put!$G:$G&amp;jkm_call_put!$O:$O&amp;jkm_call_put!$F:$F,0),1),"")</f>
        <v>34.6265</v>
      </c>
      <c r="D17" s="7" cm="1">
        <f t="array" aca="1" ref="D17" ca="1">_xlfn.IFNA(INDEX(jkm_call_put!$L:$L,MATCH($B17&amp;D$2&amp;$A$1,jkm_call_put!$G:$G&amp;jkm_call_put!$O:$O&amp;jkm_call_put!$F:$F,0),1),"")</f>
        <v>43.028100000000002</v>
      </c>
      <c r="E17" s="7" cm="1">
        <f t="array" aca="1" ref="E17" ca="1">_xlfn.IFNA(INDEX(jkm_call_put!$L:$L,MATCH($B17&amp;E$2&amp;$A$1,jkm_call_put!$G:$G&amp;jkm_call_put!$O:$O&amp;jkm_call_put!$F:$F,0),1),"")</f>
        <v>75.221199999999996</v>
      </c>
      <c r="F17" s="7" cm="1">
        <f t="array" aca="1" ref="F17" ca="1">_xlfn.IFNA(INDEX(jkm_call_put!$L:$L,MATCH($B17&amp;F$2&amp;$A$1,jkm_call_put!$G:$G&amp;jkm_call_put!$O:$O&amp;jkm_call_put!$F:$F,0),1),"")</f>
        <v>77.630799999999994</v>
      </c>
      <c r="G17" s="7" cm="1">
        <f t="array" aca="1" ref="G17" ca="1">_xlfn.IFNA(INDEX(jkm_call_put!$L:$L,MATCH($B17&amp;G$2&amp;$A$1,jkm_call_put!$G:$G&amp;jkm_call_put!$O:$O&amp;jkm_call_put!$F:$F,0),1),"")</f>
        <v>79.247</v>
      </c>
      <c r="H17" s="7" t="str" cm="1">
        <f t="array" aca="1" ref="H17" ca="1">_xlfn.IFNA(INDEX(jkm_call_put!$L:$L,MATCH($B17&amp;H$2&amp;$A$1,jkm_call_put!$G:$G&amp;jkm_call_put!$O:$O&amp;jkm_call_put!$F:$F,0),1),"")</f>
        <v/>
      </c>
      <c r="I17" s="7" t="str" cm="1">
        <f t="array" aca="1" ref="I17" ca="1">_xlfn.IFNA(INDEX(jkm_call_put!$L:$L,MATCH($B17&amp;I$2&amp;$A$1,jkm_call_put!$G:$G&amp;jkm_call_put!$O:$O&amp;jkm_call_put!$F:$F,0),1),"")</f>
        <v/>
      </c>
      <c r="J17" s="7" t="str" cm="1">
        <f t="array" aca="1" ref="J17" ca="1">_xlfn.IFNA(INDEX(jkm_call_put!$L:$L,MATCH($B17&amp;J$2&amp;$A$1,jkm_call_put!$G:$G&amp;jkm_call_put!$O:$O&amp;jkm_call_put!$F:$F,0),1),"")</f>
        <v/>
      </c>
      <c r="K17" s="7" t="str" cm="1">
        <f t="array" aca="1" ref="K17" ca="1">_xlfn.IFNA(INDEX(jkm_call_put!$L:$L,MATCH($B17&amp;K$2&amp;$A$1,jkm_call_put!$G:$G&amp;jkm_call_put!$O:$O&amp;jkm_call_put!$F:$F,0),1),"")</f>
        <v/>
      </c>
      <c r="L17" s="7" t="str" cm="1">
        <f t="array" aca="1" ref="L17" ca="1">_xlfn.IFNA(INDEX(jkm_call_put!$L:$L,MATCH($B17&amp;L$2&amp;$A$1,jkm_call_put!$G:$G&amp;jkm_call_put!$O:$O&amp;jkm_call_put!$F:$F,0),1),"")</f>
        <v/>
      </c>
      <c r="M17" s="7" t="str" cm="1">
        <f t="array" aca="1" ref="M17" ca="1">_xlfn.IFNA(INDEX(jkm_call_put!$L:$L,MATCH($B17&amp;M$2&amp;$A$1,jkm_call_put!$G:$G&amp;jkm_call_put!$O:$O&amp;jkm_call_put!$F:$F,0),1),"")</f>
        <v/>
      </c>
      <c r="N17" s="7" t="str" cm="1">
        <f t="array" aca="1" ref="N17" ca="1">_xlfn.IFNA(INDEX(jkm_call_put!$L:$L,MATCH($B17&amp;N$2&amp;$A$1,jkm_call_put!$G:$G&amp;jkm_call_put!$O:$O&amp;jkm_call_put!$F:$F,0),1),"")</f>
        <v/>
      </c>
      <c r="O17" s="7" t="str" cm="1">
        <f t="array" aca="1" ref="O17" ca="1">_xlfn.IFNA(INDEX(jkm_call_put!$L:$L,MATCH($B17&amp;O$2&amp;$A$1,jkm_call_put!$G:$G&amp;jkm_call_put!$O:$O&amp;jkm_call_put!$F:$F,0),1),"")</f>
        <v/>
      </c>
      <c r="P17" s="7" t="str" cm="1">
        <f t="array" aca="1" ref="P17" ca="1">_xlfn.IFNA(INDEX(jkm_call_put!$L:$L,MATCH($B17&amp;P$2&amp;$A$1,jkm_call_put!$G:$G&amp;jkm_call_put!$O:$O&amp;jkm_call_put!$F:$F,0),1),"")</f>
        <v/>
      </c>
      <c r="Q17" s="7" t="str" cm="1">
        <f t="array" aca="1" ref="Q17" ca="1">_xlfn.IFNA(INDEX(jkm_call_put!$L:$L,MATCH($B17&amp;Q$2&amp;$A$1,jkm_call_put!$G:$G&amp;jkm_call_put!$O:$O&amp;jkm_call_put!$F:$F,0),1),"")</f>
        <v/>
      </c>
      <c r="R17" s="7" t="str" cm="1">
        <f t="array" aca="1" ref="R17" ca="1">_xlfn.IFNA(INDEX(jkm_call_put!$L:$L,MATCH($B17&amp;R$2&amp;$A$1,jkm_call_put!$G:$G&amp;jkm_call_put!$O:$O&amp;jkm_call_put!$F:$F,0),1),"")</f>
        <v/>
      </c>
      <c r="S17" s="7" t="str" cm="1">
        <f t="array" aca="1" ref="S17" ca="1">_xlfn.IFNA(INDEX(jkm_call_put!$L:$L,MATCH($B17&amp;S$2&amp;$A$1,jkm_call_put!$G:$G&amp;jkm_call_put!$O:$O&amp;jkm_call_put!$F:$F,0),1),"")</f>
        <v/>
      </c>
      <c r="T17" s="7" t="str" cm="1">
        <f t="array" aca="1" ref="T17" ca="1">_xlfn.IFNA(INDEX(jkm_call_put!$L:$L,MATCH($B17&amp;T$2&amp;$A$1,jkm_call_put!$G:$G&amp;jkm_call_put!$O:$O&amp;jkm_call_put!$F:$F,0),1),"")</f>
        <v/>
      </c>
      <c r="U17" s="7" t="str" cm="1">
        <f t="array" aca="1" ref="U17" ca="1">_xlfn.IFNA(INDEX(jkm_call_put!$L:$L,MATCH($B17&amp;U$2&amp;$A$1,jkm_call_put!$G:$G&amp;jkm_call_put!$O:$O&amp;jkm_call_put!$F:$F,0),1),"")</f>
        <v/>
      </c>
      <c r="V17" s="7" t="str" cm="1">
        <f t="array" aca="1" ref="V17" ca="1">_xlfn.IFNA(INDEX(jkm_call_put!$L:$L,MATCH($B17&amp;V$2&amp;$A$1,jkm_call_put!$G:$G&amp;jkm_call_put!$O:$O&amp;jkm_call_put!$F:$F,0),1),"")</f>
        <v/>
      </c>
      <c r="W17" s="7" t="str" cm="1">
        <f t="array" aca="1" ref="W17" ca="1">_xlfn.IFNA(INDEX(jkm_call_put!$L:$L,MATCH($B17&amp;W$2&amp;$A$1,jkm_call_put!$G:$G&amp;jkm_call_put!$O:$O&amp;jkm_call_put!$F:$F,0),1),"")</f>
        <v/>
      </c>
      <c r="X17" s="7" t="str" cm="1">
        <f t="array" aca="1" ref="X17" ca="1">_xlfn.IFNA(INDEX(jkm_call_put!$L:$L,MATCH($B17&amp;X$2&amp;$A$1,jkm_call_put!$G:$G&amp;jkm_call_put!$O:$O&amp;jkm_call_put!$F:$F,0),1),"")</f>
        <v/>
      </c>
      <c r="Y17" s="7" t="str" cm="1">
        <f t="array" aca="1" ref="Y17" ca="1">_xlfn.IFNA(INDEX(jkm_call_put!$L:$L,MATCH($B17&amp;Y$2&amp;$A$1,jkm_call_put!$G:$G&amp;jkm_call_put!$O:$O&amp;jkm_call_put!$F:$F,0),1),"")</f>
        <v/>
      </c>
      <c r="Z17" s="7" t="str" cm="1">
        <f t="array" aca="1" ref="Z17" ca="1">_xlfn.IFNA(INDEX(jkm_call_put!$L:$L,MATCH($B17&amp;Z$2&amp;$A$1,jkm_call_put!$G:$G&amp;jkm_call_put!$O:$O&amp;jkm_call_put!$F:$F,0),1),"")</f>
        <v/>
      </c>
      <c r="AA17" s="7" t="str" cm="1">
        <f t="array" aca="1" ref="AA17" ca="1">_xlfn.IFNA(INDEX(jkm_call_put!$L:$L,MATCH($B17&amp;AA$2&amp;$A$1,jkm_call_put!$G:$G&amp;jkm_call_put!$O:$O&amp;jkm_call_put!$F:$F,0),1),"")</f>
        <v/>
      </c>
      <c r="AB17" s="7" t="str" cm="1">
        <f t="array" aca="1" ref="AB17" ca="1">_xlfn.IFNA(INDEX(jkm_call_put!$L:$L,MATCH($B17&amp;AB$2&amp;$A$1,jkm_call_put!$G:$G&amp;jkm_call_put!$O:$O&amp;jkm_call_put!$F:$F,0),1),"")</f>
        <v/>
      </c>
      <c r="AC17" s="7" t="str" cm="1">
        <f t="array" aca="1" ref="AC17" ca="1">_xlfn.IFNA(INDEX(jkm_call_put!$L:$L,MATCH($B17&amp;AC$2&amp;$A$1,jkm_call_put!$G:$G&amp;jkm_call_put!$O:$O&amp;jkm_call_put!$F:$F,0),1),"")</f>
        <v/>
      </c>
      <c r="AD17" s="7" t="str" cm="1">
        <f t="array" aca="1" ref="AD17" ca="1">_xlfn.IFNA(INDEX(jkm_call_put!$L:$L,MATCH($B17&amp;AD$2&amp;$A$1,jkm_call_put!$G:$G&amp;jkm_call_put!$O:$O&amp;jkm_call_put!$F:$F,0),1),"")</f>
        <v/>
      </c>
      <c r="AE17" s="7" t="str" cm="1">
        <f t="array" aca="1" ref="AE17" ca="1">_xlfn.IFNA(INDEX(jkm_call_put!$L:$L,MATCH($B17&amp;AE$2&amp;$A$1,jkm_call_put!$G:$G&amp;jkm_call_put!$O:$O&amp;jkm_call_put!$F:$F,0),1),"")</f>
        <v/>
      </c>
      <c r="AF17" s="7" t="str" cm="1">
        <f t="array" aca="1" ref="AF17" ca="1">_xlfn.IFNA(INDEX(jkm_call_put!$L:$L,MATCH($B17&amp;AF$2&amp;$A$1,jkm_call_put!$G:$G&amp;jkm_call_put!$O:$O&amp;jkm_call_put!$F:$F,0),1),"")</f>
        <v/>
      </c>
      <c r="AG17" s="7" t="str" cm="1">
        <f t="array" aca="1" ref="AG17" ca="1">_xlfn.IFNA(INDEX(jkm_call_put!$L:$L,MATCH($B17&amp;AG$2&amp;$A$1,jkm_call_put!$G:$G&amp;jkm_call_put!$O:$O&amp;jkm_call_put!$F:$F,0),1),"")</f>
        <v/>
      </c>
      <c r="AH17" s="7" t="str" cm="1">
        <f t="array" aca="1" ref="AH17" ca="1">_xlfn.IFNA(INDEX(jkm_call_put!$L:$L,MATCH($B17&amp;AH$2&amp;$A$1,jkm_call_put!$G:$G&amp;jkm_call_put!$O:$O&amp;jkm_call_put!$F:$F,0),1),"")</f>
        <v/>
      </c>
      <c r="AI17" s="7" t="str" cm="1">
        <f t="array" aca="1" ref="AI17" ca="1">_xlfn.IFNA(INDEX(jkm_call_put!$L:$L,MATCH($B17&amp;AI$2&amp;$A$1,jkm_call_put!$G:$G&amp;jkm_call_put!$O:$O&amp;jkm_call_put!$F:$F,0),1),"")</f>
        <v/>
      </c>
      <c r="AJ17" s="7" t="str" cm="1">
        <f t="array" aca="1" ref="AJ17" ca="1">_xlfn.IFNA(INDEX(jkm_call_put!$L:$L,MATCH($B17&amp;AJ$2&amp;$A$1,jkm_call_put!$G:$G&amp;jkm_call_put!$O:$O&amp;jkm_call_put!$F:$F,0),1),"")</f>
        <v/>
      </c>
      <c r="AK17" s="7" t="str" cm="1">
        <f t="array" aca="1" ref="AK17" ca="1">_xlfn.IFNA(INDEX(jkm_call_put!$L:$L,MATCH($B17&amp;AK$2&amp;$A$1,jkm_call_put!$G:$G&amp;jkm_call_put!$O:$O&amp;jkm_call_put!$F:$F,0),1),"")</f>
        <v/>
      </c>
      <c r="AL17" s="7" t="str" cm="1">
        <f t="array" aca="1" ref="AL17" ca="1">_xlfn.IFNA(INDEX(jkm_call_put!$L:$L,MATCH($B17&amp;AL$2&amp;$A$1,jkm_call_put!$G:$G&amp;jkm_call_put!$O:$O&amp;jkm_call_put!$F:$F,0),1),"")</f>
        <v/>
      </c>
    </row>
    <row r="18" spans="2:38" x14ac:dyDescent="0.25">
      <c r="B18">
        <v>13</v>
      </c>
      <c r="C18" s="7" cm="1">
        <f t="array" aca="1" ref="C18" ca="1">_xlfn.IFNA(INDEX(jkm_call_put!$L:$L,MATCH($B18&amp;C$2&amp;$A$1,jkm_call_put!$G:$G&amp;jkm_call_put!$O:$O&amp;jkm_call_put!$F:$F,0),1),"")</f>
        <v>31.642499999999998</v>
      </c>
      <c r="D18" s="7" cm="1">
        <f t="array" aca="1" ref="D18" ca="1">_xlfn.IFNA(INDEX(jkm_call_put!$L:$L,MATCH($B18&amp;D$2&amp;$A$1,jkm_call_put!$G:$G&amp;jkm_call_put!$O:$O&amp;jkm_call_put!$F:$F,0),1),"")</f>
        <v>43.022500000000001</v>
      </c>
      <c r="E18" s="7" cm="1">
        <f t="array" aca="1" ref="E18" ca="1">_xlfn.IFNA(INDEX(jkm_call_put!$L:$L,MATCH($B18&amp;E$2&amp;$A$1,jkm_call_put!$G:$G&amp;jkm_call_put!$O:$O&amp;jkm_call_put!$F:$F,0),1),"")</f>
        <v>75.222099999999998</v>
      </c>
      <c r="F18" s="7" cm="1">
        <f t="array" aca="1" ref="F18" ca="1">_xlfn.IFNA(INDEX(jkm_call_put!$L:$L,MATCH($B18&amp;F$2&amp;$A$1,jkm_call_put!$G:$G&amp;jkm_call_put!$O:$O&amp;jkm_call_put!$F:$F,0),1),"")</f>
        <v>77.631600000000006</v>
      </c>
      <c r="G18" s="7" cm="1">
        <f t="array" aca="1" ref="G18" ca="1">_xlfn.IFNA(INDEX(jkm_call_put!$L:$L,MATCH($B18&amp;G$2&amp;$A$1,jkm_call_put!$G:$G&amp;jkm_call_put!$O:$O&amp;jkm_call_put!$F:$F,0),1),"")</f>
        <v>79.248000000000005</v>
      </c>
      <c r="H18" s="7" cm="1">
        <f t="array" aca="1" ref="H18" ca="1">_xlfn.IFNA(INDEX(jkm_call_put!$L:$L,MATCH($B18&amp;H$2&amp;$A$1,jkm_call_put!$G:$G&amp;jkm_call_put!$O:$O&amp;jkm_call_put!$F:$F,0),1),"")</f>
        <v>62.006700000000002</v>
      </c>
      <c r="I18" s="7" cm="1">
        <f t="array" aca="1" ref="I18" ca="1">_xlfn.IFNA(INDEX(jkm_call_put!$L:$L,MATCH($B18&amp;I$2&amp;$A$1,jkm_call_put!$G:$G&amp;jkm_call_put!$O:$O&amp;jkm_call_put!$F:$F,0),1),"")</f>
        <v>62.6601</v>
      </c>
      <c r="J18" s="7" cm="1">
        <f t="array" aca="1" ref="J18" ca="1">_xlfn.IFNA(INDEX(jkm_call_put!$L:$L,MATCH($B18&amp;J$2&amp;$A$1,jkm_call_put!$G:$G&amp;jkm_call_put!$O:$O&amp;jkm_call_put!$F:$F,0),1),"")</f>
        <v>63.168900000000001</v>
      </c>
      <c r="K18" s="7" cm="1">
        <f t="array" aca="1" ref="K18" ca="1">_xlfn.IFNA(INDEX(jkm_call_put!$L:$L,MATCH($B18&amp;K$2&amp;$A$1,jkm_call_put!$G:$G&amp;jkm_call_put!$O:$O&amp;jkm_call_put!$F:$F,0),1),"")</f>
        <v>63.272599999999997</v>
      </c>
      <c r="L18" s="7" cm="1">
        <f t="array" aca="1" ref="L18" ca="1">_xlfn.IFNA(INDEX(jkm_call_put!$L:$L,MATCH($B18&amp;L$2&amp;$A$1,jkm_call_put!$G:$G&amp;jkm_call_put!$O:$O&amp;jkm_call_put!$F:$F,0),1),"")</f>
        <v>63.557299999999998</v>
      </c>
      <c r="M18" s="7" cm="1">
        <f t="array" aca="1" ref="M18" ca="1">_xlfn.IFNA(INDEX(jkm_call_put!$L:$L,MATCH($B18&amp;M$2&amp;$A$1,jkm_call_put!$G:$G&amp;jkm_call_put!$O:$O&amp;jkm_call_put!$F:$F,0),1),"")</f>
        <v>63.750999999999998</v>
      </c>
      <c r="N18" s="7" t="str" cm="1">
        <f t="array" aca="1" ref="N18" ca="1">_xlfn.IFNA(INDEX(jkm_call_put!$L:$L,MATCH($B18&amp;N$2&amp;$A$1,jkm_call_put!$G:$G&amp;jkm_call_put!$O:$O&amp;jkm_call_put!$F:$F,0),1),"")</f>
        <v/>
      </c>
      <c r="O18" s="7" t="str" cm="1">
        <f t="array" aca="1" ref="O18" ca="1">_xlfn.IFNA(INDEX(jkm_call_put!$L:$L,MATCH($B18&amp;O$2&amp;$A$1,jkm_call_put!$G:$G&amp;jkm_call_put!$O:$O&amp;jkm_call_put!$F:$F,0),1),"")</f>
        <v/>
      </c>
      <c r="P18" s="7" t="str" cm="1">
        <f t="array" aca="1" ref="P18" ca="1">_xlfn.IFNA(INDEX(jkm_call_put!$L:$L,MATCH($B18&amp;P$2&amp;$A$1,jkm_call_put!$G:$G&amp;jkm_call_put!$O:$O&amp;jkm_call_put!$F:$F,0),1),"")</f>
        <v/>
      </c>
      <c r="Q18" s="7" t="str" cm="1">
        <f t="array" aca="1" ref="Q18" ca="1">_xlfn.IFNA(INDEX(jkm_call_put!$L:$L,MATCH($B18&amp;Q$2&amp;$A$1,jkm_call_put!$G:$G&amp;jkm_call_put!$O:$O&amp;jkm_call_put!$F:$F,0),1),"")</f>
        <v/>
      </c>
      <c r="R18" s="7" t="str" cm="1">
        <f t="array" aca="1" ref="R18" ca="1">_xlfn.IFNA(INDEX(jkm_call_put!$L:$L,MATCH($B18&amp;R$2&amp;$A$1,jkm_call_put!$G:$G&amp;jkm_call_put!$O:$O&amp;jkm_call_put!$F:$F,0),1),"")</f>
        <v/>
      </c>
      <c r="S18" s="7" t="str" cm="1">
        <f t="array" aca="1" ref="S18" ca="1">_xlfn.IFNA(INDEX(jkm_call_put!$L:$L,MATCH($B18&amp;S$2&amp;$A$1,jkm_call_put!$G:$G&amp;jkm_call_put!$O:$O&amp;jkm_call_put!$F:$F,0),1),"")</f>
        <v/>
      </c>
      <c r="T18" s="7" t="str" cm="1">
        <f t="array" aca="1" ref="T18" ca="1">_xlfn.IFNA(INDEX(jkm_call_put!$L:$L,MATCH($B18&amp;T$2&amp;$A$1,jkm_call_put!$G:$G&amp;jkm_call_put!$O:$O&amp;jkm_call_put!$F:$F,0),1),"")</f>
        <v/>
      </c>
      <c r="U18" s="7" t="str" cm="1">
        <f t="array" aca="1" ref="U18" ca="1">_xlfn.IFNA(INDEX(jkm_call_put!$L:$L,MATCH($B18&amp;U$2&amp;$A$1,jkm_call_put!$G:$G&amp;jkm_call_put!$O:$O&amp;jkm_call_put!$F:$F,0),1),"")</f>
        <v/>
      </c>
      <c r="V18" s="7" t="str" cm="1">
        <f t="array" aca="1" ref="V18" ca="1">_xlfn.IFNA(INDEX(jkm_call_put!$L:$L,MATCH($B18&amp;V$2&amp;$A$1,jkm_call_put!$G:$G&amp;jkm_call_put!$O:$O&amp;jkm_call_put!$F:$F,0),1),"")</f>
        <v/>
      </c>
      <c r="W18" s="7" cm="1">
        <f t="array" aca="1" ref="W18" ca="1">_xlfn.IFNA(INDEX(jkm_call_put!$L:$L,MATCH($B18&amp;W$2&amp;$A$1,jkm_call_put!$G:$G&amp;jkm_call_put!$O:$O&amp;jkm_call_put!$F:$F,0),1),"")</f>
        <v>34.827599999999997</v>
      </c>
      <c r="X18" s="7" cm="1">
        <f t="array" aca="1" ref="X18" ca="1">_xlfn.IFNA(INDEX(jkm_call_put!$L:$L,MATCH($B18&amp;X$2&amp;$A$1,jkm_call_put!$G:$G&amp;jkm_call_put!$O:$O&amp;jkm_call_put!$F:$F,0),1),"")</f>
        <v>34.875900000000001</v>
      </c>
      <c r="Y18" s="7" cm="1">
        <f t="array" aca="1" ref="Y18" ca="1">_xlfn.IFNA(INDEX(jkm_call_put!$L:$L,MATCH($B18&amp;Y$2&amp;$A$1,jkm_call_put!$G:$G&amp;jkm_call_put!$O:$O&amp;jkm_call_put!$F:$F,0),1),"")</f>
        <v>34.854900000000001</v>
      </c>
      <c r="Z18" s="7" cm="1">
        <f t="array" aca="1" ref="Z18" ca="1">_xlfn.IFNA(INDEX(jkm_call_put!$L:$L,MATCH($B18&amp;Z$2&amp;$A$1,jkm_call_put!$G:$G&amp;jkm_call_put!$O:$O&amp;jkm_call_put!$F:$F,0),1),"")</f>
        <v>30.038699999999999</v>
      </c>
      <c r="AA18" s="7" cm="1">
        <f t="array" aca="1" ref="AA18" ca="1">_xlfn.IFNA(INDEX(jkm_call_put!$L:$L,MATCH($B18&amp;AA$2&amp;$A$1,jkm_call_put!$G:$G&amp;jkm_call_put!$O:$O&amp;jkm_call_put!$F:$F,0),1),"")</f>
        <v>30.0595</v>
      </c>
      <c r="AB18" s="7" cm="1">
        <f t="array" aca="1" ref="AB18" ca="1">_xlfn.IFNA(INDEX(jkm_call_put!$L:$L,MATCH($B18&amp;AB$2&amp;$A$1,jkm_call_put!$G:$G&amp;jkm_call_put!$O:$O&amp;jkm_call_put!$F:$F,0),1),"")</f>
        <v>30.034500000000001</v>
      </c>
      <c r="AC18" s="7" cm="1">
        <f t="array" aca="1" ref="AC18" ca="1">_xlfn.IFNA(INDEX(jkm_call_put!$L:$L,MATCH($B18&amp;AC$2&amp;$A$1,jkm_call_put!$G:$G&amp;jkm_call_put!$O:$O&amp;jkm_call_put!$F:$F,0),1),"")</f>
        <v>30.053799999999999</v>
      </c>
      <c r="AD18" s="7" cm="1">
        <f t="array" aca="1" ref="AD18" ca="1">_xlfn.IFNA(INDEX(jkm_call_put!$L:$L,MATCH($B18&amp;AD$2&amp;$A$1,jkm_call_put!$G:$G&amp;jkm_call_put!$O:$O&amp;jkm_call_put!$F:$F,0),1),"")</f>
        <v>30.107600000000001</v>
      </c>
      <c r="AE18" s="7" cm="1">
        <f t="array" aca="1" ref="AE18" ca="1">_xlfn.IFNA(INDEX(jkm_call_put!$L:$L,MATCH($B18&amp;AE$2&amp;$A$1,jkm_call_put!$G:$G&amp;jkm_call_put!$O:$O&amp;jkm_call_put!$F:$F,0),1),"")</f>
        <v>30.077000000000002</v>
      </c>
      <c r="AF18" s="7" cm="1">
        <f t="array" aca="1" ref="AF18" ca="1">_xlfn.IFNA(INDEX(jkm_call_put!$L:$L,MATCH($B18&amp;AF$2&amp;$A$1,jkm_call_put!$G:$G&amp;jkm_call_put!$O:$O&amp;jkm_call_put!$F:$F,0),1),"")</f>
        <v>35.042099999999998</v>
      </c>
      <c r="AG18" s="7" cm="1">
        <f t="array" aca="1" ref="AG18" ca="1">_xlfn.IFNA(INDEX(jkm_call_put!$L:$L,MATCH($B18&amp;AG$2&amp;$A$1,jkm_call_put!$G:$G&amp;jkm_call_put!$O:$O&amp;jkm_call_put!$F:$F,0),1),"")</f>
        <v>35.111800000000002</v>
      </c>
      <c r="AH18" s="7" cm="1">
        <f t="array" aca="1" ref="AH18" ca="1">_xlfn.IFNA(INDEX(jkm_call_put!$L:$L,MATCH($B18&amp;AH$2&amp;$A$1,jkm_call_put!$G:$G&amp;jkm_call_put!$O:$O&amp;jkm_call_put!$F:$F,0),1),"")</f>
        <v>35.072499999999998</v>
      </c>
      <c r="AI18" s="7" t="str" cm="1">
        <f t="array" aca="1" ref="AI18" ca="1">_xlfn.IFNA(INDEX(jkm_call_put!$L:$L,MATCH($B18&amp;AI$2&amp;$A$1,jkm_call_put!$G:$G&amp;jkm_call_put!$O:$O&amp;jkm_call_put!$F:$F,0),1),"")</f>
        <v/>
      </c>
      <c r="AJ18" s="7" t="str" cm="1">
        <f t="array" aca="1" ref="AJ18" ca="1">_xlfn.IFNA(INDEX(jkm_call_put!$L:$L,MATCH($B18&amp;AJ$2&amp;$A$1,jkm_call_put!$G:$G&amp;jkm_call_put!$O:$O&amp;jkm_call_put!$F:$F,0),1),"")</f>
        <v/>
      </c>
      <c r="AK18" s="7" t="str" cm="1">
        <f t="array" aca="1" ref="AK18" ca="1">_xlfn.IFNA(INDEX(jkm_call_put!$L:$L,MATCH($B18&amp;AK$2&amp;$A$1,jkm_call_put!$G:$G&amp;jkm_call_put!$O:$O&amp;jkm_call_put!$F:$F,0),1),"")</f>
        <v/>
      </c>
      <c r="AL18" s="7" t="str" cm="1">
        <f t="array" aca="1" ref="AL18" ca="1">_xlfn.IFNA(INDEX(jkm_call_put!$L:$L,MATCH($B18&amp;AL$2&amp;$A$1,jkm_call_put!$G:$G&amp;jkm_call_put!$O:$O&amp;jkm_call_put!$F:$F,0),1),"")</f>
        <v/>
      </c>
    </row>
    <row r="19" spans="2:38" x14ac:dyDescent="0.25">
      <c r="B19">
        <v>15</v>
      </c>
      <c r="C19" s="7" cm="1">
        <f t="array" aca="1" ref="C19" ca="1">_xlfn.IFNA(INDEX(jkm_call_put!$L:$L,MATCH($B19&amp;C$2&amp;$A$1,jkm_call_put!$G:$G&amp;jkm_call_put!$O:$O&amp;jkm_call_put!$F:$F,0),1),"")</f>
        <v>30.345500000000001</v>
      </c>
      <c r="D19" s="7" cm="1">
        <f t="array" aca="1" ref="D19" ca="1">_xlfn.IFNA(INDEX(jkm_call_put!$L:$L,MATCH($B19&amp;D$2&amp;$A$1,jkm_call_put!$G:$G&amp;jkm_call_put!$O:$O&amp;jkm_call_put!$F:$F,0),1),"")</f>
        <v>43</v>
      </c>
      <c r="E19" s="7" cm="1">
        <f t="array" aca="1" ref="E19" ca="1">_xlfn.IFNA(INDEX(jkm_call_put!$L:$L,MATCH($B19&amp;E$2&amp;$A$1,jkm_call_put!$G:$G&amp;jkm_call_put!$O:$O&amp;jkm_call_put!$F:$F,0),1),"")</f>
        <v>75.225700000000003</v>
      </c>
      <c r="F19" s="7" cm="1">
        <f t="array" aca="1" ref="F19" ca="1">_xlfn.IFNA(INDEX(jkm_call_put!$L:$L,MATCH($B19&amp;F$2&amp;$A$1,jkm_call_put!$G:$G&amp;jkm_call_put!$O:$O&amp;jkm_call_put!$F:$F,0),1),"")</f>
        <v>77.635599999999997</v>
      </c>
      <c r="G19" s="7" cm="1">
        <f t="array" aca="1" ref="G19" ca="1">_xlfn.IFNA(INDEX(jkm_call_put!$L:$L,MATCH($B19&amp;G$2&amp;$A$1,jkm_call_put!$G:$G&amp;jkm_call_put!$O:$O&amp;jkm_call_put!$F:$F,0),1),"")</f>
        <v>79.251900000000006</v>
      </c>
      <c r="H19" s="7" cm="1">
        <f t="array" aca="1" ref="H19" ca="1">_xlfn.IFNA(INDEX(jkm_call_put!$L:$L,MATCH($B19&amp;H$2&amp;$A$1,jkm_call_put!$G:$G&amp;jkm_call_put!$O:$O&amp;jkm_call_put!$F:$F,0),1),"")</f>
        <v>62.360900000000001</v>
      </c>
      <c r="I19" s="7" cm="1">
        <f t="array" aca="1" ref="I19" ca="1">_xlfn.IFNA(INDEX(jkm_call_put!$L:$L,MATCH($B19&amp;I$2&amp;$A$1,jkm_call_put!$G:$G&amp;jkm_call_put!$O:$O&amp;jkm_call_put!$F:$F,0),1),"")</f>
        <v>63.002800000000001</v>
      </c>
      <c r="J19" s="7" cm="1">
        <f t="array" aca="1" ref="J19" ca="1">_xlfn.IFNA(INDEX(jkm_call_put!$L:$L,MATCH($B19&amp;J$2&amp;$A$1,jkm_call_put!$G:$G&amp;jkm_call_put!$O:$O&amp;jkm_call_put!$F:$F,0),1),"")</f>
        <v>63.495399999999997</v>
      </c>
      <c r="K19" s="7" cm="1">
        <f t="array" aca="1" ref="K19" ca="1">_xlfn.IFNA(INDEX(jkm_call_put!$L:$L,MATCH($B19&amp;K$2&amp;$A$1,jkm_call_put!$G:$G&amp;jkm_call_put!$O:$O&amp;jkm_call_put!$F:$F,0),1),"")</f>
        <v>63.603099999999998</v>
      </c>
      <c r="L19" s="7" cm="1">
        <f t="array" aca="1" ref="L19" ca="1">_xlfn.IFNA(INDEX(jkm_call_put!$L:$L,MATCH($B19&amp;L$2&amp;$A$1,jkm_call_put!$G:$G&amp;jkm_call_put!$O:$O&amp;jkm_call_put!$F:$F,0),1),"")</f>
        <v>63.884</v>
      </c>
      <c r="M19" s="7" cm="1">
        <f t="array" aca="1" ref="M19" ca="1">_xlfn.IFNA(INDEX(jkm_call_put!$L:$L,MATCH($B19&amp;M$2&amp;$A$1,jkm_call_put!$G:$G&amp;jkm_call_put!$O:$O&amp;jkm_call_put!$F:$F,0),1),"")</f>
        <v>64.085099999999997</v>
      </c>
      <c r="N19" s="7" cm="1">
        <f t="array" aca="1" ref="N19" ca="1">_xlfn.IFNA(INDEX(jkm_call_put!$L:$L,MATCH($B19&amp;N$2&amp;$A$1,jkm_call_put!$G:$G&amp;jkm_call_put!$O:$O&amp;jkm_call_put!$F:$F,0),1),"")</f>
        <v>47.51</v>
      </c>
      <c r="O19" s="7" cm="1">
        <f t="array" aca="1" ref="O19" ca="1">_xlfn.IFNA(INDEX(jkm_call_put!$L:$L,MATCH($B19&amp;O$2&amp;$A$1,jkm_call_put!$G:$G&amp;jkm_call_put!$O:$O&amp;jkm_call_put!$F:$F,0),1),"")</f>
        <v>47.536000000000001</v>
      </c>
      <c r="P19" s="7" cm="1">
        <f t="array" aca="1" ref="P19" ca="1">_xlfn.IFNA(INDEX(jkm_call_put!$L:$L,MATCH($B19&amp;P$2&amp;$A$1,jkm_call_put!$G:$G&amp;jkm_call_put!$O:$O&amp;jkm_call_put!$F:$F,0),1),"")</f>
        <v>47.743400000000001</v>
      </c>
      <c r="Q19" s="7" cm="1">
        <f t="array" aca="1" ref="Q19" ca="1">_xlfn.IFNA(INDEX(jkm_call_put!$L:$L,MATCH($B19&amp;Q$2&amp;$A$1,jkm_call_put!$G:$G&amp;jkm_call_put!$O:$O&amp;jkm_call_put!$F:$F,0),1),"")</f>
        <v>47.694200000000002</v>
      </c>
      <c r="R19" s="7" cm="1">
        <f t="array" aca="1" ref="R19" ca="1">_xlfn.IFNA(INDEX(jkm_call_put!$L:$L,MATCH($B19&amp;R$2&amp;$A$1,jkm_call_put!$G:$G&amp;jkm_call_put!$O:$O&amp;jkm_call_put!$F:$F,0),1),"")</f>
        <v>47.665500000000002</v>
      </c>
      <c r="S19" s="7" cm="1">
        <f t="array" aca="1" ref="S19" ca="1">_xlfn.IFNA(INDEX(jkm_call_put!$L:$L,MATCH($B19&amp;S$2&amp;$A$1,jkm_call_put!$G:$G&amp;jkm_call_put!$O:$O&amp;jkm_call_put!$F:$F,0),1),"")</f>
        <v>47.7637</v>
      </c>
      <c r="T19" s="7" cm="1">
        <f t="array" aca="1" ref="T19" ca="1">_xlfn.IFNA(INDEX(jkm_call_put!$L:$L,MATCH($B19&amp;T$2&amp;$A$1,jkm_call_put!$G:$G&amp;jkm_call_put!$O:$O&amp;jkm_call_put!$F:$F,0),1),"")</f>
        <v>35.0381</v>
      </c>
      <c r="U19" s="7" cm="1">
        <f t="array" aca="1" ref="U19" ca="1">_xlfn.IFNA(INDEX(jkm_call_put!$L:$L,MATCH($B19&amp;U$2&amp;$A$1,jkm_call_put!$G:$G&amp;jkm_call_put!$O:$O&amp;jkm_call_put!$F:$F,0),1),"")</f>
        <v>34.930999999999997</v>
      </c>
      <c r="V19" s="7" cm="1">
        <f t="array" aca="1" ref="V19" ca="1">_xlfn.IFNA(INDEX(jkm_call_put!$L:$L,MATCH($B19&amp;V$2&amp;$A$1,jkm_call_put!$G:$G&amp;jkm_call_put!$O:$O&amp;jkm_call_put!$F:$F,0),1),"")</f>
        <v>34.807699999999997</v>
      </c>
      <c r="W19" s="7" cm="1">
        <f t="array" aca="1" ref="W19" ca="1">_xlfn.IFNA(INDEX(jkm_call_put!$L:$L,MATCH($B19&amp;W$2&amp;$A$1,jkm_call_put!$G:$G&amp;jkm_call_put!$O:$O&amp;jkm_call_put!$F:$F,0),1),"")</f>
        <v>34.769799999999996</v>
      </c>
      <c r="X19" s="7" cm="1">
        <f t="array" aca="1" ref="X19" ca="1">_xlfn.IFNA(INDEX(jkm_call_put!$L:$L,MATCH($B19&amp;X$2&amp;$A$1,jkm_call_put!$G:$G&amp;jkm_call_put!$O:$O&amp;jkm_call_put!$F:$F,0),1),"")</f>
        <v>34.8187</v>
      </c>
      <c r="Y19" s="7" cm="1">
        <f t="array" aca="1" ref="Y19" ca="1">_xlfn.IFNA(INDEX(jkm_call_put!$L:$L,MATCH($B19&amp;Y$2&amp;$A$1,jkm_call_put!$G:$G&amp;jkm_call_put!$O:$O&amp;jkm_call_put!$F:$F,0),1),"")</f>
        <v>34.805300000000003</v>
      </c>
      <c r="Z19" s="7" cm="1">
        <f t="array" aca="1" ref="Z19" ca="1">_xlfn.IFNA(INDEX(jkm_call_put!$L:$L,MATCH($B19&amp;Z$2&amp;$A$1,jkm_call_put!$G:$G&amp;jkm_call_put!$O:$O&amp;jkm_call_put!$F:$F,0),1),"")</f>
        <v>30.0273</v>
      </c>
      <c r="AA19" s="7" cm="1">
        <f t="array" aca="1" ref="AA19" ca="1">_xlfn.IFNA(INDEX(jkm_call_put!$L:$L,MATCH($B19&amp;AA$2&amp;$A$1,jkm_call_put!$G:$G&amp;jkm_call_put!$O:$O&amp;jkm_call_put!$F:$F,0),1),"")</f>
        <v>30.0501</v>
      </c>
      <c r="AB19" s="7" cm="1">
        <f t="array" aca="1" ref="AB19" ca="1">_xlfn.IFNA(INDEX(jkm_call_put!$L:$L,MATCH($B19&amp;AB$2&amp;$A$1,jkm_call_put!$G:$G&amp;jkm_call_put!$O:$O&amp;jkm_call_put!$F:$F,0),1),"")</f>
        <v>30.024999999999999</v>
      </c>
      <c r="AC19" s="7" cm="1">
        <f t="array" aca="1" ref="AC19" ca="1">_xlfn.IFNA(INDEX(jkm_call_put!$L:$L,MATCH($B19&amp;AC$2&amp;$A$1,jkm_call_put!$G:$G&amp;jkm_call_put!$O:$O&amp;jkm_call_put!$F:$F,0),1),"")</f>
        <v>30.0444</v>
      </c>
      <c r="AD19" s="7" cm="1">
        <f t="array" aca="1" ref="AD19" ca="1">_xlfn.IFNA(INDEX(jkm_call_put!$L:$L,MATCH($B19&amp;AD$2&amp;$A$1,jkm_call_put!$G:$G&amp;jkm_call_put!$O:$O&amp;jkm_call_put!$F:$F,0),1),"")</f>
        <v>30.098500000000001</v>
      </c>
      <c r="AE19" s="7" cm="1">
        <f t="array" aca="1" ref="AE19" ca="1">_xlfn.IFNA(INDEX(jkm_call_put!$L:$L,MATCH($B19&amp;AE$2&amp;$A$1,jkm_call_put!$G:$G&amp;jkm_call_put!$O:$O&amp;jkm_call_put!$F:$F,0),1),"")</f>
        <v>30.067299999999999</v>
      </c>
      <c r="AF19" s="7" cm="1">
        <f t="array" aca="1" ref="AF19" ca="1">_xlfn.IFNA(INDEX(jkm_call_put!$L:$L,MATCH($B19&amp;AF$2&amp;$A$1,jkm_call_put!$G:$G&amp;jkm_call_put!$O:$O&amp;jkm_call_put!$F:$F,0),1),"")</f>
        <v>35.032499999999999</v>
      </c>
      <c r="AG19" s="7" cm="1">
        <f t="array" aca="1" ref="AG19" ca="1">_xlfn.IFNA(INDEX(jkm_call_put!$L:$L,MATCH($B19&amp;AG$2&amp;$A$1,jkm_call_put!$G:$G&amp;jkm_call_put!$O:$O&amp;jkm_call_put!$F:$F,0),1),"")</f>
        <v>35.099600000000002</v>
      </c>
      <c r="AH19" s="7" cm="1">
        <f t="array" aca="1" ref="AH19" ca="1">_xlfn.IFNA(INDEX(jkm_call_put!$L:$L,MATCH($B19&amp;AH$2&amp;$A$1,jkm_call_put!$G:$G&amp;jkm_call_put!$O:$O&amp;jkm_call_put!$F:$F,0),1),"")</f>
        <v>35.058500000000002</v>
      </c>
      <c r="AI19" s="7" cm="1">
        <f t="array" aca="1" ref="AI19" ca="1">_xlfn.IFNA(INDEX(jkm_call_put!$L:$L,MATCH($B19&amp;AI$2&amp;$A$1,jkm_call_put!$G:$G&amp;jkm_call_put!$O:$O&amp;jkm_call_put!$F:$F,0),1),"")</f>
        <v>35.084600000000002</v>
      </c>
      <c r="AJ19" s="7" cm="1">
        <f t="array" aca="1" ref="AJ19" ca="1">_xlfn.IFNA(INDEX(jkm_call_put!$L:$L,MATCH($B19&amp;AJ$2&amp;$A$1,jkm_call_put!$G:$G&amp;jkm_call_put!$O:$O&amp;jkm_call_put!$F:$F,0),1),"")</f>
        <v>35.087299999999999</v>
      </c>
      <c r="AK19" s="7" cm="1">
        <f t="array" aca="1" ref="AK19" ca="1">_xlfn.IFNA(INDEX(jkm_call_put!$L:$L,MATCH($B19&amp;AK$2&amp;$A$1,jkm_call_put!$G:$G&amp;jkm_call_put!$O:$O&amp;jkm_call_put!$F:$F,0),1),"")</f>
        <v>35.059100000000001</v>
      </c>
      <c r="AL19" s="7" cm="1">
        <f t="array" aca="1" ref="AL19" ca="1">_xlfn.IFNA(INDEX(jkm_call_put!$L:$L,MATCH($B19&amp;AL$2&amp;$A$1,jkm_call_put!$G:$G&amp;jkm_call_put!$O:$O&amp;jkm_call_put!$F:$F,0),1),"")</f>
        <v>35.137</v>
      </c>
    </row>
    <row r="20" spans="2:38" x14ac:dyDescent="0.25">
      <c r="B20">
        <v>15.5</v>
      </c>
      <c r="C20" s="7" t="str" cm="1">
        <f t="array" aca="1" ref="C20" ca="1">_xlfn.IFNA(INDEX(jkm_call_put!$L:$L,MATCH($B20&amp;C$2&amp;$A$1,jkm_call_put!$G:$G&amp;jkm_call_put!$O:$O&amp;jkm_call_put!$F:$F,0),1),"")</f>
        <v/>
      </c>
      <c r="D20" s="7" t="str" cm="1">
        <f t="array" aca="1" ref="D20" ca="1">_xlfn.IFNA(INDEX(jkm_call_put!$L:$L,MATCH($B20&amp;D$2&amp;$A$1,jkm_call_put!$G:$G&amp;jkm_call_put!$O:$O&amp;jkm_call_put!$F:$F,0),1),"")</f>
        <v/>
      </c>
      <c r="E20" s="7" t="str" cm="1">
        <f t="array" aca="1" ref="E20" ca="1">_xlfn.IFNA(INDEX(jkm_call_put!$L:$L,MATCH($B20&amp;E$2&amp;$A$1,jkm_call_put!$G:$G&amp;jkm_call_put!$O:$O&amp;jkm_call_put!$F:$F,0),1),"")</f>
        <v/>
      </c>
      <c r="F20" s="7" t="str" cm="1">
        <f t="array" aca="1" ref="F20" ca="1">_xlfn.IFNA(INDEX(jkm_call_put!$L:$L,MATCH($B20&amp;F$2&amp;$A$1,jkm_call_put!$G:$G&amp;jkm_call_put!$O:$O&amp;jkm_call_put!$F:$F,0),1),"")</f>
        <v/>
      </c>
      <c r="G20" s="7" t="str" cm="1">
        <f t="array" aca="1" ref="G20" ca="1">_xlfn.IFNA(INDEX(jkm_call_put!$L:$L,MATCH($B20&amp;G$2&amp;$A$1,jkm_call_put!$G:$G&amp;jkm_call_put!$O:$O&amp;jkm_call_put!$F:$F,0),1),"")</f>
        <v/>
      </c>
      <c r="H20" s="7" t="str" cm="1">
        <f t="array" aca="1" ref="H20" ca="1">_xlfn.IFNA(INDEX(jkm_call_put!$L:$L,MATCH($B20&amp;H$2&amp;$A$1,jkm_call_put!$G:$G&amp;jkm_call_put!$O:$O&amp;jkm_call_put!$F:$F,0),1),"")</f>
        <v/>
      </c>
      <c r="I20" s="7" t="str" cm="1">
        <f t="array" aca="1" ref="I20" ca="1">_xlfn.IFNA(INDEX(jkm_call_put!$L:$L,MATCH($B20&amp;I$2&amp;$A$1,jkm_call_put!$G:$G&amp;jkm_call_put!$O:$O&amp;jkm_call_put!$F:$F,0),1),"")</f>
        <v/>
      </c>
      <c r="J20" s="7" t="str" cm="1">
        <f t="array" aca="1" ref="J20" ca="1">_xlfn.IFNA(INDEX(jkm_call_put!$L:$L,MATCH($B20&amp;J$2&amp;$A$1,jkm_call_put!$G:$G&amp;jkm_call_put!$O:$O&amp;jkm_call_put!$F:$F,0),1),"")</f>
        <v/>
      </c>
      <c r="K20" s="7" cm="1">
        <f t="array" aca="1" ref="K20" ca="1">_xlfn.IFNA(INDEX(jkm_call_put!$L:$L,MATCH($B20&amp;K$2&amp;$A$1,jkm_call_put!$G:$G&amp;jkm_call_put!$O:$O&amp;jkm_call_put!$F:$F,0),1),"")</f>
        <v>63.747900000000001</v>
      </c>
      <c r="L20" s="7" cm="1">
        <f t="array" aca="1" ref="L20" ca="1">_xlfn.IFNA(INDEX(jkm_call_put!$L:$L,MATCH($B20&amp;L$2&amp;$A$1,jkm_call_put!$G:$G&amp;jkm_call_put!$O:$O&amp;jkm_call_put!$F:$F,0),1),"")</f>
        <v>64.028300000000002</v>
      </c>
      <c r="M20" s="7" cm="1">
        <f t="array" aca="1" ref="M20" ca="1">_xlfn.IFNA(INDEX(jkm_call_put!$L:$L,MATCH($B20&amp;M$2&amp;$A$1,jkm_call_put!$G:$G&amp;jkm_call_put!$O:$O&amp;jkm_call_put!$F:$F,0),1),"")</f>
        <v>64.231300000000005</v>
      </c>
      <c r="N20" s="7" t="str" cm="1">
        <f t="array" aca="1" ref="N20" ca="1">_xlfn.IFNA(INDEX(jkm_call_put!$L:$L,MATCH($B20&amp;N$2&amp;$A$1,jkm_call_put!$G:$G&amp;jkm_call_put!$O:$O&amp;jkm_call_put!$F:$F,0),1),"")</f>
        <v/>
      </c>
      <c r="O20" s="7" t="str" cm="1">
        <f t="array" aca="1" ref="O20" ca="1">_xlfn.IFNA(INDEX(jkm_call_put!$L:$L,MATCH($B20&amp;O$2&amp;$A$1,jkm_call_put!$G:$G&amp;jkm_call_put!$O:$O&amp;jkm_call_put!$F:$F,0),1),"")</f>
        <v/>
      </c>
      <c r="P20" s="7" t="str" cm="1">
        <f t="array" aca="1" ref="P20" ca="1">_xlfn.IFNA(INDEX(jkm_call_put!$L:$L,MATCH($B20&amp;P$2&amp;$A$1,jkm_call_put!$G:$G&amp;jkm_call_put!$O:$O&amp;jkm_call_put!$F:$F,0),1),"")</f>
        <v/>
      </c>
      <c r="Q20" s="7" t="str" cm="1">
        <f t="array" aca="1" ref="Q20" ca="1">_xlfn.IFNA(INDEX(jkm_call_put!$L:$L,MATCH($B20&amp;Q$2&amp;$A$1,jkm_call_put!$G:$G&amp;jkm_call_put!$O:$O&amp;jkm_call_put!$F:$F,0),1),"")</f>
        <v/>
      </c>
      <c r="R20" s="7" t="str" cm="1">
        <f t="array" aca="1" ref="R20" ca="1">_xlfn.IFNA(INDEX(jkm_call_put!$L:$L,MATCH($B20&amp;R$2&amp;$A$1,jkm_call_put!$G:$G&amp;jkm_call_put!$O:$O&amp;jkm_call_put!$F:$F,0),1),"")</f>
        <v/>
      </c>
      <c r="S20" s="7" t="str" cm="1">
        <f t="array" aca="1" ref="S20" ca="1">_xlfn.IFNA(INDEX(jkm_call_put!$L:$L,MATCH($B20&amp;S$2&amp;$A$1,jkm_call_put!$G:$G&amp;jkm_call_put!$O:$O&amp;jkm_call_put!$F:$F,0),1),"")</f>
        <v/>
      </c>
      <c r="T20" s="7" t="str" cm="1">
        <f t="array" aca="1" ref="T20" ca="1">_xlfn.IFNA(INDEX(jkm_call_put!$L:$L,MATCH($B20&amp;T$2&amp;$A$1,jkm_call_put!$G:$G&amp;jkm_call_put!$O:$O&amp;jkm_call_put!$F:$F,0),1),"")</f>
        <v/>
      </c>
      <c r="U20" s="7" t="str" cm="1">
        <f t="array" aca="1" ref="U20" ca="1">_xlfn.IFNA(INDEX(jkm_call_put!$L:$L,MATCH($B20&amp;U$2&amp;$A$1,jkm_call_put!$G:$G&amp;jkm_call_put!$O:$O&amp;jkm_call_put!$F:$F,0),1),"")</f>
        <v/>
      </c>
      <c r="V20" s="7" t="str" cm="1">
        <f t="array" aca="1" ref="V20" ca="1">_xlfn.IFNA(INDEX(jkm_call_put!$L:$L,MATCH($B20&amp;V$2&amp;$A$1,jkm_call_put!$G:$G&amp;jkm_call_put!$O:$O&amp;jkm_call_put!$F:$F,0),1),"")</f>
        <v/>
      </c>
      <c r="W20" s="7" t="str" cm="1">
        <f t="array" aca="1" ref="W20" ca="1">_xlfn.IFNA(INDEX(jkm_call_put!$L:$L,MATCH($B20&amp;W$2&amp;$A$1,jkm_call_put!$G:$G&amp;jkm_call_put!$O:$O&amp;jkm_call_put!$F:$F,0),1),"")</f>
        <v/>
      </c>
      <c r="X20" s="7" t="str" cm="1">
        <f t="array" aca="1" ref="X20" ca="1">_xlfn.IFNA(INDEX(jkm_call_put!$L:$L,MATCH($B20&amp;X$2&amp;$A$1,jkm_call_put!$G:$G&amp;jkm_call_put!$O:$O&amp;jkm_call_put!$F:$F,0),1),"")</f>
        <v/>
      </c>
      <c r="Y20" s="7" t="str" cm="1">
        <f t="array" aca="1" ref="Y20" ca="1">_xlfn.IFNA(INDEX(jkm_call_put!$L:$L,MATCH($B20&amp;Y$2&amp;$A$1,jkm_call_put!$G:$G&amp;jkm_call_put!$O:$O&amp;jkm_call_put!$F:$F,0),1),"")</f>
        <v/>
      </c>
      <c r="Z20" s="7" t="str" cm="1">
        <f t="array" aca="1" ref="Z20" ca="1">_xlfn.IFNA(INDEX(jkm_call_put!$L:$L,MATCH($B20&amp;Z$2&amp;$A$1,jkm_call_put!$G:$G&amp;jkm_call_put!$O:$O&amp;jkm_call_put!$F:$F,0),1),"")</f>
        <v/>
      </c>
      <c r="AA20" s="7" t="str" cm="1">
        <f t="array" aca="1" ref="AA20" ca="1">_xlfn.IFNA(INDEX(jkm_call_put!$L:$L,MATCH($B20&amp;AA$2&amp;$A$1,jkm_call_put!$G:$G&amp;jkm_call_put!$O:$O&amp;jkm_call_put!$F:$F,0),1),"")</f>
        <v/>
      </c>
      <c r="AB20" s="7" t="str" cm="1">
        <f t="array" aca="1" ref="AB20" ca="1">_xlfn.IFNA(INDEX(jkm_call_put!$L:$L,MATCH($B20&amp;AB$2&amp;$A$1,jkm_call_put!$G:$G&amp;jkm_call_put!$O:$O&amp;jkm_call_put!$F:$F,0),1),"")</f>
        <v/>
      </c>
      <c r="AC20" s="7" t="str" cm="1">
        <f t="array" aca="1" ref="AC20" ca="1">_xlfn.IFNA(INDEX(jkm_call_put!$L:$L,MATCH($B20&amp;AC$2&amp;$A$1,jkm_call_put!$G:$G&amp;jkm_call_put!$O:$O&amp;jkm_call_put!$F:$F,0),1),"")</f>
        <v/>
      </c>
      <c r="AD20" s="7" t="str" cm="1">
        <f t="array" aca="1" ref="AD20" ca="1">_xlfn.IFNA(INDEX(jkm_call_put!$L:$L,MATCH($B20&amp;AD$2&amp;$A$1,jkm_call_put!$G:$G&amp;jkm_call_put!$O:$O&amp;jkm_call_put!$F:$F,0),1),"")</f>
        <v/>
      </c>
      <c r="AE20" s="7" t="str" cm="1">
        <f t="array" aca="1" ref="AE20" ca="1">_xlfn.IFNA(INDEX(jkm_call_put!$L:$L,MATCH($B20&amp;AE$2&amp;$A$1,jkm_call_put!$G:$G&amp;jkm_call_put!$O:$O&amp;jkm_call_put!$F:$F,0),1),"")</f>
        <v/>
      </c>
      <c r="AF20" s="7" t="str" cm="1">
        <f t="array" aca="1" ref="AF20" ca="1">_xlfn.IFNA(INDEX(jkm_call_put!$L:$L,MATCH($B20&amp;AF$2&amp;$A$1,jkm_call_put!$G:$G&amp;jkm_call_put!$O:$O&amp;jkm_call_put!$F:$F,0),1),"")</f>
        <v/>
      </c>
      <c r="AG20" s="7" t="str" cm="1">
        <f t="array" aca="1" ref="AG20" ca="1">_xlfn.IFNA(INDEX(jkm_call_put!$L:$L,MATCH($B20&amp;AG$2&amp;$A$1,jkm_call_put!$G:$G&amp;jkm_call_put!$O:$O&amp;jkm_call_put!$F:$F,0),1),"")</f>
        <v/>
      </c>
      <c r="AH20" s="7" t="str" cm="1">
        <f t="array" aca="1" ref="AH20" ca="1">_xlfn.IFNA(INDEX(jkm_call_put!$L:$L,MATCH($B20&amp;AH$2&amp;$A$1,jkm_call_put!$G:$G&amp;jkm_call_put!$O:$O&amp;jkm_call_put!$F:$F,0),1),"")</f>
        <v/>
      </c>
      <c r="AI20" s="7" t="str" cm="1">
        <f t="array" aca="1" ref="AI20" ca="1">_xlfn.IFNA(INDEX(jkm_call_put!$L:$L,MATCH($B20&amp;AI$2&amp;$A$1,jkm_call_put!$G:$G&amp;jkm_call_put!$O:$O&amp;jkm_call_put!$F:$F,0),1),"")</f>
        <v/>
      </c>
      <c r="AJ20" s="7" t="str" cm="1">
        <f t="array" aca="1" ref="AJ20" ca="1">_xlfn.IFNA(INDEX(jkm_call_put!$L:$L,MATCH($B20&amp;AJ$2&amp;$A$1,jkm_call_put!$G:$G&amp;jkm_call_put!$O:$O&amp;jkm_call_put!$F:$F,0),1),"")</f>
        <v/>
      </c>
      <c r="AK20" s="7" t="str" cm="1">
        <f t="array" aca="1" ref="AK20" ca="1">_xlfn.IFNA(INDEX(jkm_call_put!$L:$L,MATCH($B20&amp;AK$2&amp;$A$1,jkm_call_put!$G:$G&amp;jkm_call_put!$O:$O&amp;jkm_call_put!$F:$F,0),1),"")</f>
        <v/>
      </c>
      <c r="AL20" s="7" t="str" cm="1">
        <f t="array" aca="1" ref="AL20" ca="1">_xlfn.IFNA(INDEX(jkm_call_put!$L:$L,MATCH($B20&amp;AL$2&amp;$A$1,jkm_call_put!$G:$G&amp;jkm_call_put!$O:$O&amp;jkm_call_put!$F:$F,0),1),"")</f>
        <v/>
      </c>
    </row>
    <row r="21" spans="2:38" x14ac:dyDescent="0.25">
      <c r="B21">
        <v>16.5</v>
      </c>
      <c r="C21" s="7" t="str" cm="1">
        <f t="array" aca="1" ref="C21" ca="1">_xlfn.IFNA(INDEX(jkm_call_put!$L:$L,MATCH($B21&amp;C$2&amp;$A$1,jkm_call_put!$G:$G&amp;jkm_call_put!$O:$O&amp;jkm_call_put!$F:$F,0),1),"")</f>
        <v/>
      </c>
      <c r="D21" s="7" t="str" cm="1">
        <f t="array" aca="1" ref="D21" ca="1">_xlfn.IFNA(INDEX(jkm_call_put!$L:$L,MATCH($B21&amp;D$2&amp;$A$1,jkm_call_put!$G:$G&amp;jkm_call_put!$O:$O&amp;jkm_call_put!$F:$F,0),1),"")</f>
        <v/>
      </c>
      <c r="E21" s="7" t="str" cm="1">
        <f t="array" aca="1" ref="E21" ca="1">_xlfn.IFNA(INDEX(jkm_call_put!$L:$L,MATCH($B21&amp;E$2&amp;$A$1,jkm_call_put!$G:$G&amp;jkm_call_put!$O:$O&amp;jkm_call_put!$F:$F,0),1),"")</f>
        <v/>
      </c>
      <c r="F21" s="7" t="str" cm="1">
        <f t="array" aca="1" ref="F21" ca="1">_xlfn.IFNA(INDEX(jkm_call_put!$L:$L,MATCH($B21&amp;F$2&amp;$A$1,jkm_call_put!$G:$G&amp;jkm_call_put!$O:$O&amp;jkm_call_put!$F:$F,0),1),"")</f>
        <v/>
      </c>
      <c r="G21" s="7" t="str" cm="1">
        <f t="array" aca="1" ref="G21" ca="1">_xlfn.IFNA(INDEX(jkm_call_put!$L:$L,MATCH($B21&amp;G$2&amp;$A$1,jkm_call_put!$G:$G&amp;jkm_call_put!$O:$O&amp;jkm_call_put!$F:$F,0),1),"")</f>
        <v/>
      </c>
      <c r="H21" s="7" cm="1">
        <f t="array" aca="1" ref="H21" ca="1">_xlfn.IFNA(INDEX(jkm_call_put!$L:$L,MATCH($B21&amp;H$2&amp;$A$1,jkm_call_put!$G:$G&amp;jkm_call_put!$O:$O&amp;jkm_call_put!$F:$F,0),1),"")</f>
        <v>62.824199999999998</v>
      </c>
      <c r="I21" s="7" cm="1">
        <f t="array" aca="1" ref="I21" ca="1">_xlfn.IFNA(INDEX(jkm_call_put!$L:$L,MATCH($B21&amp;I$2&amp;$A$1,jkm_call_put!$G:$G&amp;jkm_call_put!$O:$O&amp;jkm_call_put!$F:$F,0),1),"")</f>
        <v>63.467399999999998</v>
      </c>
      <c r="J21" s="7" cm="1">
        <f t="array" aca="1" ref="J21" ca="1">_xlfn.IFNA(INDEX(jkm_call_put!$L:$L,MATCH($B21&amp;J$2&amp;$A$1,jkm_call_put!$G:$G&amp;jkm_call_put!$O:$O&amp;jkm_call_put!$F:$F,0),1),"")</f>
        <v>63.959699999999998</v>
      </c>
      <c r="K21" s="7" t="str" cm="1">
        <f t="array" aca="1" ref="K21" ca="1">_xlfn.IFNA(INDEX(jkm_call_put!$L:$L,MATCH($B21&amp;K$2&amp;$A$1,jkm_call_put!$G:$G&amp;jkm_call_put!$O:$O&amp;jkm_call_put!$F:$F,0),1),"")</f>
        <v/>
      </c>
      <c r="L21" s="7" t="str" cm="1">
        <f t="array" aca="1" ref="L21" ca="1">_xlfn.IFNA(INDEX(jkm_call_put!$L:$L,MATCH($B21&amp;L$2&amp;$A$1,jkm_call_put!$G:$G&amp;jkm_call_put!$O:$O&amp;jkm_call_put!$F:$F,0),1),"")</f>
        <v/>
      </c>
      <c r="M21" s="7" t="str" cm="1">
        <f t="array" aca="1" ref="M21" ca="1">_xlfn.IFNA(INDEX(jkm_call_put!$L:$L,MATCH($B21&amp;M$2&amp;$A$1,jkm_call_put!$G:$G&amp;jkm_call_put!$O:$O&amp;jkm_call_put!$F:$F,0),1),"")</f>
        <v/>
      </c>
      <c r="N21" s="7" t="str" cm="1">
        <f t="array" aca="1" ref="N21" ca="1">_xlfn.IFNA(INDEX(jkm_call_put!$L:$L,MATCH($B21&amp;N$2&amp;$A$1,jkm_call_put!$G:$G&amp;jkm_call_put!$O:$O&amp;jkm_call_put!$F:$F,0),1),"")</f>
        <v/>
      </c>
      <c r="O21" s="7" t="str" cm="1">
        <f t="array" aca="1" ref="O21" ca="1">_xlfn.IFNA(INDEX(jkm_call_put!$L:$L,MATCH($B21&amp;O$2&amp;$A$1,jkm_call_put!$G:$G&amp;jkm_call_put!$O:$O&amp;jkm_call_put!$F:$F,0),1),"")</f>
        <v/>
      </c>
      <c r="P21" s="7" t="str" cm="1">
        <f t="array" aca="1" ref="P21" ca="1">_xlfn.IFNA(INDEX(jkm_call_put!$L:$L,MATCH($B21&amp;P$2&amp;$A$1,jkm_call_put!$G:$G&amp;jkm_call_put!$O:$O&amp;jkm_call_put!$F:$F,0),1),"")</f>
        <v/>
      </c>
      <c r="Q21" s="7" t="str" cm="1">
        <f t="array" aca="1" ref="Q21" ca="1">_xlfn.IFNA(INDEX(jkm_call_put!$L:$L,MATCH($B21&amp;Q$2&amp;$A$1,jkm_call_put!$G:$G&amp;jkm_call_put!$O:$O&amp;jkm_call_put!$F:$F,0),1),"")</f>
        <v/>
      </c>
      <c r="R21" s="7" t="str" cm="1">
        <f t="array" aca="1" ref="R21" ca="1">_xlfn.IFNA(INDEX(jkm_call_put!$L:$L,MATCH($B21&amp;R$2&amp;$A$1,jkm_call_put!$G:$G&amp;jkm_call_put!$O:$O&amp;jkm_call_put!$F:$F,0),1),"")</f>
        <v/>
      </c>
      <c r="S21" s="7" t="str" cm="1">
        <f t="array" aca="1" ref="S21" ca="1">_xlfn.IFNA(INDEX(jkm_call_put!$L:$L,MATCH($B21&amp;S$2&amp;$A$1,jkm_call_put!$G:$G&amp;jkm_call_put!$O:$O&amp;jkm_call_put!$F:$F,0),1),"")</f>
        <v/>
      </c>
      <c r="T21" s="7" t="str" cm="1">
        <f t="array" aca="1" ref="T21" ca="1">_xlfn.IFNA(INDEX(jkm_call_put!$L:$L,MATCH($B21&amp;T$2&amp;$A$1,jkm_call_put!$G:$G&amp;jkm_call_put!$O:$O&amp;jkm_call_put!$F:$F,0),1),"")</f>
        <v/>
      </c>
      <c r="U21" s="7" t="str" cm="1">
        <f t="array" aca="1" ref="U21" ca="1">_xlfn.IFNA(INDEX(jkm_call_put!$L:$L,MATCH($B21&amp;U$2&amp;$A$1,jkm_call_put!$G:$G&amp;jkm_call_put!$O:$O&amp;jkm_call_put!$F:$F,0),1),"")</f>
        <v/>
      </c>
      <c r="V21" s="7" t="str" cm="1">
        <f t="array" aca="1" ref="V21" ca="1">_xlfn.IFNA(INDEX(jkm_call_put!$L:$L,MATCH($B21&amp;V$2&amp;$A$1,jkm_call_put!$G:$G&amp;jkm_call_put!$O:$O&amp;jkm_call_put!$F:$F,0),1),"")</f>
        <v/>
      </c>
      <c r="W21" s="7" t="str" cm="1">
        <f t="array" aca="1" ref="W21" ca="1">_xlfn.IFNA(INDEX(jkm_call_put!$L:$L,MATCH($B21&amp;W$2&amp;$A$1,jkm_call_put!$G:$G&amp;jkm_call_put!$O:$O&amp;jkm_call_put!$F:$F,0),1),"")</f>
        <v/>
      </c>
      <c r="X21" s="7" t="str" cm="1">
        <f t="array" aca="1" ref="X21" ca="1">_xlfn.IFNA(INDEX(jkm_call_put!$L:$L,MATCH($B21&amp;X$2&amp;$A$1,jkm_call_put!$G:$G&amp;jkm_call_put!$O:$O&amp;jkm_call_put!$F:$F,0),1),"")</f>
        <v/>
      </c>
      <c r="Y21" s="7" t="str" cm="1">
        <f t="array" aca="1" ref="Y21" ca="1">_xlfn.IFNA(INDEX(jkm_call_put!$L:$L,MATCH($B21&amp;Y$2&amp;$A$1,jkm_call_put!$G:$G&amp;jkm_call_put!$O:$O&amp;jkm_call_put!$F:$F,0),1),"")</f>
        <v/>
      </c>
      <c r="Z21" s="7" t="str" cm="1">
        <f t="array" aca="1" ref="Z21" ca="1">_xlfn.IFNA(INDEX(jkm_call_put!$L:$L,MATCH($B21&amp;Z$2&amp;$A$1,jkm_call_put!$G:$G&amp;jkm_call_put!$O:$O&amp;jkm_call_put!$F:$F,0),1),"")</f>
        <v/>
      </c>
      <c r="AA21" s="7" t="str" cm="1">
        <f t="array" aca="1" ref="AA21" ca="1">_xlfn.IFNA(INDEX(jkm_call_put!$L:$L,MATCH($B21&amp;AA$2&amp;$A$1,jkm_call_put!$G:$G&amp;jkm_call_put!$O:$O&amp;jkm_call_put!$F:$F,0),1),"")</f>
        <v/>
      </c>
      <c r="AB21" s="7" t="str" cm="1">
        <f t="array" aca="1" ref="AB21" ca="1">_xlfn.IFNA(INDEX(jkm_call_put!$L:$L,MATCH($B21&amp;AB$2&amp;$A$1,jkm_call_put!$G:$G&amp;jkm_call_put!$O:$O&amp;jkm_call_put!$F:$F,0),1),"")</f>
        <v/>
      </c>
      <c r="AC21" s="7" t="str" cm="1">
        <f t="array" aca="1" ref="AC21" ca="1">_xlfn.IFNA(INDEX(jkm_call_put!$L:$L,MATCH($B21&amp;AC$2&amp;$A$1,jkm_call_put!$G:$G&amp;jkm_call_put!$O:$O&amp;jkm_call_put!$F:$F,0),1),"")</f>
        <v/>
      </c>
      <c r="AD21" s="7" t="str" cm="1">
        <f t="array" aca="1" ref="AD21" ca="1">_xlfn.IFNA(INDEX(jkm_call_put!$L:$L,MATCH($B21&amp;AD$2&amp;$A$1,jkm_call_put!$G:$G&amp;jkm_call_put!$O:$O&amp;jkm_call_put!$F:$F,0),1),"")</f>
        <v/>
      </c>
      <c r="AE21" s="7" t="str" cm="1">
        <f t="array" aca="1" ref="AE21" ca="1">_xlfn.IFNA(INDEX(jkm_call_put!$L:$L,MATCH($B21&amp;AE$2&amp;$A$1,jkm_call_put!$G:$G&amp;jkm_call_put!$O:$O&amp;jkm_call_put!$F:$F,0),1),"")</f>
        <v/>
      </c>
      <c r="AF21" s="7" t="str" cm="1">
        <f t="array" aca="1" ref="AF21" ca="1">_xlfn.IFNA(INDEX(jkm_call_put!$L:$L,MATCH($B21&amp;AF$2&amp;$A$1,jkm_call_put!$G:$G&amp;jkm_call_put!$O:$O&amp;jkm_call_put!$F:$F,0),1),"")</f>
        <v/>
      </c>
      <c r="AG21" s="7" t="str" cm="1">
        <f t="array" aca="1" ref="AG21" ca="1">_xlfn.IFNA(INDEX(jkm_call_put!$L:$L,MATCH($B21&amp;AG$2&amp;$A$1,jkm_call_put!$G:$G&amp;jkm_call_put!$O:$O&amp;jkm_call_put!$F:$F,0),1),"")</f>
        <v/>
      </c>
      <c r="AH21" s="7" t="str" cm="1">
        <f t="array" aca="1" ref="AH21" ca="1">_xlfn.IFNA(INDEX(jkm_call_put!$L:$L,MATCH($B21&amp;AH$2&amp;$A$1,jkm_call_put!$G:$G&amp;jkm_call_put!$O:$O&amp;jkm_call_put!$F:$F,0),1),"")</f>
        <v/>
      </c>
      <c r="AI21" s="7" t="str" cm="1">
        <f t="array" aca="1" ref="AI21" ca="1">_xlfn.IFNA(INDEX(jkm_call_put!$L:$L,MATCH($B21&amp;AI$2&amp;$A$1,jkm_call_put!$G:$G&amp;jkm_call_put!$O:$O&amp;jkm_call_put!$F:$F,0),1),"")</f>
        <v/>
      </c>
      <c r="AJ21" s="7" t="str" cm="1">
        <f t="array" aca="1" ref="AJ21" ca="1">_xlfn.IFNA(INDEX(jkm_call_put!$L:$L,MATCH($B21&amp;AJ$2&amp;$A$1,jkm_call_put!$G:$G&amp;jkm_call_put!$O:$O&amp;jkm_call_put!$F:$F,0),1),"")</f>
        <v/>
      </c>
      <c r="AK21" s="7" t="str" cm="1">
        <f t="array" aca="1" ref="AK21" ca="1">_xlfn.IFNA(INDEX(jkm_call_put!$L:$L,MATCH($B21&amp;AK$2&amp;$A$1,jkm_call_put!$G:$G&amp;jkm_call_put!$O:$O&amp;jkm_call_put!$F:$F,0),1),"")</f>
        <v/>
      </c>
      <c r="AL21" s="7" t="str" cm="1">
        <f t="array" aca="1" ref="AL21" ca="1">_xlfn.IFNA(INDEX(jkm_call_put!$L:$L,MATCH($B21&amp;AL$2&amp;$A$1,jkm_call_put!$G:$G&amp;jkm_call_put!$O:$O&amp;jkm_call_put!$F:$F,0),1),"")</f>
        <v/>
      </c>
    </row>
    <row r="22" spans="2:38" x14ac:dyDescent="0.25">
      <c r="B22">
        <v>17</v>
      </c>
      <c r="C22" s="7" t="str" cm="1">
        <f t="array" aca="1" ref="C22" ca="1">_xlfn.IFNA(INDEX(jkm_call_put!$L:$L,MATCH($B22&amp;C$2&amp;$A$1,jkm_call_put!$G:$G&amp;jkm_call_put!$O:$O&amp;jkm_call_put!$F:$F,0),1),"")</f>
        <v/>
      </c>
      <c r="D22" s="7" t="str" cm="1">
        <f t="array" aca="1" ref="D22" ca="1">_xlfn.IFNA(INDEX(jkm_call_put!$L:$L,MATCH($B22&amp;D$2&amp;$A$1,jkm_call_put!$G:$G&amp;jkm_call_put!$O:$O&amp;jkm_call_put!$F:$F,0),1),"")</f>
        <v/>
      </c>
      <c r="E22" s="7" cm="1">
        <f t="array" aca="1" ref="E22" ca="1">_xlfn.IFNA(INDEX(jkm_call_put!$L:$L,MATCH($B22&amp;E$2&amp;$A$1,jkm_call_put!$G:$G&amp;jkm_call_put!$O:$O&amp;jkm_call_put!$F:$F,0),1),"")</f>
        <v>75.230099999999993</v>
      </c>
      <c r="F22" s="7" cm="1">
        <f t="array" aca="1" ref="F22" ca="1">_xlfn.IFNA(INDEX(jkm_call_put!$L:$L,MATCH($B22&amp;F$2&amp;$A$1,jkm_call_put!$G:$G&amp;jkm_call_put!$O:$O&amp;jkm_call_put!$F:$F,0),1),"")</f>
        <v>77.641999999999996</v>
      </c>
      <c r="G22" s="7" cm="1">
        <f t="array" aca="1" ref="G22" ca="1">_xlfn.IFNA(INDEX(jkm_call_put!$L:$L,MATCH($B22&amp;G$2&amp;$A$1,jkm_call_put!$G:$G&amp;jkm_call_put!$O:$O&amp;jkm_call_put!$F:$F,0),1),"")</f>
        <v>79.266099999999994</v>
      </c>
      <c r="H22" s="7" t="str" cm="1">
        <f t="array" aca="1" ref="H22" ca="1">_xlfn.IFNA(INDEX(jkm_call_put!$L:$L,MATCH($B22&amp;H$2&amp;$A$1,jkm_call_put!$G:$G&amp;jkm_call_put!$O:$O&amp;jkm_call_put!$F:$F,0),1),"")</f>
        <v/>
      </c>
      <c r="I22" s="7" t="str" cm="1">
        <f t="array" aca="1" ref="I22" ca="1">_xlfn.IFNA(INDEX(jkm_call_put!$L:$L,MATCH($B22&amp;I$2&amp;$A$1,jkm_call_put!$G:$G&amp;jkm_call_put!$O:$O&amp;jkm_call_put!$F:$F,0),1),"")</f>
        <v/>
      </c>
      <c r="J22" s="7" t="str" cm="1">
        <f t="array" aca="1" ref="J22" ca="1">_xlfn.IFNA(INDEX(jkm_call_put!$L:$L,MATCH($B22&amp;J$2&amp;$A$1,jkm_call_put!$G:$G&amp;jkm_call_put!$O:$O&amp;jkm_call_put!$F:$F,0),1),"")</f>
        <v/>
      </c>
      <c r="K22" s="7" t="str" cm="1">
        <f t="array" aca="1" ref="K22" ca="1">_xlfn.IFNA(INDEX(jkm_call_put!$L:$L,MATCH($B22&amp;K$2&amp;$A$1,jkm_call_put!$G:$G&amp;jkm_call_put!$O:$O&amp;jkm_call_put!$F:$F,0),1),"")</f>
        <v/>
      </c>
      <c r="L22" s="7" t="str" cm="1">
        <f t="array" aca="1" ref="L22" ca="1">_xlfn.IFNA(INDEX(jkm_call_put!$L:$L,MATCH($B22&amp;L$2&amp;$A$1,jkm_call_put!$G:$G&amp;jkm_call_put!$O:$O&amp;jkm_call_put!$F:$F,0),1),"")</f>
        <v/>
      </c>
      <c r="M22" s="7" t="str" cm="1">
        <f t="array" aca="1" ref="M22" ca="1">_xlfn.IFNA(INDEX(jkm_call_put!$L:$L,MATCH($B22&amp;M$2&amp;$A$1,jkm_call_put!$G:$G&amp;jkm_call_put!$O:$O&amp;jkm_call_put!$F:$F,0),1),"")</f>
        <v/>
      </c>
      <c r="N22" s="7" t="str" cm="1">
        <f t="array" aca="1" ref="N22" ca="1">_xlfn.IFNA(INDEX(jkm_call_put!$L:$L,MATCH($B22&amp;N$2&amp;$A$1,jkm_call_put!$G:$G&amp;jkm_call_put!$O:$O&amp;jkm_call_put!$F:$F,0),1),"")</f>
        <v/>
      </c>
      <c r="O22" s="7" t="str" cm="1">
        <f t="array" aca="1" ref="O22" ca="1">_xlfn.IFNA(INDEX(jkm_call_put!$L:$L,MATCH($B22&amp;O$2&amp;$A$1,jkm_call_put!$G:$G&amp;jkm_call_put!$O:$O&amp;jkm_call_put!$F:$F,0),1),"")</f>
        <v/>
      </c>
      <c r="P22" s="7" t="str" cm="1">
        <f t="array" aca="1" ref="P22" ca="1">_xlfn.IFNA(INDEX(jkm_call_put!$L:$L,MATCH($B22&amp;P$2&amp;$A$1,jkm_call_put!$G:$G&amp;jkm_call_put!$O:$O&amp;jkm_call_put!$F:$F,0),1),"")</f>
        <v/>
      </c>
      <c r="Q22" s="7" t="str" cm="1">
        <f t="array" aca="1" ref="Q22" ca="1">_xlfn.IFNA(INDEX(jkm_call_put!$L:$L,MATCH($B22&amp;Q$2&amp;$A$1,jkm_call_put!$G:$G&amp;jkm_call_put!$O:$O&amp;jkm_call_put!$F:$F,0),1),"")</f>
        <v/>
      </c>
      <c r="R22" s="7" t="str" cm="1">
        <f t="array" aca="1" ref="R22" ca="1">_xlfn.IFNA(INDEX(jkm_call_put!$L:$L,MATCH($B22&amp;R$2&amp;$A$1,jkm_call_put!$G:$G&amp;jkm_call_put!$O:$O&amp;jkm_call_put!$F:$F,0),1),"")</f>
        <v/>
      </c>
      <c r="S22" s="7" t="str" cm="1">
        <f t="array" aca="1" ref="S22" ca="1">_xlfn.IFNA(INDEX(jkm_call_put!$L:$L,MATCH($B22&amp;S$2&amp;$A$1,jkm_call_put!$G:$G&amp;jkm_call_put!$O:$O&amp;jkm_call_put!$F:$F,0),1),"")</f>
        <v/>
      </c>
      <c r="T22" s="7" t="str" cm="1">
        <f t="array" aca="1" ref="T22" ca="1">_xlfn.IFNA(INDEX(jkm_call_put!$L:$L,MATCH($B22&amp;T$2&amp;$A$1,jkm_call_put!$G:$G&amp;jkm_call_put!$O:$O&amp;jkm_call_put!$F:$F,0),1),"")</f>
        <v/>
      </c>
      <c r="U22" s="7" t="str" cm="1">
        <f t="array" aca="1" ref="U22" ca="1">_xlfn.IFNA(INDEX(jkm_call_put!$L:$L,MATCH($B22&amp;U$2&amp;$A$1,jkm_call_put!$G:$G&amp;jkm_call_put!$O:$O&amp;jkm_call_put!$F:$F,0),1),"")</f>
        <v/>
      </c>
      <c r="V22" s="7" t="str" cm="1">
        <f t="array" aca="1" ref="V22" ca="1">_xlfn.IFNA(INDEX(jkm_call_put!$L:$L,MATCH($B22&amp;V$2&amp;$A$1,jkm_call_put!$G:$G&amp;jkm_call_put!$O:$O&amp;jkm_call_put!$F:$F,0),1),"")</f>
        <v/>
      </c>
      <c r="W22" s="7" t="str" cm="1">
        <f t="array" aca="1" ref="W22" ca="1">_xlfn.IFNA(INDEX(jkm_call_put!$L:$L,MATCH($B22&amp;W$2&amp;$A$1,jkm_call_put!$G:$G&amp;jkm_call_put!$O:$O&amp;jkm_call_put!$F:$F,0),1),"")</f>
        <v/>
      </c>
      <c r="X22" s="7" t="str" cm="1">
        <f t="array" aca="1" ref="X22" ca="1">_xlfn.IFNA(INDEX(jkm_call_put!$L:$L,MATCH($B22&amp;X$2&amp;$A$1,jkm_call_put!$G:$G&amp;jkm_call_put!$O:$O&amp;jkm_call_put!$F:$F,0),1),"")</f>
        <v/>
      </c>
      <c r="Y22" s="7" t="str" cm="1">
        <f t="array" aca="1" ref="Y22" ca="1">_xlfn.IFNA(INDEX(jkm_call_put!$L:$L,MATCH($B22&amp;Y$2&amp;$A$1,jkm_call_put!$G:$G&amp;jkm_call_put!$O:$O&amp;jkm_call_put!$F:$F,0),1),"")</f>
        <v/>
      </c>
      <c r="Z22" s="7" t="str" cm="1">
        <f t="array" aca="1" ref="Z22" ca="1">_xlfn.IFNA(INDEX(jkm_call_put!$L:$L,MATCH($B22&amp;Z$2&amp;$A$1,jkm_call_put!$G:$G&amp;jkm_call_put!$O:$O&amp;jkm_call_put!$F:$F,0),1),"")</f>
        <v/>
      </c>
      <c r="AA22" s="7" t="str" cm="1">
        <f t="array" aca="1" ref="AA22" ca="1">_xlfn.IFNA(INDEX(jkm_call_put!$L:$L,MATCH($B22&amp;AA$2&amp;$A$1,jkm_call_put!$G:$G&amp;jkm_call_put!$O:$O&amp;jkm_call_put!$F:$F,0),1),"")</f>
        <v/>
      </c>
      <c r="AB22" s="7" t="str" cm="1">
        <f t="array" aca="1" ref="AB22" ca="1">_xlfn.IFNA(INDEX(jkm_call_put!$L:$L,MATCH($B22&amp;AB$2&amp;$A$1,jkm_call_put!$G:$G&amp;jkm_call_put!$O:$O&amp;jkm_call_put!$F:$F,0),1),"")</f>
        <v/>
      </c>
      <c r="AC22" s="7" t="str" cm="1">
        <f t="array" aca="1" ref="AC22" ca="1">_xlfn.IFNA(INDEX(jkm_call_put!$L:$L,MATCH($B22&amp;AC$2&amp;$A$1,jkm_call_put!$G:$G&amp;jkm_call_put!$O:$O&amp;jkm_call_put!$F:$F,0),1),"")</f>
        <v/>
      </c>
      <c r="AD22" s="7" t="str" cm="1">
        <f t="array" aca="1" ref="AD22" ca="1">_xlfn.IFNA(INDEX(jkm_call_put!$L:$L,MATCH($B22&amp;AD$2&amp;$A$1,jkm_call_put!$G:$G&amp;jkm_call_put!$O:$O&amp;jkm_call_put!$F:$F,0),1),"")</f>
        <v/>
      </c>
      <c r="AE22" s="7" t="str" cm="1">
        <f t="array" aca="1" ref="AE22" ca="1">_xlfn.IFNA(INDEX(jkm_call_put!$L:$L,MATCH($B22&amp;AE$2&amp;$A$1,jkm_call_put!$G:$G&amp;jkm_call_put!$O:$O&amp;jkm_call_put!$F:$F,0),1),"")</f>
        <v/>
      </c>
      <c r="AF22" s="7" t="str" cm="1">
        <f t="array" aca="1" ref="AF22" ca="1">_xlfn.IFNA(INDEX(jkm_call_put!$L:$L,MATCH($B22&amp;AF$2&amp;$A$1,jkm_call_put!$G:$G&amp;jkm_call_put!$O:$O&amp;jkm_call_put!$F:$F,0),1),"")</f>
        <v/>
      </c>
      <c r="AG22" s="7" t="str" cm="1">
        <f t="array" aca="1" ref="AG22" ca="1">_xlfn.IFNA(INDEX(jkm_call_put!$L:$L,MATCH($B22&amp;AG$2&amp;$A$1,jkm_call_put!$G:$G&amp;jkm_call_put!$O:$O&amp;jkm_call_put!$F:$F,0),1),"")</f>
        <v/>
      </c>
      <c r="AH22" s="7" t="str" cm="1">
        <f t="array" aca="1" ref="AH22" ca="1">_xlfn.IFNA(INDEX(jkm_call_put!$L:$L,MATCH($B22&amp;AH$2&amp;$A$1,jkm_call_put!$G:$G&amp;jkm_call_put!$O:$O&amp;jkm_call_put!$F:$F,0),1),"")</f>
        <v/>
      </c>
      <c r="AI22" s="7" t="str" cm="1">
        <f t="array" aca="1" ref="AI22" ca="1">_xlfn.IFNA(INDEX(jkm_call_put!$L:$L,MATCH($B22&amp;AI$2&amp;$A$1,jkm_call_put!$G:$G&amp;jkm_call_put!$O:$O&amp;jkm_call_put!$F:$F,0),1),"")</f>
        <v/>
      </c>
      <c r="AJ22" s="7" t="str" cm="1">
        <f t="array" aca="1" ref="AJ22" ca="1">_xlfn.IFNA(INDEX(jkm_call_put!$L:$L,MATCH($B22&amp;AJ$2&amp;$A$1,jkm_call_put!$G:$G&amp;jkm_call_put!$O:$O&amp;jkm_call_put!$F:$F,0),1),"")</f>
        <v/>
      </c>
      <c r="AK22" s="7" t="str" cm="1">
        <f t="array" aca="1" ref="AK22" ca="1">_xlfn.IFNA(INDEX(jkm_call_put!$L:$L,MATCH($B22&amp;AK$2&amp;$A$1,jkm_call_put!$G:$G&amp;jkm_call_put!$O:$O&amp;jkm_call_put!$F:$F,0),1),"")</f>
        <v/>
      </c>
      <c r="AL22" s="7" t="str" cm="1">
        <f t="array" aca="1" ref="AL22" ca="1">_xlfn.IFNA(INDEX(jkm_call_put!$L:$L,MATCH($B22&amp;AL$2&amp;$A$1,jkm_call_put!$G:$G&amp;jkm_call_put!$O:$O&amp;jkm_call_put!$F:$F,0),1),"")</f>
        <v/>
      </c>
    </row>
    <row r="23" spans="2:38" x14ac:dyDescent="0.25">
      <c r="B23">
        <v>20</v>
      </c>
      <c r="C23" s="7" cm="1">
        <f t="array" aca="1" ref="C23" ca="1">_xlfn.IFNA(INDEX(jkm_call_put!$L:$L,MATCH($B23&amp;C$2&amp;$A$1,jkm_call_put!$G:$G&amp;jkm_call_put!$O:$O&amp;jkm_call_put!$F:$F,0),1),"")</f>
        <v>30.907</v>
      </c>
      <c r="D23" s="7" cm="1">
        <f t="array" aca="1" ref="D23" ca="1">_xlfn.IFNA(INDEX(jkm_call_put!$L:$L,MATCH($B23&amp;D$2&amp;$A$1,jkm_call_put!$G:$G&amp;jkm_call_put!$O:$O&amp;jkm_call_put!$F:$F,0),1),"")</f>
        <v>41.802700000000002</v>
      </c>
      <c r="E23" s="7" cm="1">
        <f t="array" aca="1" ref="E23" ca="1">_xlfn.IFNA(INDEX(jkm_call_put!$L:$L,MATCH($B23&amp;E$2&amp;$A$1,jkm_call_put!$G:$G&amp;jkm_call_put!$O:$O&amp;jkm_call_put!$F:$F,0),1),"")</f>
        <v>75.380200000000002</v>
      </c>
      <c r="F23" s="7" cm="1">
        <f t="array" aca="1" ref="F23" ca="1">_xlfn.IFNA(INDEX(jkm_call_put!$L:$L,MATCH($B23&amp;F$2&amp;$A$1,jkm_call_put!$G:$G&amp;jkm_call_put!$O:$O&amp;jkm_call_put!$F:$F,0),1),"")</f>
        <v>77.863900000000001</v>
      </c>
      <c r="G23" s="7" cm="1">
        <f t="array" aca="1" ref="G23" ca="1">_xlfn.IFNA(INDEX(jkm_call_put!$L:$L,MATCH($B23&amp;G$2&amp;$A$1,jkm_call_put!$G:$G&amp;jkm_call_put!$O:$O&amp;jkm_call_put!$F:$F,0),1),"")</f>
        <v>79.925899999999999</v>
      </c>
      <c r="H23" s="7" cm="1">
        <f t="array" aca="1" ref="H23" ca="1">_xlfn.IFNA(INDEX(jkm_call_put!$L:$L,MATCH($B23&amp;H$2&amp;$A$1,jkm_call_put!$G:$G&amp;jkm_call_put!$O:$O&amp;jkm_call_put!$F:$F,0),1),"")</f>
        <v>63.792000000000002</v>
      </c>
      <c r="I23" s="7" cm="1">
        <f t="array" aca="1" ref="I23" ca="1">_xlfn.IFNA(INDEX(jkm_call_put!$L:$L,MATCH($B23&amp;I$2&amp;$A$1,jkm_call_put!$G:$G&amp;jkm_call_put!$O:$O&amp;jkm_call_put!$F:$F,0),1),"")</f>
        <v>64.445499999999996</v>
      </c>
      <c r="J23" s="7" cm="1">
        <f t="array" aca="1" ref="J23" ca="1">_xlfn.IFNA(INDEX(jkm_call_put!$L:$L,MATCH($B23&amp;J$2&amp;$A$1,jkm_call_put!$G:$G&amp;jkm_call_put!$O:$O&amp;jkm_call_put!$F:$F,0),1),"")</f>
        <v>64.945499999999996</v>
      </c>
      <c r="K23" s="7" cm="1">
        <f t="array" aca="1" ref="K23" ca="1">_xlfn.IFNA(INDEX(jkm_call_put!$L:$L,MATCH($B23&amp;K$2&amp;$A$1,jkm_call_put!$G:$G&amp;jkm_call_put!$O:$O&amp;jkm_call_put!$F:$F,0),1),"")</f>
        <v>65.056299999999993</v>
      </c>
      <c r="L23" s="7" cm="1">
        <f t="array" aca="1" ref="L23" ca="1">_xlfn.IFNA(INDEX(jkm_call_put!$L:$L,MATCH($B23&amp;L$2&amp;$A$1,jkm_call_put!$G:$G&amp;jkm_call_put!$O:$O&amp;jkm_call_put!$F:$F,0),1),"")</f>
        <v>65.342699999999994</v>
      </c>
      <c r="M23" s="7" cm="1">
        <f t="array" aca="1" ref="M23" ca="1">_xlfn.IFNA(INDEX(jkm_call_put!$L:$L,MATCH($B23&amp;M$2&amp;$A$1,jkm_call_put!$G:$G&amp;jkm_call_put!$O:$O&amp;jkm_call_put!$F:$F,0),1),"")</f>
        <v>65.538700000000006</v>
      </c>
      <c r="N23" s="7" cm="1">
        <f t="array" aca="1" ref="N23" ca="1">_xlfn.IFNA(INDEX(jkm_call_put!$L:$L,MATCH($B23&amp;N$2&amp;$A$1,jkm_call_put!$G:$G&amp;jkm_call_put!$O:$O&amp;jkm_call_put!$F:$F,0),1),"")</f>
        <v>47.473300000000002</v>
      </c>
      <c r="O23" s="7" cm="1">
        <f t="array" aca="1" ref="O23" ca="1">_xlfn.IFNA(INDEX(jkm_call_put!$L:$L,MATCH($B23&amp;O$2&amp;$A$1,jkm_call_put!$G:$G&amp;jkm_call_put!$O:$O&amp;jkm_call_put!$F:$F,0),1),"")</f>
        <v>47.5077</v>
      </c>
      <c r="P23" s="7" cm="1">
        <f t="array" aca="1" ref="P23" ca="1">_xlfn.IFNA(INDEX(jkm_call_put!$L:$L,MATCH($B23&amp;P$2&amp;$A$1,jkm_call_put!$G:$G&amp;jkm_call_put!$O:$O&amp;jkm_call_put!$F:$F,0),1),"")</f>
        <v>47.7181</v>
      </c>
      <c r="Q23" s="7" cm="1">
        <f t="array" aca="1" ref="Q23" ca="1">_xlfn.IFNA(INDEX(jkm_call_put!$L:$L,MATCH($B23&amp;Q$2&amp;$A$1,jkm_call_put!$G:$G&amp;jkm_call_put!$O:$O&amp;jkm_call_put!$F:$F,0),1),"")</f>
        <v>47.669400000000003</v>
      </c>
      <c r="R23" s="7" cm="1">
        <f t="array" aca="1" ref="R23" ca="1">_xlfn.IFNA(INDEX(jkm_call_put!$L:$L,MATCH($B23&amp;R$2&amp;$A$1,jkm_call_put!$G:$G&amp;jkm_call_put!$O:$O&amp;jkm_call_put!$F:$F,0),1),"")</f>
        <v>47.638599999999997</v>
      </c>
      <c r="S23" s="7" cm="1">
        <f t="array" aca="1" ref="S23" ca="1">_xlfn.IFNA(INDEX(jkm_call_put!$L:$L,MATCH($B23&amp;S$2&amp;$A$1,jkm_call_put!$G:$G&amp;jkm_call_put!$O:$O&amp;jkm_call_put!$F:$F,0),1),"")</f>
        <v>47.739100000000001</v>
      </c>
      <c r="T23" s="7" cm="1">
        <f t="array" aca="1" ref="T23" ca="1">_xlfn.IFNA(INDEX(jkm_call_put!$L:$L,MATCH($B23&amp;T$2&amp;$A$1,jkm_call_put!$G:$G&amp;jkm_call_put!$O:$O&amp;jkm_call_put!$F:$F,0),1),"")</f>
        <v>34.996299999999998</v>
      </c>
      <c r="U23" s="7" cm="1">
        <f t="array" aca="1" ref="U23" ca="1">_xlfn.IFNA(INDEX(jkm_call_put!$L:$L,MATCH($B23&amp;U$2&amp;$A$1,jkm_call_put!$G:$G&amp;jkm_call_put!$O:$O&amp;jkm_call_put!$F:$F,0),1),"")</f>
        <v>34.887</v>
      </c>
      <c r="V23" s="7" cm="1">
        <f t="array" aca="1" ref="V23" ca="1">_xlfn.IFNA(INDEX(jkm_call_put!$L:$L,MATCH($B23&amp;V$2&amp;$A$1,jkm_call_put!$G:$G&amp;jkm_call_put!$O:$O&amp;jkm_call_put!$F:$F,0),1),"")</f>
        <v>34.755400000000002</v>
      </c>
      <c r="W23" s="7" t="str" cm="1">
        <f t="array" aca="1" ref="W23" ca="1">_xlfn.IFNA(INDEX(jkm_call_put!$L:$L,MATCH($B23&amp;W$2&amp;$A$1,jkm_call_put!$G:$G&amp;jkm_call_put!$O:$O&amp;jkm_call_put!$F:$F,0),1),"")</f>
        <v/>
      </c>
      <c r="X23" s="7" t="str" cm="1">
        <f t="array" aca="1" ref="X23" ca="1">_xlfn.IFNA(INDEX(jkm_call_put!$L:$L,MATCH($B23&amp;X$2&amp;$A$1,jkm_call_put!$G:$G&amp;jkm_call_put!$O:$O&amp;jkm_call_put!$F:$F,0),1),"")</f>
        <v/>
      </c>
      <c r="Y23" s="7" t="str" cm="1">
        <f t="array" aca="1" ref="Y23" ca="1">_xlfn.IFNA(INDEX(jkm_call_put!$L:$L,MATCH($B23&amp;Y$2&amp;$A$1,jkm_call_put!$G:$G&amp;jkm_call_put!$O:$O&amp;jkm_call_put!$F:$F,0),1),"")</f>
        <v/>
      </c>
      <c r="Z23" s="7" t="str" cm="1">
        <f t="array" aca="1" ref="Z23" ca="1">_xlfn.IFNA(INDEX(jkm_call_put!$L:$L,MATCH($B23&amp;Z$2&amp;$A$1,jkm_call_put!$G:$G&amp;jkm_call_put!$O:$O&amp;jkm_call_put!$F:$F,0),1),"")</f>
        <v/>
      </c>
      <c r="AA23" s="7" t="str" cm="1">
        <f t="array" aca="1" ref="AA23" ca="1">_xlfn.IFNA(INDEX(jkm_call_put!$L:$L,MATCH($B23&amp;AA$2&amp;$A$1,jkm_call_put!$G:$G&amp;jkm_call_put!$O:$O&amp;jkm_call_put!$F:$F,0),1),"")</f>
        <v/>
      </c>
      <c r="AB23" s="7" t="str" cm="1">
        <f t="array" aca="1" ref="AB23" ca="1">_xlfn.IFNA(INDEX(jkm_call_put!$L:$L,MATCH($B23&amp;AB$2&amp;$A$1,jkm_call_put!$G:$G&amp;jkm_call_put!$O:$O&amp;jkm_call_put!$F:$F,0),1),"")</f>
        <v/>
      </c>
      <c r="AC23" s="7" t="str" cm="1">
        <f t="array" aca="1" ref="AC23" ca="1">_xlfn.IFNA(INDEX(jkm_call_put!$L:$L,MATCH($B23&amp;AC$2&amp;$A$1,jkm_call_put!$G:$G&amp;jkm_call_put!$O:$O&amp;jkm_call_put!$F:$F,0),1),"")</f>
        <v/>
      </c>
      <c r="AD23" s="7" t="str" cm="1">
        <f t="array" aca="1" ref="AD23" ca="1">_xlfn.IFNA(INDEX(jkm_call_put!$L:$L,MATCH($B23&amp;AD$2&amp;$A$1,jkm_call_put!$G:$G&amp;jkm_call_put!$O:$O&amp;jkm_call_put!$F:$F,0),1),"")</f>
        <v/>
      </c>
      <c r="AE23" s="7" t="str" cm="1">
        <f t="array" aca="1" ref="AE23" ca="1">_xlfn.IFNA(INDEX(jkm_call_put!$L:$L,MATCH($B23&amp;AE$2&amp;$A$1,jkm_call_put!$G:$G&amp;jkm_call_put!$O:$O&amp;jkm_call_put!$F:$F,0),1),"")</f>
        <v/>
      </c>
      <c r="AF23" s="7" t="str" cm="1">
        <f t="array" aca="1" ref="AF23" ca="1">_xlfn.IFNA(INDEX(jkm_call_put!$L:$L,MATCH($B23&amp;AF$2&amp;$A$1,jkm_call_put!$G:$G&amp;jkm_call_put!$O:$O&amp;jkm_call_put!$F:$F,0),1),"")</f>
        <v/>
      </c>
      <c r="AG23" s="7" t="str" cm="1">
        <f t="array" aca="1" ref="AG23" ca="1">_xlfn.IFNA(INDEX(jkm_call_put!$L:$L,MATCH($B23&amp;AG$2&amp;$A$1,jkm_call_put!$G:$G&amp;jkm_call_put!$O:$O&amp;jkm_call_put!$F:$F,0),1),"")</f>
        <v/>
      </c>
      <c r="AH23" s="7" t="str" cm="1">
        <f t="array" aca="1" ref="AH23" ca="1">_xlfn.IFNA(INDEX(jkm_call_put!$L:$L,MATCH($B23&amp;AH$2&amp;$A$1,jkm_call_put!$G:$G&amp;jkm_call_put!$O:$O&amp;jkm_call_put!$F:$F,0),1),"")</f>
        <v/>
      </c>
      <c r="AI23" s="7" t="str" cm="1">
        <f t="array" aca="1" ref="AI23" ca="1">_xlfn.IFNA(INDEX(jkm_call_put!$L:$L,MATCH($B23&amp;AI$2&amp;$A$1,jkm_call_put!$G:$G&amp;jkm_call_put!$O:$O&amp;jkm_call_put!$F:$F,0),1),"")</f>
        <v/>
      </c>
      <c r="AJ23" s="7" t="str" cm="1">
        <f t="array" aca="1" ref="AJ23" ca="1">_xlfn.IFNA(INDEX(jkm_call_put!$L:$L,MATCH($B23&amp;AJ$2&amp;$A$1,jkm_call_put!$G:$G&amp;jkm_call_put!$O:$O&amp;jkm_call_put!$F:$F,0),1),"")</f>
        <v/>
      </c>
      <c r="AK23" s="7" t="str" cm="1">
        <f t="array" aca="1" ref="AK23" ca="1">_xlfn.IFNA(INDEX(jkm_call_put!$L:$L,MATCH($B23&amp;AK$2&amp;$A$1,jkm_call_put!$G:$G&amp;jkm_call_put!$O:$O&amp;jkm_call_put!$F:$F,0),1),"")</f>
        <v/>
      </c>
      <c r="AL23" s="7" t="str" cm="1">
        <f t="array" aca="1" ref="AL23" ca="1">_xlfn.IFNA(INDEX(jkm_call_put!$L:$L,MATCH($B23&amp;AL$2&amp;$A$1,jkm_call_put!$G:$G&amp;jkm_call_put!$O:$O&amp;jkm_call_put!$F:$F,0),1),"")</f>
        <v/>
      </c>
    </row>
    <row r="24" spans="2:38" x14ac:dyDescent="0.25">
      <c r="B24">
        <v>25</v>
      </c>
      <c r="C24" s="7" cm="1">
        <f t="array" aca="1" ref="C24" ca="1">_xlfn.IFNA(INDEX(jkm_call_put!$L:$L,MATCH($B24&amp;C$2&amp;$A$1,jkm_call_put!$G:$G&amp;jkm_call_put!$O:$O&amp;jkm_call_put!$F:$F,0),1),"")</f>
        <v>31.616099999999999</v>
      </c>
      <c r="D24" s="7" cm="1">
        <f t="array" aca="1" ref="D24" ca="1">_xlfn.IFNA(INDEX(jkm_call_put!$L:$L,MATCH($B24&amp;D$2&amp;$A$1,jkm_call_put!$G:$G&amp;jkm_call_put!$O:$O&amp;jkm_call_put!$F:$F,0),1),"")</f>
        <v>41.1952</v>
      </c>
      <c r="E24" s="7" cm="1">
        <f t="array" aca="1" ref="E24" ca="1">_xlfn.IFNA(INDEX(jkm_call_put!$L:$L,MATCH($B24&amp;E$2&amp;$A$1,jkm_call_put!$G:$G&amp;jkm_call_put!$O:$O&amp;jkm_call_put!$F:$F,0),1),"")</f>
        <v>75.823800000000006</v>
      </c>
      <c r="F24" s="7" cm="1">
        <f t="array" aca="1" ref="F24" ca="1">_xlfn.IFNA(INDEX(jkm_call_put!$L:$L,MATCH($B24&amp;F$2&amp;$A$1,jkm_call_put!$G:$G&amp;jkm_call_put!$O:$O&amp;jkm_call_put!$F:$F,0),1),"")</f>
        <v>78.393100000000004</v>
      </c>
      <c r="G24" s="7" cm="1">
        <f t="array" aca="1" ref="G24" ca="1">_xlfn.IFNA(INDEX(jkm_call_put!$L:$L,MATCH($B24&amp;G$2&amp;$A$1,jkm_call_put!$G:$G&amp;jkm_call_put!$O:$O&amp;jkm_call_put!$F:$F,0),1),"")</f>
        <v>81.280500000000004</v>
      </c>
      <c r="H24" s="7" cm="1">
        <f t="array" aca="1" ref="H24" ca="1">_xlfn.IFNA(INDEX(jkm_call_put!$L:$L,MATCH($B24&amp;H$2&amp;$A$1,jkm_call_put!$G:$G&amp;jkm_call_put!$O:$O&amp;jkm_call_put!$F:$F,0),1),"")</f>
        <v>63.9026</v>
      </c>
      <c r="I24" s="7" cm="1">
        <f t="array" aca="1" ref="I24" ca="1">_xlfn.IFNA(INDEX(jkm_call_put!$L:$L,MATCH($B24&amp;I$2&amp;$A$1,jkm_call_put!$G:$G&amp;jkm_call_put!$O:$O&amp;jkm_call_put!$F:$F,0),1),"")</f>
        <v>64.578800000000001</v>
      </c>
      <c r="J24" s="7" cm="1">
        <f t="array" aca="1" ref="J24" ca="1">_xlfn.IFNA(INDEX(jkm_call_put!$L:$L,MATCH($B24&amp;J$2&amp;$A$1,jkm_call_put!$G:$G&amp;jkm_call_put!$O:$O&amp;jkm_call_put!$F:$F,0),1),"")</f>
        <v>65.1066</v>
      </c>
      <c r="K24" s="7" cm="1">
        <f t="array" aca="1" ref="K24" ca="1">_xlfn.IFNA(INDEX(jkm_call_put!$L:$L,MATCH($B24&amp;K$2&amp;$A$1,jkm_call_put!$G:$G&amp;jkm_call_put!$O:$O&amp;jkm_call_put!$F:$F,0),1),"")</f>
        <v>65.212800000000001</v>
      </c>
      <c r="L24" s="7" t="str" cm="1">
        <f t="array" aca="1" ref="L24" ca="1">_xlfn.IFNA(INDEX(jkm_call_put!$L:$L,MATCH($B24&amp;L$2&amp;$A$1,jkm_call_put!$G:$G&amp;jkm_call_put!$O:$O&amp;jkm_call_put!$F:$F,0),1),"")</f>
        <v/>
      </c>
      <c r="M24" s="7" t="str" cm="1">
        <f t="array" aca="1" ref="M24" ca="1">_xlfn.IFNA(INDEX(jkm_call_put!$L:$L,MATCH($B24&amp;M$2&amp;$A$1,jkm_call_put!$G:$G&amp;jkm_call_put!$O:$O&amp;jkm_call_put!$F:$F,0),1),"")</f>
        <v/>
      </c>
      <c r="N24" s="7" t="str" cm="1">
        <f t="array" aca="1" ref="N24" ca="1">_xlfn.IFNA(INDEX(jkm_call_put!$L:$L,MATCH($B24&amp;N$2&amp;$A$1,jkm_call_put!$G:$G&amp;jkm_call_put!$O:$O&amp;jkm_call_put!$F:$F,0),1),"")</f>
        <v/>
      </c>
      <c r="O24" s="7" t="str" cm="1">
        <f t="array" aca="1" ref="O24" ca="1">_xlfn.IFNA(INDEX(jkm_call_put!$L:$L,MATCH($B24&amp;O$2&amp;$A$1,jkm_call_put!$G:$G&amp;jkm_call_put!$O:$O&amp;jkm_call_put!$F:$F,0),1),"")</f>
        <v/>
      </c>
      <c r="P24" s="7" t="str" cm="1">
        <f t="array" aca="1" ref="P24" ca="1">_xlfn.IFNA(INDEX(jkm_call_put!$L:$L,MATCH($B24&amp;P$2&amp;$A$1,jkm_call_put!$G:$G&amp;jkm_call_put!$O:$O&amp;jkm_call_put!$F:$F,0),1),"")</f>
        <v/>
      </c>
      <c r="Q24" s="7" t="str" cm="1">
        <f t="array" aca="1" ref="Q24" ca="1">_xlfn.IFNA(INDEX(jkm_call_put!$L:$L,MATCH($B24&amp;Q$2&amp;$A$1,jkm_call_put!$G:$G&amp;jkm_call_put!$O:$O&amp;jkm_call_put!$F:$F,0),1),"")</f>
        <v/>
      </c>
      <c r="R24" s="7" t="str" cm="1">
        <f t="array" aca="1" ref="R24" ca="1">_xlfn.IFNA(INDEX(jkm_call_put!$L:$L,MATCH($B24&amp;R$2&amp;$A$1,jkm_call_put!$G:$G&amp;jkm_call_put!$O:$O&amp;jkm_call_put!$F:$F,0),1),"")</f>
        <v/>
      </c>
      <c r="S24" s="7" t="str" cm="1">
        <f t="array" aca="1" ref="S24" ca="1">_xlfn.IFNA(INDEX(jkm_call_put!$L:$L,MATCH($B24&amp;S$2&amp;$A$1,jkm_call_put!$G:$G&amp;jkm_call_put!$O:$O&amp;jkm_call_put!$F:$F,0),1),"")</f>
        <v/>
      </c>
      <c r="T24" s="7" t="str" cm="1">
        <f t="array" aca="1" ref="T24" ca="1">_xlfn.IFNA(INDEX(jkm_call_put!$L:$L,MATCH($B24&amp;T$2&amp;$A$1,jkm_call_put!$G:$G&amp;jkm_call_put!$O:$O&amp;jkm_call_put!$F:$F,0),1),"")</f>
        <v/>
      </c>
      <c r="U24" s="7" t="str" cm="1">
        <f t="array" aca="1" ref="U24" ca="1">_xlfn.IFNA(INDEX(jkm_call_put!$L:$L,MATCH($B24&amp;U$2&amp;$A$1,jkm_call_put!$G:$G&amp;jkm_call_put!$O:$O&amp;jkm_call_put!$F:$F,0),1),"")</f>
        <v/>
      </c>
      <c r="V24" s="7" t="str" cm="1">
        <f t="array" aca="1" ref="V24" ca="1">_xlfn.IFNA(INDEX(jkm_call_put!$L:$L,MATCH($B24&amp;V$2&amp;$A$1,jkm_call_put!$G:$G&amp;jkm_call_put!$O:$O&amp;jkm_call_put!$F:$F,0),1),"")</f>
        <v/>
      </c>
      <c r="W24" s="7" t="str" cm="1">
        <f t="array" aca="1" ref="W24" ca="1">_xlfn.IFNA(INDEX(jkm_call_put!$L:$L,MATCH($B24&amp;W$2&amp;$A$1,jkm_call_put!$G:$G&amp;jkm_call_put!$O:$O&amp;jkm_call_put!$F:$F,0),1),"")</f>
        <v/>
      </c>
      <c r="X24" s="7" t="str" cm="1">
        <f t="array" aca="1" ref="X24" ca="1">_xlfn.IFNA(INDEX(jkm_call_put!$L:$L,MATCH($B24&amp;X$2&amp;$A$1,jkm_call_put!$G:$G&amp;jkm_call_put!$O:$O&amp;jkm_call_put!$F:$F,0),1),"")</f>
        <v/>
      </c>
      <c r="Y24" s="7" t="str" cm="1">
        <f t="array" aca="1" ref="Y24" ca="1">_xlfn.IFNA(INDEX(jkm_call_put!$L:$L,MATCH($B24&amp;Y$2&amp;$A$1,jkm_call_put!$G:$G&amp;jkm_call_put!$O:$O&amp;jkm_call_put!$F:$F,0),1),"")</f>
        <v/>
      </c>
      <c r="Z24" s="7" t="str" cm="1">
        <f t="array" aca="1" ref="Z24" ca="1">_xlfn.IFNA(INDEX(jkm_call_put!$L:$L,MATCH($B24&amp;Z$2&amp;$A$1,jkm_call_put!$G:$G&amp;jkm_call_put!$O:$O&amp;jkm_call_put!$F:$F,0),1),"")</f>
        <v/>
      </c>
      <c r="AA24" s="7" t="str" cm="1">
        <f t="array" aca="1" ref="AA24" ca="1">_xlfn.IFNA(INDEX(jkm_call_put!$L:$L,MATCH($B24&amp;AA$2&amp;$A$1,jkm_call_put!$G:$G&amp;jkm_call_put!$O:$O&amp;jkm_call_put!$F:$F,0),1),"")</f>
        <v/>
      </c>
      <c r="AB24" s="7" t="str" cm="1">
        <f t="array" aca="1" ref="AB24" ca="1">_xlfn.IFNA(INDEX(jkm_call_put!$L:$L,MATCH($B24&amp;AB$2&amp;$A$1,jkm_call_put!$G:$G&amp;jkm_call_put!$O:$O&amp;jkm_call_put!$F:$F,0),1),"")</f>
        <v/>
      </c>
      <c r="AC24" s="7" t="str" cm="1">
        <f t="array" aca="1" ref="AC24" ca="1">_xlfn.IFNA(INDEX(jkm_call_put!$L:$L,MATCH($B24&amp;AC$2&amp;$A$1,jkm_call_put!$G:$G&amp;jkm_call_put!$O:$O&amp;jkm_call_put!$F:$F,0),1),"")</f>
        <v/>
      </c>
      <c r="AD24" s="7" t="str" cm="1">
        <f t="array" aca="1" ref="AD24" ca="1">_xlfn.IFNA(INDEX(jkm_call_put!$L:$L,MATCH($B24&amp;AD$2&amp;$A$1,jkm_call_put!$G:$G&amp;jkm_call_put!$O:$O&amp;jkm_call_put!$F:$F,0),1),"")</f>
        <v/>
      </c>
      <c r="AE24" s="7" t="str" cm="1">
        <f t="array" aca="1" ref="AE24" ca="1">_xlfn.IFNA(INDEX(jkm_call_put!$L:$L,MATCH($B24&amp;AE$2&amp;$A$1,jkm_call_put!$G:$G&amp;jkm_call_put!$O:$O&amp;jkm_call_put!$F:$F,0),1),"")</f>
        <v/>
      </c>
      <c r="AF24" s="7" t="str" cm="1">
        <f t="array" aca="1" ref="AF24" ca="1">_xlfn.IFNA(INDEX(jkm_call_put!$L:$L,MATCH($B24&amp;AF$2&amp;$A$1,jkm_call_put!$G:$G&amp;jkm_call_put!$O:$O&amp;jkm_call_put!$F:$F,0),1),"")</f>
        <v/>
      </c>
      <c r="AG24" s="7" t="str" cm="1">
        <f t="array" aca="1" ref="AG24" ca="1">_xlfn.IFNA(INDEX(jkm_call_put!$L:$L,MATCH($B24&amp;AG$2&amp;$A$1,jkm_call_put!$G:$G&amp;jkm_call_put!$O:$O&amp;jkm_call_put!$F:$F,0),1),"")</f>
        <v/>
      </c>
      <c r="AH24" s="7" t="str" cm="1">
        <f t="array" aca="1" ref="AH24" ca="1">_xlfn.IFNA(INDEX(jkm_call_put!$L:$L,MATCH($B24&amp;AH$2&amp;$A$1,jkm_call_put!$G:$G&amp;jkm_call_put!$O:$O&amp;jkm_call_put!$F:$F,0),1),"")</f>
        <v/>
      </c>
      <c r="AI24" s="7" t="str" cm="1">
        <f t="array" aca="1" ref="AI24" ca="1">_xlfn.IFNA(INDEX(jkm_call_put!$L:$L,MATCH($B24&amp;AI$2&amp;$A$1,jkm_call_put!$G:$G&amp;jkm_call_put!$O:$O&amp;jkm_call_put!$F:$F,0),1),"")</f>
        <v/>
      </c>
      <c r="AJ24" s="7" t="str" cm="1">
        <f t="array" aca="1" ref="AJ24" ca="1">_xlfn.IFNA(INDEX(jkm_call_put!$L:$L,MATCH($B24&amp;AJ$2&amp;$A$1,jkm_call_put!$G:$G&amp;jkm_call_put!$O:$O&amp;jkm_call_put!$F:$F,0),1),"")</f>
        <v/>
      </c>
      <c r="AK24" s="7" t="str" cm="1">
        <f t="array" aca="1" ref="AK24" ca="1">_xlfn.IFNA(INDEX(jkm_call_put!$L:$L,MATCH($B24&amp;AK$2&amp;$A$1,jkm_call_put!$G:$G&amp;jkm_call_put!$O:$O&amp;jkm_call_put!$F:$F,0),1),"")</f>
        <v/>
      </c>
      <c r="AL24" s="7" t="str" cm="1">
        <f t="array" aca="1" ref="AL24" ca="1">_xlfn.IFNA(INDEX(jkm_call_put!$L:$L,MATCH($B24&amp;AL$2&amp;$A$1,jkm_call_put!$G:$G&amp;jkm_call_put!$O:$O&amp;jkm_call_put!$F:$F,0),1),"")</f>
        <v/>
      </c>
    </row>
    <row r="25" spans="2:38" x14ac:dyDescent="0.25">
      <c r="B25">
        <v>0</v>
      </c>
      <c r="C25" s="7" t="str" cm="1">
        <f t="array" aca="1" ref="C25" ca="1">_xlfn.IFNA(INDEX(jkm_call_put!$L:$L,MATCH($B25&amp;C$2&amp;$A$1,jkm_call_put!$G:$G&amp;jkm_call_put!$O:$O&amp;jkm_call_put!$F:$F,0),1),"")</f>
        <v/>
      </c>
      <c r="D25" s="7" t="str" cm="1">
        <f t="array" aca="1" ref="D25" ca="1">_xlfn.IFNA(INDEX(jkm_call_put!$L:$L,MATCH($B25&amp;D$2&amp;$A$1,jkm_call_put!$G:$G&amp;jkm_call_put!$O:$O&amp;jkm_call_put!$F:$F,0),1),"")</f>
        <v/>
      </c>
      <c r="E25" s="7" t="str" cm="1">
        <f t="array" aca="1" ref="E25" ca="1">_xlfn.IFNA(INDEX(jkm_call_put!$L:$L,MATCH($B25&amp;E$2&amp;$A$1,jkm_call_put!$G:$G&amp;jkm_call_put!$O:$O&amp;jkm_call_put!$F:$F,0),1),"")</f>
        <v/>
      </c>
      <c r="F25" s="7" t="str" cm="1">
        <f t="array" aca="1" ref="F25" ca="1">_xlfn.IFNA(INDEX(jkm_call_put!$L:$L,MATCH($B25&amp;F$2&amp;$A$1,jkm_call_put!$G:$G&amp;jkm_call_put!$O:$O&amp;jkm_call_put!$F:$F,0),1),"")</f>
        <v/>
      </c>
      <c r="G25" s="7" t="str" cm="1">
        <f t="array" aca="1" ref="G25" ca="1">_xlfn.IFNA(INDEX(jkm_call_put!$L:$L,MATCH($B25&amp;G$2&amp;$A$1,jkm_call_put!$G:$G&amp;jkm_call_put!$O:$O&amp;jkm_call_put!$F:$F,0),1),"")</f>
        <v/>
      </c>
      <c r="H25" s="7" t="str" cm="1">
        <f t="array" aca="1" ref="H25" ca="1">_xlfn.IFNA(INDEX(jkm_call_put!$L:$L,MATCH($B25&amp;H$2&amp;$A$1,jkm_call_put!$G:$G&amp;jkm_call_put!$O:$O&amp;jkm_call_put!$F:$F,0),1),"")</f>
        <v/>
      </c>
      <c r="I25" s="7" t="str" cm="1">
        <f t="array" aca="1" ref="I25" ca="1">_xlfn.IFNA(INDEX(jkm_call_put!$L:$L,MATCH($B25&amp;I$2&amp;$A$1,jkm_call_put!$G:$G&amp;jkm_call_put!$O:$O&amp;jkm_call_put!$F:$F,0),1),"")</f>
        <v/>
      </c>
      <c r="J25" s="7" t="str" cm="1">
        <f t="array" aca="1" ref="J25" ca="1">_xlfn.IFNA(INDEX(jkm_call_put!$L:$L,MATCH($B25&amp;J$2&amp;$A$1,jkm_call_put!$G:$G&amp;jkm_call_put!$O:$O&amp;jkm_call_put!$F:$F,0),1),"")</f>
        <v/>
      </c>
      <c r="K25" s="7" t="str" cm="1">
        <f t="array" aca="1" ref="K25" ca="1">_xlfn.IFNA(INDEX(jkm_call_put!$L:$L,MATCH($B25&amp;K$2&amp;$A$1,jkm_call_put!$G:$G&amp;jkm_call_put!$O:$O&amp;jkm_call_put!$F:$F,0),1),"")</f>
        <v/>
      </c>
      <c r="L25" s="7" t="str" cm="1">
        <f t="array" aca="1" ref="L25" ca="1">_xlfn.IFNA(INDEX(jkm_call_put!$L:$L,MATCH($B25&amp;L$2&amp;$A$1,jkm_call_put!$G:$G&amp;jkm_call_put!$O:$O&amp;jkm_call_put!$F:$F,0),1),"")</f>
        <v/>
      </c>
      <c r="M25" s="7" t="str" cm="1">
        <f t="array" aca="1" ref="M25" ca="1">_xlfn.IFNA(INDEX(jkm_call_put!$L:$L,MATCH($B25&amp;M$2&amp;$A$1,jkm_call_put!$G:$G&amp;jkm_call_put!$O:$O&amp;jkm_call_put!$F:$F,0),1),"")</f>
        <v/>
      </c>
      <c r="N25" s="7" t="str" cm="1">
        <f t="array" aca="1" ref="N25" ca="1">_xlfn.IFNA(INDEX(jkm_call_put!$L:$L,MATCH($B25&amp;N$2&amp;$A$1,jkm_call_put!$G:$G&amp;jkm_call_put!$O:$O&amp;jkm_call_put!$F:$F,0),1),"")</f>
        <v/>
      </c>
      <c r="O25" s="7" t="str" cm="1">
        <f t="array" aca="1" ref="O25" ca="1">_xlfn.IFNA(INDEX(jkm_call_put!$L:$L,MATCH($B25&amp;O$2&amp;$A$1,jkm_call_put!$G:$G&amp;jkm_call_put!$O:$O&amp;jkm_call_put!$F:$F,0),1),"")</f>
        <v/>
      </c>
      <c r="P25" s="7" t="str" cm="1">
        <f t="array" aca="1" ref="P25" ca="1">_xlfn.IFNA(INDEX(jkm_call_put!$L:$L,MATCH($B25&amp;P$2&amp;$A$1,jkm_call_put!$G:$G&amp;jkm_call_put!$O:$O&amp;jkm_call_put!$F:$F,0),1),"")</f>
        <v/>
      </c>
      <c r="Q25" s="7" t="str" cm="1">
        <f t="array" aca="1" ref="Q25" ca="1">_xlfn.IFNA(INDEX(jkm_call_put!$L:$L,MATCH($B25&amp;Q$2&amp;$A$1,jkm_call_put!$G:$G&amp;jkm_call_put!$O:$O&amp;jkm_call_put!$F:$F,0),1),"")</f>
        <v/>
      </c>
      <c r="R25" s="7" t="str" cm="1">
        <f t="array" aca="1" ref="R25" ca="1">_xlfn.IFNA(INDEX(jkm_call_put!$L:$L,MATCH($B25&amp;R$2&amp;$A$1,jkm_call_put!$G:$G&amp;jkm_call_put!$O:$O&amp;jkm_call_put!$F:$F,0),1),"")</f>
        <v/>
      </c>
      <c r="S25" s="7" t="str" cm="1">
        <f t="array" aca="1" ref="S25" ca="1">_xlfn.IFNA(INDEX(jkm_call_put!$L:$L,MATCH($B25&amp;S$2&amp;$A$1,jkm_call_put!$G:$G&amp;jkm_call_put!$O:$O&amp;jkm_call_put!$F:$F,0),1),"")</f>
        <v/>
      </c>
      <c r="T25" s="7" t="str" cm="1">
        <f t="array" aca="1" ref="T25" ca="1">_xlfn.IFNA(INDEX(jkm_call_put!$L:$L,MATCH($B25&amp;T$2&amp;$A$1,jkm_call_put!$G:$G&amp;jkm_call_put!$O:$O&amp;jkm_call_put!$F:$F,0),1),"")</f>
        <v/>
      </c>
      <c r="U25" s="7" t="str" cm="1">
        <f t="array" aca="1" ref="U25" ca="1">_xlfn.IFNA(INDEX(jkm_call_put!$L:$L,MATCH($B25&amp;U$2&amp;$A$1,jkm_call_put!$G:$G&amp;jkm_call_put!$O:$O&amp;jkm_call_put!$F:$F,0),1),"")</f>
        <v/>
      </c>
      <c r="V25" s="7" t="str" cm="1">
        <f t="array" aca="1" ref="V25" ca="1">_xlfn.IFNA(INDEX(jkm_call_put!$L:$L,MATCH($B25&amp;V$2&amp;$A$1,jkm_call_put!$G:$G&amp;jkm_call_put!$O:$O&amp;jkm_call_put!$F:$F,0),1),"")</f>
        <v/>
      </c>
      <c r="W25" s="7" t="str" cm="1">
        <f t="array" aca="1" ref="W25" ca="1">_xlfn.IFNA(INDEX(jkm_call_put!$L:$L,MATCH($B25&amp;W$2&amp;$A$1,jkm_call_put!$G:$G&amp;jkm_call_put!$O:$O&amp;jkm_call_put!$F:$F,0),1),"")</f>
        <v/>
      </c>
      <c r="X25" s="7" t="str" cm="1">
        <f t="array" aca="1" ref="X25" ca="1">_xlfn.IFNA(INDEX(jkm_call_put!$L:$L,MATCH($B25&amp;X$2&amp;$A$1,jkm_call_put!$G:$G&amp;jkm_call_put!$O:$O&amp;jkm_call_put!$F:$F,0),1),"")</f>
        <v/>
      </c>
      <c r="Y25" s="7" t="str" cm="1">
        <f t="array" aca="1" ref="Y25" ca="1">_xlfn.IFNA(INDEX(jkm_call_put!$L:$L,MATCH($B25&amp;Y$2&amp;$A$1,jkm_call_put!$G:$G&amp;jkm_call_put!$O:$O&amp;jkm_call_put!$F:$F,0),1),"")</f>
        <v/>
      </c>
      <c r="Z25" s="7" t="str" cm="1">
        <f t="array" aca="1" ref="Z25" ca="1">_xlfn.IFNA(INDEX(jkm_call_put!$L:$L,MATCH($B25&amp;Z$2&amp;$A$1,jkm_call_put!$G:$G&amp;jkm_call_put!$O:$O&amp;jkm_call_put!$F:$F,0),1),"")</f>
        <v/>
      </c>
      <c r="AA25" s="7" t="str" cm="1">
        <f t="array" aca="1" ref="AA25" ca="1">_xlfn.IFNA(INDEX(jkm_call_put!$L:$L,MATCH($B25&amp;AA$2&amp;$A$1,jkm_call_put!$G:$G&amp;jkm_call_put!$O:$O&amp;jkm_call_put!$F:$F,0),1),"")</f>
        <v/>
      </c>
      <c r="AB25" s="7" t="str" cm="1">
        <f t="array" aca="1" ref="AB25" ca="1">_xlfn.IFNA(INDEX(jkm_call_put!$L:$L,MATCH($B25&amp;AB$2&amp;$A$1,jkm_call_put!$G:$G&amp;jkm_call_put!$O:$O&amp;jkm_call_put!$F:$F,0),1),"")</f>
        <v/>
      </c>
      <c r="AC25" s="7" t="str" cm="1">
        <f t="array" aca="1" ref="AC25" ca="1">_xlfn.IFNA(INDEX(jkm_call_put!$L:$L,MATCH($B25&amp;AC$2&amp;$A$1,jkm_call_put!$G:$G&amp;jkm_call_put!$O:$O&amp;jkm_call_put!$F:$F,0),1),"")</f>
        <v/>
      </c>
      <c r="AD25" s="7" t="str" cm="1">
        <f t="array" aca="1" ref="AD25" ca="1">_xlfn.IFNA(INDEX(jkm_call_put!$L:$L,MATCH($B25&amp;AD$2&amp;$A$1,jkm_call_put!$G:$G&amp;jkm_call_put!$O:$O&amp;jkm_call_put!$F:$F,0),1),"")</f>
        <v/>
      </c>
      <c r="AE25" s="7" t="str" cm="1">
        <f t="array" aca="1" ref="AE25" ca="1">_xlfn.IFNA(INDEX(jkm_call_put!$L:$L,MATCH($B25&amp;AE$2&amp;$A$1,jkm_call_put!$G:$G&amp;jkm_call_put!$O:$O&amp;jkm_call_put!$F:$F,0),1),"")</f>
        <v/>
      </c>
      <c r="AF25" s="7" t="str" cm="1">
        <f t="array" aca="1" ref="AF25" ca="1">_xlfn.IFNA(INDEX(jkm_call_put!$L:$L,MATCH($B25&amp;AF$2&amp;$A$1,jkm_call_put!$G:$G&amp;jkm_call_put!$O:$O&amp;jkm_call_put!$F:$F,0),1),"")</f>
        <v/>
      </c>
      <c r="AG25" s="7" t="str" cm="1">
        <f t="array" aca="1" ref="AG25" ca="1">_xlfn.IFNA(INDEX(jkm_call_put!$L:$L,MATCH($B25&amp;AG$2&amp;$A$1,jkm_call_put!$G:$G&amp;jkm_call_put!$O:$O&amp;jkm_call_put!$F:$F,0),1),"")</f>
        <v/>
      </c>
      <c r="AH25" s="7" t="str" cm="1">
        <f t="array" aca="1" ref="AH25" ca="1">_xlfn.IFNA(INDEX(jkm_call_put!$L:$L,MATCH($B25&amp;AH$2&amp;$A$1,jkm_call_put!$G:$G&amp;jkm_call_put!$O:$O&amp;jkm_call_put!$F:$F,0),1),"")</f>
        <v/>
      </c>
      <c r="AI25" s="7" t="str" cm="1">
        <f t="array" aca="1" ref="AI25" ca="1">_xlfn.IFNA(INDEX(jkm_call_put!$L:$L,MATCH($B25&amp;AI$2&amp;$A$1,jkm_call_put!$G:$G&amp;jkm_call_put!$O:$O&amp;jkm_call_put!$F:$F,0),1),"")</f>
        <v/>
      </c>
      <c r="AJ25" s="7" t="str" cm="1">
        <f t="array" aca="1" ref="AJ25" ca="1">_xlfn.IFNA(INDEX(jkm_call_put!$L:$L,MATCH($B25&amp;AJ$2&amp;$A$1,jkm_call_put!$G:$G&amp;jkm_call_put!$O:$O&amp;jkm_call_put!$F:$F,0),1),"")</f>
        <v/>
      </c>
      <c r="AK25" s="7" t="str" cm="1">
        <f t="array" aca="1" ref="AK25" ca="1">_xlfn.IFNA(INDEX(jkm_call_put!$L:$L,MATCH($B25&amp;AK$2&amp;$A$1,jkm_call_put!$G:$G&amp;jkm_call_put!$O:$O&amp;jkm_call_put!$F:$F,0),1),"")</f>
        <v/>
      </c>
      <c r="AL25" s="7" t="str" cm="1">
        <f t="array" aca="1" ref="AL25" ca="1">_xlfn.IFNA(INDEX(jkm_call_put!$L:$L,MATCH($B25&amp;AL$2&amp;$A$1,jkm_call_put!$G:$G&amp;jkm_call_put!$O:$O&amp;jkm_call_put!$F:$F,0),1),"")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C06F8-2B78-4C2A-876A-8506FDB972BB}">
  <sheetPr codeName="Sheet7"/>
  <dimension ref="A1:K369"/>
  <sheetViews>
    <sheetView zoomScaleNormal="100" workbookViewId="0">
      <selection activeCell="D5" sqref="D5"/>
    </sheetView>
  </sheetViews>
  <sheetFormatPr defaultRowHeight="15" x14ac:dyDescent="0.25"/>
  <cols>
    <col min="1" max="1" width="11" bestFit="1" customWidth="1"/>
    <col min="2" max="2" width="27.28515625" bestFit="1" customWidth="1"/>
    <col min="3" max="6" width="18.85546875" bestFit="1" customWidth="1"/>
    <col min="7" max="11" width="17.28515625" bestFit="1" customWidth="1"/>
  </cols>
  <sheetData>
    <row r="1" spans="1:11" x14ac:dyDescent="0.25">
      <c r="A1" t="str">
        <f ca="1">_xll.ICESeries(B1:K1,B2:K2,,EDATE(TODAY(),-12),TODAY(),)</f>
        <v>Time Series</v>
      </c>
      <c r="B1" s="8" t="s">
        <v>46</v>
      </c>
      <c r="C1" s="8" t="s">
        <v>47</v>
      </c>
      <c r="D1" s="8" t="s">
        <v>48</v>
      </c>
      <c r="E1" s="8" t="s">
        <v>49</v>
      </c>
      <c r="F1" s="8" t="s">
        <v>50</v>
      </c>
      <c r="G1" s="8" t="s">
        <v>51</v>
      </c>
      <c r="H1" s="8" t="s">
        <v>52</v>
      </c>
      <c r="I1" s="8" t="s">
        <v>53</v>
      </c>
      <c r="J1" s="8" t="s">
        <v>54</v>
      </c>
      <c r="K1" s="8" t="s">
        <v>55</v>
      </c>
    </row>
    <row r="2" spans="1:11" x14ac:dyDescent="0.25">
      <c r="B2" t="s">
        <v>17</v>
      </c>
      <c r="C2" t="s">
        <v>17</v>
      </c>
      <c r="D2" t="s">
        <v>17</v>
      </c>
      <c r="E2" t="s">
        <v>17</v>
      </c>
      <c r="F2" t="s">
        <v>17</v>
      </c>
      <c r="G2" t="s">
        <v>17</v>
      </c>
      <c r="H2" t="s">
        <v>17</v>
      </c>
      <c r="I2" t="s">
        <v>17</v>
      </c>
      <c r="J2" t="s">
        <v>17</v>
      </c>
      <c r="K2" t="s">
        <v>17</v>
      </c>
    </row>
    <row r="3" spans="1:11" x14ac:dyDescent="0.25">
      <c r="B3" t="s">
        <v>112</v>
      </c>
      <c r="C3" t="s">
        <v>112</v>
      </c>
      <c r="D3" t="s">
        <v>113</v>
      </c>
      <c r="E3" t="s">
        <v>113</v>
      </c>
      <c r="F3" t="s">
        <v>113</v>
      </c>
      <c r="G3" t="s">
        <v>114</v>
      </c>
      <c r="H3" t="s">
        <v>114</v>
      </c>
      <c r="I3" t="s">
        <v>115</v>
      </c>
      <c r="J3" t="s">
        <v>115</v>
      </c>
      <c r="K3" t="s">
        <v>115</v>
      </c>
    </row>
    <row r="4" spans="1:11" x14ac:dyDescent="0.25">
      <c r="A4" s="2">
        <f>DATE(2026,3,18)</f>
        <v>46099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96.334999999999994</v>
      </c>
      <c r="J4">
        <v>96.33</v>
      </c>
      <c r="K4">
        <v>96.33</v>
      </c>
    </row>
    <row r="5" spans="1:11" x14ac:dyDescent="0.25">
      <c r="A5" s="2">
        <f>DATE(2026,3,17)</f>
        <v>46098</v>
      </c>
      <c r="B5">
        <v>0</v>
      </c>
      <c r="C5">
        <v>0</v>
      </c>
      <c r="D5">
        <v>96.31</v>
      </c>
      <c r="E5">
        <v>96.322500000000005</v>
      </c>
      <c r="F5">
        <v>96.317499999999995</v>
      </c>
      <c r="G5">
        <v>0</v>
      </c>
      <c r="H5">
        <v>0</v>
      </c>
      <c r="I5">
        <v>96.334999999999994</v>
      </c>
      <c r="J5">
        <v>96.33</v>
      </c>
      <c r="K5">
        <v>96.33</v>
      </c>
    </row>
    <row r="6" spans="1:11" x14ac:dyDescent="0.25">
      <c r="A6" s="2">
        <f>DATE(2026,3,16)</f>
        <v>46097</v>
      </c>
      <c r="B6">
        <v>0</v>
      </c>
      <c r="C6">
        <v>0</v>
      </c>
      <c r="D6">
        <v>96.3125</v>
      </c>
      <c r="E6">
        <v>96.325000000000003</v>
      </c>
      <c r="F6">
        <v>96.32</v>
      </c>
      <c r="G6">
        <v>0</v>
      </c>
      <c r="H6">
        <v>0</v>
      </c>
      <c r="I6">
        <v>96.337500000000006</v>
      </c>
      <c r="J6">
        <v>96.334999999999994</v>
      </c>
      <c r="K6">
        <v>96.334999999999994</v>
      </c>
    </row>
    <row r="7" spans="1:11" x14ac:dyDescent="0.25">
      <c r="A7" s="2">
        <f>DATE(2026,3,15)</f>
        <v>46096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25">
      <c r="A8" s="2">
        <f>DATE(2026,3,14)</f>
        <v>46095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25">
      <c r="A9" s="2">
        <f>DATE(2026,3,13)</f>
        <v>46094</v>
      </c>
      <c r="B9">
        <v>0</v>
      </c>
      <c r="C9">
        <v>0</v>
      </c>
      <c r="D9">
        <v>96.31</v>
      </c>
      <c r="E9">
        <v>96.322500000000005</v>
      </c>
      <c r="F9">
        <v>96.317499999999995</v>
      </c>
      <c r="G9">
        <v>0</v>
      </c>
      <c r="H9">
        <v>0</v>
      </c>
      <c r="I9">
        <v>96.332499999999996</v>
      </c>
      <c r="J9">
        <v>96.33</v>
      </c>
      <c r="K9">
        <v>96.334999999999994</v>
      </c>
    </row>
    <row r="10" spans="1:11" x14ac:dyDescent="0.25">
      <c r="A10" s="2">
        <f>DATE(2026,3,12)</f>
        <v>46093</v>
      </c>
      <c r="B10">
        <v>0</v>
      </c>
      <c r="C10">
        <v>0</v>
      </c>
      <c r="D10">
        <v>96.307500000000005</v>
      </c>
      <c r="E10">
        <v>96.32</v>
      </c>
      <c r="F10">
        <v>96.317499999999995</v>
      </c>
      <c r="G10">
        <v>0</v>
      </c>
      <c r="H10">
        <v>0</v>
      </c>
      <c r="I10">
        <v>96.33</v>
      </c>
      <c r="J10">
        <v>96.325000000000003</v>
      </c>
      <c r="K10">
        <v>96.334999999999994</v>
      </c>
    </row>
    <row r="11" spans="1:11" x14ac:dyDescent="0.25">
      <c r="A11" s="2">
        <f>DATE(2026,3,11)</f>
        <v>46092</v>
      </c>
      <c r="B11">
        <v>0</v>
      </c>
      <c r="C11">
        <v>0</v>
      </c>
      <c r="D11">
        <v>96.307500000000005</v>
      </c>
      <c r="E11">
        <v>96.32</v>
      </c>
      <c r="F11">
        <v>96.322500000000005</v>
      </c>
      <c r="G11">
        <v>0</v>
      </c>
      <c r="H11">
        <v>0</v>
      </c>
      <c r="I11">
        <v>96.332499999999996</v>
      </c>
      <c r="J11">
        <v>96.33</v>
      </c>
      <c r="K11">
        <v>96.355000000000004</v>
      </c>
    </row>
    <row r="12" spans="1:11" x14ac:dyDescent="0.25">
      <c r="A12" s="2">
        <f>DATE(2026,3,10)</f>
        <v>46091</v>
      </c>
      <c r="B12">
        <v>0</v>
      </c>
      <c r="C12">
        <v>0</v>
      </c>
      <c r="D12">
        <v>96.31</v>
      </c>
      <c r="E12">
        <v>96.322500000000005</v>
      </c>
      <c r="F12">
        <v>96.325000000000003</v>
      </c>
      <c r="G12">
        <v>0</v>
      </c>
      <c r="H12">
        <v>0</v>
      </c>
      <c r="I12">
        <v>96.332499999999996</v>
      </c>
      <c r="J12">
        <v>96.33</v>
      </c>
      <c r="K12">
        <v>96.36</v>
      </c>
    </row>
    <row r="13" spans="1:11" x14ac:dyDescent="0.25">
      <c r="A13" s="2">
        <f>DATE(2026,3,9)</f>
        <v>46090</v>
      </c>
      <c r="B13">
        <v>0</v>
      </c>
      <c r="C13">
        <v>0</v>
      </c>
      <c r="D13">
        <v>96.307500000000005</v>
      </c>
      <c r="E13">
        <v>96.32</v>
      </c>
      <c r="F13">
        <v>96.322500000000005</v>
      </c>
      <c r="G13">
        <v>0</v>
      </c>
      <c r="H13">
        <v>0</v>
      </c>
      <c r="I13">
        <v>96.33</v>
      </c>
      <c r="J13">
        <v>96.33</v>
      </c>
      <c r="K13">
        <v>96.355000000000004</v>
      </c>
    </row>
    <row r="14" spans="1:11" x14ac:dyDescent="0.25">
      <c r="A14" s="2">
        <f>DATE(2026,3,8)</f>
        <v>46089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s="2">
        <f>DATE(2026,3,7)</f>
        <v>46088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s="2">
        <f>DATE(2026,3,6)</f>
        <v>46087</v>
      </c>
      <c r="B16">
        <v>0</v>
      </c>
      <c r="C16">
        <v>0</v>
      </c>
      <c r="D16">
        <v>96.31</v>
      </c>
      <c r="E16">
        <v>96.322500000000005</v>
      </c>
      <c r="F16">
        <v>96.325000000000003</v>
      </c>
      <c r="G16">
        <v>0</v>
      </c>
      <c r="H16">
        <v>0</v>
      </c>
      <c r="I16">
        <v>96.332499999999996</v>
      </c>
      <c r="J16">
        <v>96.334999999999994</v>
      </c>
      <c r="K16">
        <v>96.37</v>
      </c>
    </row>
    <row r="17" spans="1:11" x14ac:dyDescent="0.25">
      <c r="A17" s="2">
        <f>DATE(2026,3,5)</f>
        <v>46086</v>
      </c>
      <c r="B17">
        <v>0</v>
      </c>
      <c r="C17">
        <v>0</v>
      </c>
      <c r="D17">
        <v>96.307500000000005</v>
      </c>
      <c r="E17">
        <v>96.322500000000005</v>
      </c>
      <c r="F17">
        <v>96.325000000000003</v>
      </c>
      <c r="G17">
        <v>0</v>
      </c>
      <c r="H17">
        <v>0</v>
      </c>
      <c r="I17">
        <v>96.332499999999996</v>
      </c>
      <c r="J17">
        <v>96.334999999999994</v>
      </c>
      <c r="K17">
        <v>96.36</v>
      </c>
    </row>
    <row r="18" spans="1:11" x14ac:dyDescent="0.25">
      <c r="A18" s="2">
        <f>DATE(2026,3,4)</f>
        <v>46085</v>
      </c>
      <c r="B18">
        <v>0</v>
      </c>
      <c r="C18">
        <v>0</v>
      </c>
      <c r="D18">
        <v>96.307500000000005</v>
      </c>
      <c r="E18">
        <v>96.322500000000005</v>
      </c>
      <c r="F18">
        <v>96.325000000000003</v>
      </c>
      <c r="G18">
        <v>0</v>
      </c>
      <c r="H18">
        <v>0</v>
      </c>
      <c r="I18">
        <v>96.33</v>
      </c>
      <c r="J18">
        <v>96.334999999999994</v>
      </c>
      <c r="K18">
        <v>96.36</v>
      </c>
    </row>
    <row r="19" spans="1:11" x14ac:dyDescent="0.25">
      <c r="A19" s="2">
        <f>DATE(2026,3,3)</f>
        <v>46084</v>
      </c>
      <c r="B19">
        <v>0</v>
      </c>
      <c r="C19">
        <v>0</v>
      </c>
      <c r="D19">
        <v>96.307500000000005</v>
      </c>
      <c r="E19">
        <v>96.32</v>
      </c>
      <c r="F19">
        <v>96.325000000000003</v>
      </c>
      <c r="G19">
        <v>0</v>
      </c>
      <c r="H19">
        <v>0</v>
      </c>
      <c r="I19">
        <v>96.33</v>
      </c>
      <c r="J19">
        <v>96.34</v>
      </c>
      <c r="K19">
        <v>96.37</v>
      </c>
    </row>
    <row r="20" spans="1:11" x14ac:dyDescent="0.25">
      <c r="A20" s="2">
        <f>DATE(2026,3,2)</f>
        <v>46083</v>
      </c>
      <c r="B20">
        <v>0</v>
      </c>
      <c r="C20">
        <v>0</v>
      </c>
      <c r="D20">
        <v>96.307500000000005</v>
      </c>
      <c r="E20">
        <v>96.32</v>
      </c>
      <c r="F20">
        <v>96.327500000000001</v>
      </c>
      <c r="G20">
        <v>0</v>
      </c>
      <c r="H20">
        <v>0</v>
      </c>
      <c r="I20">
        <v>96.334999999999994</v>
      </c>
      <c r="J20">
        <v>96.34</v>
      </c>
      <c r="K20">
        <v>96.37</v>
      </c>
    </row>
    <row r="21" spans="1:11" x14ac:dyDescent="0.25">
      <c r="A21" s="2">
        <f>DATE(2026,3,1)</f>
        <v>46082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25">
      <c r="A22" s="2">
        <f>DATE(2026,2,28)</f>
        <v>46081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s="2">
        <f>DATE(2026,2,27)</f>
        <v>46080</v>
      </c>
      <c r="B23">
        <v>0</v>
      </c>
      <c r="C23">
        <v>0</v>
      </c>
      <c r="D23">
        <v>96.3125</v>
      </c>
      <c r="E23">
        <v>96.325000000000003</v>
      </c>
      <c r="F23">
        <v>96.334999999999994</v>
      </c>
      <c r="G23">
        <v>0</v>
      </c>
      <c r="H23">
        <v>96.332499999999996</v>
      </c>
      <c r="I23">
        <v>96.34</v>
      </c>
      <c r="J23">
        <v>96.35</v>
      </c>
      <c r="K23">
        <v>96.394999999999996</v>
      </c>
    </row>
    <row r="24" spans="1:11" x14ac:dyDescent="0.25">
      <c r="A24" s="2">
        <f>DATE(2026,2,26)</f>
        <v>46079</v>
      </c>
      <c r="B24">
        <v>0</v>
      </c>
      <c r="C24">
        <v>0</v>
      </c>
      <c r="D24">
        <v>96.3125</v>
      </c>
      <c r="E24">
        <v>96.325000000000003</v>
      </c>
      <c r="F24">
        <v>96.33</v>
      </c>
      <c r="G24">
        <v>0</v>
      </c>
      <c r="H24">
        <v>96.334999999999994</v>
      </c>
      <c r="I24">
        <v>96.34</v>
      </c>
      <c r="J24">
        <v>96.344999999999999</v>
      </c>
      <c r="K24">
        <v>96.38</v>
      </c>
    </row>
    <row r="25" spans="1:11" x14ac:dyDescent="0.25">
      <c r="A25" s="2">
        <f>DATE(2026,2,25)</f>
        <v>46078</v>
      </c>
      <c r="B25">
        <v>0</v>
      </c>
      <c r="C25">
        <v>0</v>
      </c>
      <c r="D25">
        <v>96.31</v>
      </c>
      <c r="E25">
        <v>96.322500000000005</v>
      </c>
      <c r="F25">
        <v>96.327500000000001</v>
      </c>
      <c r="G25">
        <v>0</v>
      </c>
      <c r="H25">
        <v>96.332499999999996</v>
      </c>
      <c r="I25">
        <v>96.334999999999994</v>
      </c>
      <c r="J25">
        <v>96.34</v>
      </c>
      <c r="K25">
        <v>96.37</v>
      </c>
    </row>
    <row r="26" spans="1:11" x14ac:dyDescent="0.25">
      <c r="A26" s="2">
        <f>DATE(2026,2,24)</f>
        <v>46077</v>
      </c>
      <c r="B26">
        <v>0</v>
      </c>
      <c r="C26">
        <v>0</v>
      </c>
      <c r="D26">
        <v>96.307500000000005</v>
      </c>
      <c r="E26">
        <v>96.32</v>
      </c>
      <c r="F26">
        <v>96.325000000000003</v>
      </c>
      <c r="G26">
        <v>0</v>
      </c>
      <c r="H26">
        <v>96.334999999999994</v>
      </c>
      <c r="I26">
        <v>96.334999999999994</v>
      </c>
      <c r="J26">
        <v>96.34</v>
      </c>
      <c r="K26">
        <v>96.37</v>
      </c>
    </row>
    <row r="27" spans="1:11" x14ac:dyDescent="0.25">
      <c r="A27" s="2">
        <f>DATE(2026,2,23)</f>
        <v>46076</v>
      </c>
      <c r="B27">
        <v>0</v>
      </c>
      <c r="C27">
        <v>0</v>
      </c>
      <c r="D27">
        <v>96.31</v>
      </c>
      <c r="E27">
        <v>96.322500000000005</v>
      </c>
      <c r="F27">
        <v>96.327500000000001</v>
      </c>
      <c r="G27">
        <v>0</v>
      </c>
      <c r="H27">
        <v>96.332499999999996</v>
      </c>
      <c r="I27">
        <v>96.33</v>
      </c>
      <c r="J27">
        <v>96.34</v>
      </c>
      <c r="K27">
        <v>96.37</v>
      </c>
    </row>
    <row r="28" spans="1:11" x14ac:dyDescent="0.25">
      <c r="A28" s="2">
        <f>DATE(2026,2,22)</f>
        <v>46075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25">
      <c r="A29" s="2">
        <f>DATE(2026,2,21)</f>
        <v>46074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25">
      <c r="A30" s="2">
        <f>DATE(2026,2,20)</f>
        <v>46073</v>
      </c>
      <c r="B30">
        <v>0</v>
      </c>
      <c r="C30">
        <v>0</v>
      </c>
      <c r="D30">
        <v>96.307500000000005</v>
      </c>
      <c r="E30">
        <v>96.322500000000005</v>
      </c>
      <c r="F30">
        <v>96.33</v>
      </c>
      <c r="G30">
        <v>0</v>
      </c>
      <c r="H30">
        <v>96.332499999999996</v>
      </c>
      <c r="I30">
        <v>96.33</v>
      </c>
      <c r="J30">
        <v>96.34</v>
      </c>
      <c r="K30">
        <v>96.37</v>
      </c>
    </row>
    <row r="31" spans="1:11" x14ac:dyDescent="0.25">
      <c r="A31" s="2">
        <f>DATE(2026,2,19)</f>
        <v>46072</v>
      </c>
      <c r="B31">
        <v>0</v>
      </c>
      <c r="C31">
        <v>0</v>
      </c>
      <c r="D31">
        <v>96.307500000000005</v>
      </c>
      <c r="E31">
        <v>96.322500000000005</v>
      </c>
      <c r="F31">
        <v>96.334999999999994</v>
      </c>
      <c r="G31">
        <v>0</v>
      </c>
      <c r="H31">
        <v>96.332499999999996</v>
      </c>
      <c r="I31">
        <v>96.334999999999994</v>
      </c>
      <c r="J31">
        <v>96.344999999999999</v>
      </c>
      <c r="K31">
        <v>96.385000000000005</v>
      </c>
    </row>
    <row r="32" spans="1:11" x14ac:dyDescent="0.25">
      <c r="A32" s="2">
        <f>DATE(2026,2,18)</f>
        <v>46071</v>
      </c>
      <c r="B32">
        <v>0</v>
      </c>
      <c r="C32">
        <v>96.232500000000002</v>
      </c>
      <c r="D32">
        <v>96.307500000000005</v>
      </c>
      <c r="E32">
        <v>96.322500000000005</v>
      </c>
      <c r="F32">
        <v>96.334999999999994</v>
      </c>
      <c r="G32">
        <v>0</v>
      </c>
      <c r="H32">
        <v>96.332499999999996</v>
      </c>
      <c r="I32">
        <v>96.334999999999994</v>
      </c>
      <c r="J32">
        <v>96.35</v>
      </c>
      <c r="K32">
        <v>96.39</v>
      </c>
    </row>
    <row r="33" spans="1:11" x14ac:dyDescent="0.25">
      <c r="A33" s="2">
        <f>DATE(2026,2,17)</f>
        <v>46070</v>
      </c>
      <c r="B33">
        <v>0</v>
      </c>
      <c r="C33">
        <v>96.232500000000002</v>
      </c>
      <c r="D33">
        <v>96.3125</v>
      </c>
      <c r="E33">
        <v>96.33</v>
      </c>
      <c r="F33">
        <v>96.344999999999999</v>
      </c>
      <c r="G33">
        <v>0</v>
      </c>
      <c r="H33">
        <v>96.337500000000006</v>
      </c>
      <c r="I33">
        <v>96.34</v>
      </c>
      <c r="J33">
        <v>96.355000000000004</v>
      </c>
      <c r="K33">
        <v>96.394999999999996</v>
      </c>
    </row>
    <row r="34" spans="1:11" x14ac:dyDescent="0.25">
      <c r="A34" s="2">
        <f>DATE(2026,2,16)</f>
        <v>46069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25">
      <c r="A35" s="2">
        <f>DATE(2026,2,15)</f>
        <v>46068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25">
      <c r="A36" s="2">
        <f>DATE(2026,2,14)</f>
        <v>46067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25">
      <c r="A37" s="2">
        <f>DATE(2026,2,13)</f>
        <v>46066</v>
      </c>
      <c r="B37">
        <v>0</v>
      </c>
      <c r="C37">
        <v>96.234999999999999</v>
      </c>
      <c r="D37">
        <v>96.314999999999998</v>
      </c>
      <c r="E37">
        <v>96.334999999999994</v>
      </c>
      <c r="F37">
        <v>96.35</v>
      </c>
      <c r="G37">
        <v>0</v>
      </c>
      <c r="H37">
        <v>96.342500000000001</v>
      </c>
      <c r="I37">
        <v>96.344999999999999</v>
      </c>
      <c r="J37">
        <v>96.36</v>
      </c>
      <c r="K37">
        <v>96.41</v>
      </c>
    </row>
    <row r="38" spans="1:11" x14ac:dyDescent="0.25">
      <c r="A38" s="2">
        <f>DATE(2026,2,12)</f>
        <v>46065</v>
      </c>
      <c r="B38">
        <v>0</v>
      </c>
      <c r="C38">
        <v>96.234999999999999</v>
      </c>
      <c r="D38">
        <v>96.314999999999998</v>
      </c>
      <c r="E38">
        <v>96.334999999999994</v>
      </c>
      <c r="F38">
        <v>96.344999999999999</v>
      </c>
      <c r="G38">
        <v>0</v>
      </c>
      <c r="H38">
        <v>96.344999999999999</v>
      </c>
      <c r="I38">
        <v>96.344999999999999</v>
      </c>
      <c r="J38">
        <v>96.36</v>
      </c>
      <c r="K38">
        <v>96.405000000000001</v>
      </c>
    </row>
    <row r="39" spans="1:11" x14ac:dyDescent="0.25">
      <c r="A39" s="2">
        <f>DATE(2026,2,11)</f>
        <v>46064</v>
      </c>
      <c r="B39">
        <v>0</v>
      </c>
      <c r="C39">
        <v>96.232500000000002</v>
      </c>
      <c r="D39">
        <v>96.314999999999998</v>
      </c>
      <c r="E39">
        <v>96.337500000000006</v>
      </c>
      <c r="F39">
        <v>96.347499999999997</v>
      </c>
      <c r="G39">
        <v>0</v>
      </c>
      <c r="H39">
        <v>96.347499999999997</v>
      </c>
      <c r="I39">
        <v>96.35</v>
      </c>
      <c r="J39">
        <v>96.36</v>
      </c>
      <c r="K39">
        <v>96.4</v>
      </c>
    </row>
    <row r="40" spans="1:11" x14ac:dyDescent="0.25">
      <c r="A40" s="2">
        <f>DATE(2026,2,10)</f>
        <v>46063</v>
      </c>
      <c r="B40">
        <v>0</v>
      </c>
      <c r="C40">
        <v>96.234999999999999</v>
      </c>
      <c r="D40">
        <v>96.3125</v>
      </c>
      <c r="E40">
        <v>96.342500000000001</v>
      </c>
      <c r="F40">
        <v>96.372500000000002</v>
      </c>
      <c r="G40">
        <v>0</v>
      </c>
      <c r="H40">
        <v>96.347499999999997</v>
      </c>
      <c r="I40">
        <v>96.364999999999995</v>
      </c>
      <c r="J40">
        <v>96.394999999999996</v>
      </c>
      <c r="K40">
        <v>96.454999999999998</v>
      </c>
    </row>
    <row r="41" spans="1:11" x14ac:dyDescent="0.25">
      <c r="A41" s="2">
        <f>DATE(2026,2,9)</f>
        <v>46062</v>
      </c>
      <c r="B41">
        <v>0</v>
      </c>
      <c r="C41">
        <v>96.234999999999999</v>
      </c>
      <c r="D41">
        <v>96.3125</v>
      </c>
      <c r="E41">
        <v>96.342500000000001</v>
      </c>
      <c r="F41">
        <v>96.367500000000007</v>
      </c>
      <c r="G41">
        <v>0</v>
      </c>
      <c r="H41">
        <v>96.344999999999999</v>
      </c>
      <c r="I41">
        <v>96.36</v>
      </c>
      <c r="J41">
        <v>96.385000000000005</v>
      </c>
      <c r="K41">
        <v>96.44</v>
      </c>
    </row>
    <row r="42" spans="1:11" x14ac:dyDescent="0.25">
      <c r="A42" s="2">
        <f>DATE(2026,2,8)</f>
        <v>46061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25">
      <c r="A43" s="2">
        <f>DATE(2026,2,7)</f>
        <v>46060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25">
      <c r="A44" s="2">
        <f>DATE(2026,2,6)</f>
        <v>46059</v>
      </c>
      <c r="B44">
        <v>0</v>
      </c>
      <c r="C44">
        <v>96.232500000000002</v>
      </c>
      <c r="D44">
        <v>96.3125</v>
      </c>
      <c r="E44">
        <v>96.342500000000001</v>
      </c>
      <c r="F44">
        <v>96.367500000000007</v>
      </c>
      <c r="G44">
        <v>0</v>
      </c>
      <c r="H44">
        <v>96.342500000000001</v>
      </c>
      <c r="I44">
        <v>96.36</v>
      </c>
      <c r="J44">
        <v>96.39</v>
      </c>
      <c r="K44">
        <v>96.435000000000002</v>
      </c>
    </row>
    <row r="45" spans="1:11" x14ac:dyDescent="0.25">
      <c r="A45" s="2">
        <f>DATE(2026,2,5)</f>
        <v>46058</v>
      </c>
      <c r="B45">
        <v>0</v>
      </c>
      <c r="C45">
        <v>96.234999999999999</v>
      </c>
      <c r="D45">
        <v>96.3125</v>
      </c>
      <c r="E45">
        <v>96.342500000000001</v>
      </c>
      <c r="F45">
        <v>96.37</v>
      </c>
      <c r="G45">
        <v>0</v>
      </c>
      <c r="H45">
        <v>96.34</v>
      </c>
      <c r="I45">
        <v>96.36</v>
      </c>
      <c r="J45">
        <v>96.4</v>
      </c>
      <c r="K45">
        <v>96.454999999999998</v>
      </c>
    </row>
    <row r="46" spans="1:11" x14ac:dyDescent="0.25">
      <c r="A46" s="2">
        <f>DATE(2026,2,4)</f>
        <v>46057</v>
      </c>
      <c r="B46">
        <v>0</v>
      </c>
      <c r="C46">
        <v>96.23</v>
      </c>
      <c r="D46">
        <v>96.307500000000005</v>
      </c>
      <c r="E46">
        <v>96.33</v>
      </c>
      <c r="F46">
        <v>96.344999999999999</v>
      </c>
      <c r="G46">
        <v>0</v>
      </c>
      <c r="H46">
        <v>96.334999999999994</v>
      </c>
      <c r="I46">
        <v>96.344999999999999</v>
      </c>
      <c r="J46">
        <v>96.364999999999995</v>
      </c>
      <c r="K46">
        <v>96.405000000000001</v>
      </c>
    </row>
    <row r="47" spans="1:11" x14ac:dyDescent="0.25">
      <c r="A47" s="2">
        <f>DATE(2026,2,3)</f>
        <v>46056</v>
      </c>
      <c r="B47">
        <v>0</v>
      </c>
      <c r="C47">
        <v>96.23</v>
      </c>
      <c r="D47">
        <v>96.307500000000005</v>
      </c>
      <c r="E47">
        <v>96.33</v>
      </c>
      <c r="F47">
        <v>96.344999999999999</v>
      </c>
      <c r="G47">
        <v>0</v>
      </c>
      <c r="H47">
        <v>96.332499999999996</v>
      </c>
      <c r="I47">
        <v>96.344999999999999</v>
      </c>
      <c r="J47">
        <v>96.364999999999995</v>
      </c>
      <c r="K47">
        <v>96.405000000000001</v>
      </c>
    </row>
    <row r="48" spans="1:11" x14ac:dyDescent="0.25">
      <c r="A48" s="2">
        <f>DATE(2026,2,2)</f>
        <v>46055</v>
      </c>
      <c r="B48">
        <v>0</v>
      </c>
      <c r="C48">
        <v>96.23</v>
      </c>
      <c r="D48">
        <v>96.307500000000005</v>
      </c>
      <c r="E48">
        <v>96.33</v>
      </c>
      <c r="F48">
        <v>96.347499999999997</v>
      </c>
      <c r="G48">
        <v>0</v>
      </c>
      <c r="H48">
        <v>96.332499999999996</v>
      </c>
      <c r="I48">
        <v>96.344999999999999</v>
      </c>
      <c r="J48">
        <v>96.364999999999995</v>
      </c>
      <c r="K48">
        <v>96.405000000000001</v>
      </c>
    </row>
    <row r="49" spans="1:11" x14ac:dyDescent="0.25">
      <c r="A49" s="2">
        <f>DATE(2026,2,1)</f>
        <v>46054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25">
      <c r="A50" s="2">
        <f>DATE(2026,1,31)</f>
        <v>46053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25">
      <c r="A51" s="2">
        <f>DATE(2026,1,30)</f>
        <v>46052</v>
      </c>
      <c r="B51">
        <v>0</v>
      </c>
      <c r="C51">
        <v>96.232500000000002</v>
      </c>
      <c r="D51">
        <v>96.31</v>
      </c>
      <c r="E51">
        <v>96.332499999999996</v>
      </c>
      <c r="F51">
        <v>96.35</v>
      </c>
      <c r="G51">
        <v>96.33</v>
      </c>
      <c r="H51">
        <v>96.334999999999994</v>
      </c>
      <c r="I51">
        <v>96.35</v>
      </c>
      <c r="J51">
        <v>96.375</v>
      </c>
      <c r="K51">
        <v>96.42</v>
      </c>
    </row>
    <row r="52" spans="1:11" x14ac:dyDescent="0.25">
      <c r="A52" s="2">
        <f>DATE(2026,1,29)</f>
        <v>46051</v>
      </c>
      <c r="B52">
        <v>0</v>
      </c>
      <c r="C52">
        <v>96.232500000000002</v>
      </c>
      <c r="D52">
        <v>96.31</v>
      </c>
      <c r="E52">
        <v>96.332499999999996</v>
      </c>
      <c r="F52">
        <v>96.35</v>
      </c>
      <c r="G52">
        <v>96.33</v>
      </c>
      <c r="H52">
        <v>96.334999999999994</v>
      </c>
      <c r="I52">
        <v>96.344999999999999</v>
      </c>
      <c r="J52">
        <v>96.375</v>
      </c>
      <c r="K52">
        <v>96.415000000000006</v>
      </c>
    </row>
    <row r="53" spans="1:11" x14ac:dyDescent="0.25">
      <c r="A53" s="2">
        <f>DATE(2026,1,28)</f>
        <v>46050</v>
      </c>
      <c r="B53">
        <v>0</v>
      </c>
      <c r="C53">
        <v>96.23</v>
      </c>
      <c r="D53">
        <v>96.307500000000005</v>
      </c>
      <c r="E53">
        <v>96.327500000000001</v>
      </c>
      <c r="F53">
        <v>96.344999999999999</v>
      </c>
      <c r="G53">
        <v>96.33</v>
      </c>
      <c r="H53">
        <v>96.334999999999994</v>
      </c>
      <c r="I53">
        <v>96.344999999999999</v>
      </c>
      <c r="J53">
        <v>96.37</v>
      </c>
      <c r="K53">
        <v>96.405000000000001</v>
      </c>
    </row>
    <row r="54" spans="1:11" x14ac:dyDescent="0.25">
      <c r="A54" s="2">
        <f>DATE(2026,1,27)</f>
        <v>46049</v>
      </c>
      <c r="B54">
        <v>0</v>
      </c>
      <c r="C54">
        <v>96.232500000000002</v>
      </c>
      <c r="D54">
        <v>96.307500000000005</v>
      </c>
      <c r="E54">
        <v>96.33</v>
      </c>
      <c r="F54">
        <v>96.347499999999997</v>
      </c>
      <c r="G54">
        <v>96.327500000000001</v>
      </c>
      <c r="H54">
        <v>96.334999999999994</v>
      </c>
      <c r="I54">
        <v>96.344999999999999</v>
      </c>
      <c r="J54">
        <v>96.375</v>
      </c>
      <c r="K54">
        <v>96.415000000000006</v>
      </c>
    </row>
    <row r="55" spans="1:11" x14ac:dyDescent="0.25">
      <c r="A55" s="2">
        <f>DATE(2026,1,26)</f>
        <v>46048</v>
      </c>
      <c r="B55">
        <v>0</v>
      </c>
      <c r="C55">
        <v>96.23</v>
      </c>
      <c r="D55">
        <v>96.305000000000007</v>
      </c>
      <c r="E55">
        <v>96.327500000000001</v>
      </c>
      <c r="F55">
        <v>96.344999999999999</v>
      </c>
      <c r="G55">
        <v>96.327500000000001</v>
      </c>
      <c r="H55">
        <v>96.33</v>
      </c>
      <c r="I55">
        <v>96.34</v>
      </c>
      <c r="J55">
        <v>96.364999999999995</v>
      </c>
      <c r="K55">
        <v>96.405000000000001</v>
      </c>
    </row>
    <row r="56" spans="1:11" x14ac:dyDescent="0.25">
      <c r="A56" s="2">
        <f>DATE(2026,1,25)</f>
        <v>46047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x14ac:dyDescent="0.25">
      <c r="A57" s="2">
        <f>DATE(2026,1,24)</f>
        <v>46046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25">
      <c r="A58" s="2">
        <f>DATE(2026,1,23)</f>
        <v>46045</v>
      </c>
      <c r="B58">
        <v>0</v>
      </c>
      <c r="C58">
        <v>96.23</v>
      </c>
      <c r="D58">
        <v>96.305000000000007</v>
      </c>
      <c r="E58">
        <v>96.327500000000001</v>
      </c>
      <c r="F58">
        <v>96.347499999999997</v>
      </c>
      <c r="G58">
        <v>96.327500000000001</v>
      </c>
      <c r="H58">
        <v>96.334999999999994</v>
      </c>
      <c r="I58">
        <v>96.344999999999999</v>
      </c>
      <c r="J58">
        <v>96.364999999999995</v>
      </c>
      <c r="K58">
        <v>96.405000000000001</v>
      </c>
    </row>
    <row r="59" spans="1:11" x14ac:dyDescent="0.25">
      <c r="A59" s="2">
        <f>DATE(2026,1,22)</f>
        <v>46044</v>
      </c>
      <c r="B59">
        <v>0</v>
      </c>
      <c r="C59">
        <v>96.23</v>
      </c>
      <c r="D59">
        <v>96.305000000000007</v>
      </c>
      <c r="E59">
        <v>96.327500000000001</v>
      </c>
      <c r="F59">
        <v>96.347499999999997</v>
      </c>
      <c r="G59">
        <v>96.327500000000001</v>
      </c>
      <c r="H59">
        <v>96.334999999999994</v>
      </c>
      <c r="I59">
        <v>96.344999999999999</v>
      </c>
      <c r="J59">
        <v>96.364999999999995</v>
      </c>
      <c r="K59">
        <v>96.405000000000001</v>
      </c>
    </row>
    <row r="60" spans="1:11" x14ac:dyDescent="0.25">
      <c r="A60" s="2">
        <f>DATE(2026,1,21)</f>
        <v>46043</v>
      </c>
      <c r="B60">
        <v>96.076400000000007</v>
      </c>
      <c r="C60">
        <v>96.23</v>
      </c>
      <c r="D60">
        <v>96.305000000000007</v>
      </c>
      <c r="E60">
        <v>96.327500000000001</v>
      </c>
      <c r="F60">
        <v>96.35</v>
      </c>
      <c r="G60">
        <v>96.325000000000003</v>
      </c>
      <c r="H60">
        <v>96.33</v>
      </c>
      <c r="I60">
        <v>96.34</v>
      </c>
      <c r="J60">
        <v>96.364999999999995</v>
      </c>
      <c r="K60">
        <v>96.41</v>
      </c>
    </row>
    <row r="61" spans="1:11" x14ac:dyDescent="0.25">
      <c r="A61" s="2">
        <f>DATE(2026,1,20)</f>
        <v>46042</v>
      </c>
      <c r="B61">
        <v>96.077500000000001</v>
      </c>
      <c r="C61">
        <v>96.232500000000002</v>
      </c>
      <c r="D61">
        <v>96.305000000000007</v>
      </c>
      <c r="E61">
        <v>96.327500000000001</v>
      </c>
      <c r="F61">
        <v>96.355000000000004</v>
      </c>
      <c r="G61">
        <v>96.327500000000001</v>
      </c>
      <c r="H61">
        <v>96.334999999999994</v>
      </c>
      <c r="I61">
        <v>96.35</v>
      </c>
      <c r="J61">
        <v>96.38</v>
      </c>
      <c r="K61">
        <v>96.424999999999997</v>
      </c>
    </row>
    <row r="62" spans="1:11" x14ac:dyDescent="0.25">
      <c r="A62" s="2">
        <f>DATE(2026,1,19)</f>
        <v>46041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25">
      <c r="A63" s="2">
        <f>DATE(2026,1,18)</f>
        <v>46040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25">
      <c r="A64" s="2">
        <f>DATE(2026,1,17)</f>
        <v>46039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25">
      <c r="A65" s="2">
        <f>DATE(2026,1,16)</f>
        <v>46038</v>
      </c>
      <c r="B65">
        <v>96.075000000000003</v>
      </c>
      <c r="C65">
        <v>96.23</v>
      </c>
      <c r="D65">
        <v>96.305000000000007</v>
      </c>
      <c r="E65">
        <v>96.327500000000001</v>
      </c>
      <c r="F65">
        <v>96.355000000000004</v>
      </c>
      <c r="G65">
        <v>96.327500000000001</v>
      </c>
      <c r="H65">
        <v>96.33</v>
      </c>
      <c r="I65">
        <v>96.344999999999999</v>
      </c>
      <c r="J65">
        <v>96.375</v>
      </c>
      <c r="K65">
        <v>96.415000000000006</v>
      </c>
    </row>
    <row r="66" spans="1:11" x14ac:dyDescent="0.25">
      <c r="A66" s="2">
        <f>DATE(2026,1,15)</f>
        <v>46037</v>
      </c>
      <c r="B66">
        <v>96.075000000000003</v>
      </c>
      <c r="C66">
        <v>96.23</v>
      </c>
      <c r="D66">
        <v>96.305000000000007</v>
      </c>
      <c r="E66">
        <v>96.327500000000001</v>
      </c>
      <c r="F66">
        <v>96.355000000000004</v>
      </c>
      <c r="G66">
        <v>96.325000000000003</v>
      </c>
      <c r="H66">
        <v>96.33</v>
      </c>
      <c r="I66">
        <v>96.34</v>
      </c>
      <c r="J66">
        <v>96.37</v>
      </c>
      <c r="K66">
        <v>96.415000000000006</v>
      </c>
    </row>
    <row r="67" spans="1:11" x14ac:dyDescent="0.25">
      <c r="A67" s="2">
        <f>DATE(2026,1,14)</f>
        <v>46036</v>
      </c>
      <c r="B67">
        <v>96.077500000000001</v>
      </c>
      <c r="C67">
        <v>96.23</v>
      </c>
      <c r="D67">
        <v>96.302499999999995</v>
      </c>
      <c r="E67">
        <v>96.332499999999996</v>
      </c>
      <c r="F67">
        <v>96.364999999999995</v>
      </c>
      <c r="G67">
        <v>96.322500000000005</v>
      </c>
      <c r="H67">
        <v>96.325000000000003</v>
      </c>
      <c r="I67">
        <v>96.344999999999999</v>
      </c>
      <c r="J67">
        <v>96.385000000000005</v>
      </c>
      <c r="K67">
        <v>96.435000000000002</v>
      </c>
    </row>
    <row r="68" spans="1:11" x14ac:dyDescent="0.25">
      <c r="A68" s="2">
        <f>DATE(2026,1,13)</f>
        <v>46035</v>
      </c>
      <c r="B68">
        <v>96.072500000000005</v>
      </c>
      <c r="C68">
        <v>96.227500000000006</v>
      </c>
      <c r="D68">
        <v>96.297499999999999</v>
      </c>
      <c r="E68">
        <v>96.327500000000001</v>
      </c>
      <c r="F68">
        <v>96.364999999999995</v>
      </c>
      <c r="G68">
        <v>96.32</v>
      </c>
      <c r="H68">
        <v>96.325000000000003</v>
      </c>
      <c r="I68">
        <v>96.344999999999999</v>
      </c>
      <c r="J68">
        <v>96.385000000000005</v>
      </c>
      <c r="K68">
        <v>96.435000000000002</v>
      </c>
    </row>
    <row r="69" spans="1:11" x14ac:dyDescent="0.25">
      <c r="A69" s="2">
        <f>DATE(2026,1,12)</f>
        <v>46034</v>
      </c>
      <c r="B69">
        <v>96.072500000000005</v>
      </c>
      <c r="C69">
        <v>96.227500000000006</v>
      </c>
      <c r="D69">
        <v>96.297499999999999</v>
      </c>
      <c r="E69">
        <v>96.33</v>
      </c>
      <c r="F69">
        <v>96.37</v>
      </c>
      <c r="G69">
        <v>96.317499999999995</v>
      </c>
      <c r="H69">
        <v>96.325000000000003</v>
      </c>
      <c r="I69">
        <v>96.35</v>
      </c>
      <c r="J69">
        <v>96.39</v>
      </c>
      <c r="K69">
        <v>96.435000000000002</v>
      </c>
    </row>
    <row r="70" spans="1:11" x14ac:dyDescent="0.25">
      <c r="A70" s="2">
        <f>DATE(2026,1,11)</f>
        <v>46033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25">
      <c r="A71" s="2">
        <f>DATE(2026,1,10)</f>
        <v>46032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25">
      <c r="A72" s="2">
        <f>DATE(2026,1,9)</f>
        <v>46031</v>
      </c>
      <c r="B72">
        <v>96.072500000000005</v>
      </c>
      <c r="C72">
        <v>96.227500000000006</v>
      </c>
      <c r="D72">
        <v>96.3</v>
      </c>
      <c r="E72">
        <v>96.334999999999994</v>
      </c>
      <c r="F72">
        <v>96.375</v>
      </c>
      <c r="G72">
        <v>96.317499999999995</v>
      </c>
      <c r="H72">
        <v>96.325000000000003</v>
      </c>
      <c r="I72">
        <v>96.35</v>
      </c>
      <c r="J72">
        <v>96.394999999999996</v>
      </c>
      <c r="K72">
        <v>96.444999999999993</v>
      </c>
    </row>
    <row r="73" spans="1:11" x14ac:dyDescent="0.25">
      <c r="A73" s="2">
        <f>DATE(2026,1,8)</f>
        <v>46030</v>
      </c>
      <c r="B73">
        <v>96.072500000000005</v>
      </c>
      <c r="C73">
        <v>96.227500000000006</v>
      </c>
      <c r="D73">
        <v>96.305000000000007</v>
      </c>
      <c r="E73">
        <v>96.357500000000002</v>
      </c>
      <c r="F73">
        <v>96.405000000000001</v>
      </c>
      <c r="G73">
        <v>96.3125</v>
      </c>
      <c r="H73">
        <v>96.34</v>
      </c>
      <c r="I73">
        <v>96.38</v>
      </c>
      <c r="J73">
        <v>96.435000000000002</v>
      </c>
      <c r="K73">
        <v>96.484999999999999</v>
      </c>
    </row>
    <row r="74" spans="1:11" x14ac:dyDescent="0.25">
      <c r="A74" s="2">
        <f>DATE(2026,1,7)</f>
        <v>46029</v>
      </c>
      <c r="B74">
        <v>96.07</v>
      </c>
      <c r="C74">
        <v>96.227500000000006</v>
      </c>
      <c r="D74">
        <v>96.305000000000007</v>
      </c>
      <c r="E74">
        <v>96.36</v>
      </c>
      <c r="F74">
        <v>96.41</v>
      </c>
      <c r="G74">
        <v>96.31</v>
      </c>
      <c r="H74">
        <v>96.34</v>
      </c>
      <c r="I74">
        <v>96.38</v>
      </c>
      <c r="J74">
        <v>96.444999999999993</v>
      </c>
      <c r="K74">
        <v>96.5</v>
      </c>
    </row>
    <row r="75" spans="1:11" x14ac:dyDescent="0.25">
      <c r="A75" s="2">
        <f>DATE(2026,1,6)</f>
        <v>46028</v>
      </c>
      <c r="B75">
        <v>96.07</v>
      </c>
      <c r="C75">
        <v>96.227500000000006</v>
      </c>
      <c r="D75">
        <v>96.31</v>
      </c>
      <c r="E75">
        <v>96.364999999999995</v>
      </c>
      <c r="F75">
        <v>96.424999999999997</v>
      </c>
      <c r="G75">
        <v>96.307500000000005</v>
      </c>
      <c r="H75">
        <v>96.35</v>
      </c>
      <c r="I75">
        <v>96.39</v>
      </c>
      <c r="J75">
        <v>96.454999999999998</v>
      </c>
      <c r="K75">
        <v>96.504999999999995</v>
      </c>
    </row>
    <row r="76" spans="1:11" x14ac:dyDescent="0.25">
      <c r="A76" s="2">
        <f>DATE(2026,1,5)</f>
        <v>46027</v>
      </c>
      <c r="B76">
        <v>96.072500000000005</v>
      </c>
      <c r="C76">
        <v>96.23</v>
      </c>
      <c r="D76">
        <v>96.31</v>
      </c>
      <c r="E76">
        <v>96.37</v>
      </c>
      <c r="F76">
        <v>96.43</v>
      </c>
      <c r="G76">
        <v>96.3125</v>
      </c>
      <c r="H76">
        <v>96.355000000000004</v>
      </c>
      <c r="I76">
        <v>96.394999999999996</v>
      </c>
      <c r="J76">
        <v>96.47</v>
      </c>
      <c r="K76">
        <v>96.53</v>
      </c>
    </row>
    <row r="77" spans="1:11" x14ac:dyDescent="0.25">
      <c r="A77" s="2">
        <f>DATE(2026,1,4)</f>
        <v>46026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25">
      <c r="A78" s="2">
        <f>DATE(2026,1,3)</f>
        <v>46025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25">
      <c r="A79" s="2">
        <f>DATE(2026,1,2)</f>
        <v>46024</v>
      </c>
      <c r="B79">
        <v>96.072500000000005</v>
      </c>
      <c r="C79">
        <v>96.232500000000002</v>
      </c>
      <c r="D79">
        <v>96.314999999999998</v>
      </c>
      <c r="E79">
        <v>96.375</v>
      </c>
      <c r="F79">
        <v>96.435000000000002</v>
      </c>
      <c r="G79">
        <v>96.314999999999998</v>
      </c>
      <c r="H79">
        <v>96.36</v>
      </c>
      <c r="I79">
        <v>96.4</v>
      </c>
      <c r="J79">
        <v>96.47</v>
      </c>
      <c r="K79">
        <v>96.53</v>
      </c>
    </row>
    <row r="80" spans="1:11" x14ac:dyDescent="0.25">
      <c r="A80" s="2">
        <f>DATE(2026,1,1)</f>
        <v>46023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 x14ac:dyDescent="0.25">
      <c r="A81" s="2">
        <f>DATE(2025,12,31)</f>
        <v>46022</v>
      </c>
      <c r="B81">
        <v>96.072500000000005</v>
      </c>
      <c r="C81">
        <v>96.23</v>
      </c>
      <c r="D81">
        <v>96.3125</v>
      </c>
      <c r="E81">
        <v>96.372500000000002</v>
      </c>
      <c r="F81">
        <v>96.435000000000002</v>
      </c>
      <c r="G81">
        <v>96.314999999999998</v>
      </c>
      <c r="H81">
        <v>96.355000000000004</v>
      </c>
      <c r="I81">
        <v>96.394999999999996</v>
      </c>
      <c r="J81">
        <v>96.47</v>
      </c>
      <c r="K81">
        <v>96.53</v>
      </c>
    </row>
    <row r="82" spans="1:11" x14ac:dyDescent="0.25">
      <c r="A82" s="2">
        <f>DATE(2025,12,30)</f>
        <v>46021</v>
      </c>
      <c r="B82">
        <v>96.072500000000005</v>
      </c>
      <c r="C82">
        <v>96.23</v>
      </c>
      <c r="D82">
        <v>96.3125</v>
      </c>
      <c r="E82">
        <v>96.372500000000002</v>
      </c>
      <c r="F82">
        <v>96.435000000000002</v>
      </c>
      <c r="G82">
        <v>96.3125</v>
      </c>
      <c r="H82">
        <v>96.355000000000004</v>
      </c>
      <c r="I82">
        <v>96.394999999999996</v>
      </c>
      <c r="J82">
        <v>96.474999999999994</v>
      </c>
      <c r="K82">
        <v>96.54</v>
      </c>
    </row>
    <row r="83" spans="1:11" x14ac:dyDescent="0.25">
      <c r="A83" s="2">
        <f>DATE(2025,12,29)</f>
        <v>46020</v>
      </c>
      <c r="B83">
        <v>96.067499999999995</v>
      </c>
      <c r="C83">
        <v>96.224999999999994</v>
      </c>
      <c r="D83">
        <v>96.307500000000005</v>
      </c>
      <c r="E83">
        <v>96.372500000000002</v>
      </c>
      <c r="F83">
        <v>96.435000000000002</v>
      </c>
      <c r="G83">
        <v>96.307500000000005</v>
      </c>
      <c r="H83">
        <v>96.355000000000004</v>
      </c>
      <c r="I83">
        <v>96.394999999999996</v>
      </c>
      <c r="J83">
        <v>96.474999999999994</v>
      </c>
      <c r="K83">
        <v>96.54</v>
      </c>
    </row>
    <row r="84" spans="1:11" x14ac:dyDescent="0.25">
      <c r="A84" s="2">
        <f>DATE(2025,12,28)</f>
        <v>46019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 x14ac:dyDescent="0.25">
      <c r="A85" s="2">
        <f>DATE(2025,12,27)</f>
        <v>46018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1:11" x14ac:dyDescent="0.25">
      <c r="A86" s="2">
        <f>DATE(2025,12,26)</f>
        <v>46017</v>
      </c>
      <c r="B86">
        <v>96.067499999999995</v>
      </c>
      <c r="C86">
        <v>96.22</v>
      </c>
      <c r="D86">
        <v>96.305000000000007</v>
      </c>
      <c r="E86">
        <v>96.37</v>
      </c>
      <c r="F86">
        <v>96.435000000000002</v>
      </c>
      <c r="G86">
        <v>96.3</v>
      </c>
      <c r="H86">
        <v>96.355000000000004</v>
      </c>
      <c r="I86">
        <v>96.4</v>
      </c>
      <c r="J86">
        <v>96.48</v>
      </c>
      <c r="K86">
        <v>96.54</v>
      </c>
    </row>
    <row r="87" spans="1:11" x14ac:dyDescent="0.25">
      <c r="A87" s="2">
        <f>DATE(2025,12,25)</f>
        <v>46016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 x14ac:dyDescent="0.25">
      <c r="A88" s="2">
        <f>DATE(2025,12,24)</f>
        <v>46015</v>
      </c>
      <c r="B88">
        <v>96.067499999999995</v>
      </c>
      <c r="C88">
        <v>96.22</v>
      </c>
      <c r="D88">
        <v>96.292500000000004</v>
      </c>
      <c r="E88">
        <v>96.355000000000004</v>
      </c>
      <c r="F88">
        <v>96.415000000000006</v>
      </c>
      <c r="G88">
        <v>96.295000000000002</v>
      </c>
      <c r="H88">
        <v>96.34</v>
      </c>
      <c r="I88">
        <v>96.38</v>
      </c>
      <c r="J88">
        <v>96.454999999999998</v>
      </c>
      <c r="K88">
        <v>96.515000000000001</v>
      </c>
    </row>
    <row r="89" spans="1:11" x14ac:dyDescent="0.25">
      <c r="A89" s="2">
        <f>DATE(2025,12,23)</f>
        <v>46014</v>
      </c>
      <c r="B89">
        <v>96.0625</v>
      </c>
      <c r="C89">
        <v>96.217500000000001</v>
      </c>
      <c r="D89">
        <v>96.29</v>
      </c>
      <c r="E89">
        <v>96.352500000000006</v>
      </c>
      <c r="F89">
        <v>96.415000000000006</v>
      </c>
      <c r="G89">
        <v>96.29</v>
      </c>
      <c r="H89">
        <v>96.334999999999994</v>
      </c>
      <c r="I89">
        <v>96.375</v>
      </c>
      <c r="J89">
        <v>96.45</v>
      </c>
      <c r="K89">
        <v>96.51</v>
      </c>
    </row>
    <row r="90" spans="1:11" x14ac:dyDescent="0.25">
      <c r="A90" s="2">
        <f>DATE(2025,12,22)</f>
        <v>46013</v>
      </c>
      <c r="B90">
        <v>96.06</v>
      </c>
      <c r="C90">
        <v>96.215000000000003</v>
      </c>
      <c r="D90">
        <v>96.292500000000004</v>
      </c>
      <c r="E90">
        <v>96.364999999999995</v>
      </c>
      <c r="F90">
        <v>96.43</v>
      </c>
      <c r="G90">
        <v>96.29</v>
      </c>
      <c r="H90">
        <v>96.344999999999999</v>
      </c>
      <c r="I90">
        <v>96.39</v>
      </c>
      <c r="J90">
        <v>96.47</v>
      </c>
      <c r="K90">
        <v>96.54</v>
      </c>
    </row>
    <row r="91" spans="1:11" x14ac:dyDescent="0.25">
      <c r="A91" s="2">
        <f>DATE(2025,12,21)</f>
        <v>46012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1:11" x14ac:dyDescent="0.25">
      <c r="A92" s="2">
        <f>DATE(2025,12,20)</f>
        <v>46011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 x14ac:dyDescent="0.25">
      <c r="A93" s="2">
        <f>DATE(2025,12,19)</f>
        <v>46010</v>
      </c>
      <c r="B93">
        <v>96.06</v>
      </c>
      <c r="C93">
        <v>96.215000000000003</v>
      </c>
      <c r="D93">
        <v>96.297499999999999</v>
      </c>
      <c r="E93">
        <v>96.37</v>
      </c>
      <c r="F93">
        <v>96.435000000000002</v>
      </c>
      <c r="G93">
        <v>96.29</v>
      </c>
      <c r="H93">
        <v>96.355000000000004</v>
      </c>
      <c r="I93">
        <v>96.4</v>
      </c>
      <c r="J93">
        <v>96.48</v>
      </c>
      <c r="K93">
        <v>96.55</v>
      </c>
    </row>
    <row r="94" spans="1:11" x14ac:dyDescent="0.25">
      <c r="A94" s="2">
        <f>DATE(2025,12,18)</f>
        <v>46009</v>
      </c>
      <c r="B94">
        <v>96.0625</v>
      </c>
      <c r="C94">
        <v>96.217500000000001</v>
      </c>
      <c r="D94">
        <v>96.3</v>
      </c>
      <c r="E94">
        <v>96.372500000000002</v>
      </c>
      <c r="F94">
        <v>96.44</v>
      </c>
      <c r="G94">
        <v>96.29</v>
      </c>
      <c r="H94">
        <v>96.36</v>
      </c>
      <c r="I94">
        <v>96.405000000000001</v>
      </c>
      <c r="J94">
        <v>96.484999999999999</v>
      </c>
      <c r="K94">
        <v>96.56</v>
      </c>
    </row>
    <row r="95" spans="1:11" x14ac:dyDescent="0.25">
      <c r="A95" s="2">
        <f>DATE(2025,12,17)</f>
        <v>46008</v>
      </c>
      <c r="B95">
        <v>96.0625</v>
      </c>
      <c r="C95">
        <v>96.217500000000001</v>
      </c>
      <c r="D95">
        <v>96.295000000000002</v>
      </c>
      <c r="E95">
        <v>96.364999999999995</v>
      </c>
      <c r="F95">
        <v>96.424999999999997</v>
      </c>
      <c r="G95">
        <v>96.29</v>
      </c>
      <c r="H95">
        <v>96.355000000000004</v>
      </c>
      <c r="I95">
        <v>96.39</v>
      </c>
      <c r="J95">
        <v>96.465000000000003</v>
      </c>
      <c r="K95">
        <v>96.534999999999997</v>
      </c>
    </row>
    <row r="96" spans="1:11" x14ac:dyDescent="0.25">
      <c r="A96" s="2">
        <f>DATE(2025,12,16)</f>
        <v>46007</v>
      </c>
      <c r="B96">
        <v>96.06</v>
      </c>
      <c r="C96">
        <v>96.215000000000003</v>
      </c>
      <c r="D96">
        <v>96.292500000000004</v>
      </c>
      <c r="E96">
        <v>96.36</v>
      </c>
      <c r="F96">
        <v>96.42</v>
      </c>
      <c r="G96">
        <v>96.29</v>
      </c>
      <c r="H96">
        <v>96.355000000000004</v>
      </c>
      <c r="I96">
        <v>96.39</v>
      </c>
      <c r="J96">
        <v>96.46</v>
      </c>
      <c r="K96">
        <v>96.53</v>
      </c>
    </row>
    <row r="97" spans="1:11" x14ac:dyDescent="0.25">
      <c r="A97" s="2">
        <f>DATE(2025,12,15)</f>
        <v>46006</v>
      </c>
      <c r="B97">
        <v>96.06</v>
      </c>
      <c r="C97">
        <v>96.215000000000003</v>
      </c>
      <c r="D97">
        <v>96.292500000000004</v>
      </c>
      <c r="E97">
        <v>96.36</v>
      </c>
      <c r="F97">
        <v>96.42</v>
      </c>
      <c r="G97">
        <v>96.29</v>
      </c>
      <c r="H97">
        <v>96.355000000000004</v>
      </c>
      <c r="I97">
        <v>96.39</v>
      </c>
      <c r="J97">
        <v>96.46</v>
      </c>
      <c r="K97">
        <v>96.53</v>
      </c>
    </row>
    <row r="98" spans="1:11" x14ac:dyDescent="0.25">
      <c r="A98" s="2">
        <f>DATE(2025,12,14)</f>
        <v>46005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 x14ac:dyDescent="0.25">
      <c r="A99" s="2">
        <f>DATE(2025,12,13)</f>
        <v>46004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 x14ac:dyDescent="0.25">
      <c r="A100" s="2">
        <f>DATE(2025,12,12)</f>
        <v>46003</v>
      </c>
      <c r="B100">
        <v>96.057500000000005</v>
      </c>
      <c r="C100">
        <v>96.212500000000006</v>
      </c>
      <c r="D100">
        <v>96.29</v>
      </c>
      <c r="E100">
        <v>96.355000000000004</v>
      </c>
      <c r="F100">
        <v>96.415000000000006</v>
      </c>
      <c r="G100">
        <v>96.29</v>
      </c>
      <c r="H100">
        <v>96.355000000000004</v>
      </c>
      <c r="I100">
        <v>96.385000000000005</v>
      </c>
      <c r="J100">
        <v>96.45</v>
      </c>
      <c r="K100">
        <v>96.52</v>
      </c>
    </row>
    <row r="101" spans="1:11" x14ac:dyDescent="0.25">
      <c r="A101" s="2">
        <f>DATE(2025,12,11)</f>
        <v>46002</v>
      </c>
      <c r="B101">
        <v>96.057500000000005</v>
      </c>
      <c r="C101">
        <v>96.21</v>
      </c>
      <c r="D101">
        <v>96.287499999999994</v>
      </c>
      <c r="E101">
        <v>96.355000000000004</v>
      </c>
      <c r="F101">
        <v>96.405000000000001</v>
      </c>
      <c r="G101">
        <v>96.29</v>
      </c>
      <c r="H101">
        <v>96.355000000000004</v>
      </c>
      <c r="I101">
        <v>96.38</v>
      </c>
      <c r="J101">
        <v>96.44</v>
      </c>
      <c r="K101">
        <v>96.504999999999995</v>
      </c>
    </row>
    <row r="102" spans="1:11" x14ac:dyDescent="0.25">
      <c r="A102" s="2">
        <f>DATE(2025,12,10)</f>
        <v>46001</v>
      </c>
      <c r="B102">
        <v>96.055000000000007</v>
      </c>
      <c r="C102">
        <v>96.207499999999996</v>
      </c>
      <c r="D102">
        <v>96.282499999999999</v>
      </c>
      <c r="E102">
        <v>96.344999999999999</v>
      </c>
      <c r="F102">
        <v>96.39</v>
      </c>
      <c r="G102">
        <v>96.284999999999997</v>
      </c>
      <c r="H102">
        <v>96.35</v>
      </c>
      <c r="I102">
        <v>96.375</v>
      </c>
      <c r="J102">
        <v>96.424999999999997</v>
      </c>
      <c r="K102">
        <v>96.484999999999999</v>
      </c>
    </row>
    <row r="103" spans="1:11" x14ac:dyDescent="0.25">
      <c r="A103" s="2">
        <f>DATE(2025,12,9)</f>
        <v>46000</v>
      </c>
      <c r="B103">
        <v>96.042500000000004</v>
      </c>
      <c r="C103">
        <v>96.1875</v>
      </c>
      <c r="D103">
        <v>96.265000000000001</v>
      </c>
      <c r="E103">
        <v>96.33</v>
      </c>
      <c r="F103">
        <v>96.375</v>
      </c>
      <c r="G103">
        <v>96.26</v>
      </c>
      <c r="H103">
        <v>96.33</v>
      </c>
      <c r="I103">
        <v>96.35</v>
      </c>
      <c r="J103">
        <v>96.4</v>
      </c>
      <c r="K103">
        <v>96.454999999999998</v>
      </c>
    </row>
    <row r="104" spans="1:11" x14ac:dyDescent="0.25">
      <c r="A104" s="2">
        <f>DATE(2025,12,8)</f>
        <v>45999</v>
      </c>
      <c r="B104">
        <v>96.04</v>
      </c>
      <c r="C104">
        <v>96.185000000000002</v>
      </c>
      <c r="D104">
        <v>96.267499999999998</v>
      </c>
      <c r="E104">
        <v>96.334999999999994</v>
      </c>
      <c r="F104">
        <v>96.39</v>
      </c>
      <c r="G104">
        <v>96.26</v>
      </c>
      <c r="H104">
        <v>96.334999999999994</v>
      </c>
      <c r="I104">
        <v>96.36</v>
      </c>
      <c r="J104">
        <v>96.424999999999997</v>
      </c>
      <c r="K104">
        <v>96.484999999999999</v>
      </c>
    </row>
    <row r="105" spans="1:11" x14ac:dyDescent="0.25">
      <c r="A105" s="2">
        <f>DATE(2025,12,7)</f>
        <v>45998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25">
      <c r="A106" s="2">
        <f>DATE(2025,12,6)</f>
        <v>45997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25">
      <c r="A107" s="2">
        <f>DATE(2025,12,5)</f>
        <v>45996</v>
      </c>
      <c r="B107">
        <v>96.04</v>
      </c>
      <c r="C107">
        <v>96.185000000000002</v>
      </c>
      <c r="D107">
        <v>96.267499999999998</v>
      </c>
      <c r="E107">
        <v>96.34</v>
      </c>
      <c r="F107">
        <v>96.394999999999996</v>
      </c>
      <c r="G107">
        <v>96.254999999999995</v>
      </c>
      <c r="H107">
        <v>96.334999999999994</v>
      </c>
      <c r="I107">
        <v>96.36</v>
      </c>
      <c r="J107">
        <v>96.424999999999997</v>
      </c>
      <c r="K107">
        <v>96.495000000000005</v>
      </c>
    </row>
    <row r="108" spans="1:11" x14ac:dyDescent="0.25">
      <c r="A108" s="2">
        <f>DATE(2025,12,4)</f>
        <v>45995</v>
      </c>
      <c r="B108">
        <v>96.042500000000004</v>
      </c>
      <c r="C108">
        <v>96.1875</v>
      </c>
      <c r="D108">
        <v>96.272499999999994</v>
      </c>
      <c r="E108">
        <v>96.344999999999999</v>
      </c>
      <c r="F108">
        <v>96.405000000000001</v>
      </c>
      <c r="G108">
        <v>96.26</v>
      </c>
      <c r="H108">
        <v>96.344999999999999</v>
      </c>
      <c r="I108">
        <v>96.364999999999995</v>
      </c>
      <c r="J108">
        <v>96.435000000000002</v>
      </c>
      <c r="K108">
        <v>96.504999999999995</v>
      </c>
    </row>
    <row r="109" spans="1:11" x14ac:dyDescent="0.25">
      <c r="A109" s="2">
        <f>DATE(2025,12,3)</f>
        <v>45994</v>
      </c>
      <c r="B109">
        <v>96.042500000000004</v>
      </c>
      <c r="C109">
        <v>96.1875</v>
      </c>
      <c r="D109">
        <v>96.277500000000003</v>
      </c>
      <c r="E109">
        <v>96.35</v>
      </c>
      <c r="F109">
        <v>96.415000000000006</v>
      </c>
      <c r="G109">
        <v>96.26</v>
      </c>
      <c r="H109">
        <v>96.35</v>
      </c>
      <c r="I109">
        <v>96.375</v>
      </c>
      <c r="J109">
        <v>96.45</v>
      </c>
      <c r="K109">
        <v>96.53</v>
      </c>
    </row>
    <row r="110" spans="1:11" x14ac:dyDescent="0.25">
      <c r="A110" s="2">
        <f>DATE(2025,12,2)</f>
        <v>45993</v>
      </c>
      <c r="B110">
        <v>96.034999999999997</v>
      </c>
      <c r="C110">
        <v>96.18</v>
      </c>
      <c r="D110">
        <v>96.27</v>
      </c>
      <c r="E110">
        <v>96.34</v>
      </c>
      <c r="F110">
        <v>96.394999999999996</v>
      </c>
      <c r="G110">
        <v>96.25</v>
      </c>
      <c r="H110">
        <v>96.34</v>
      </c>
      <c r="I110">
        <v>96.36</v>
      </c>
      <c r="J110">
        <v>96.43</v>
      </c>
      <c r="K110">
        <v>96.504999999999995</v>
      </c>
    </row>
    <row r="111" spans="1:11" x14ac:dyDescent="0.25">
      <c r="A111" s="2">
        <f>DATE(2025,12,1)</f>
        <v>45992</v>
      </c>
      <c r="B111">
        <v>96.032499999999999</v>
      </c>
      <c r="C111">
        <v>96.174999999999997</v>
      </c>
      <c r="D111">
        <v>96.26</v>
      </c>
      <c r="E111">
        <v>96.33</v>
      </c>
      <c r="F111">
        <v>96.385000000000005</v>
      </c>
      <c r="G111">
        <v>96.245000000000005</v>
      </c>
      <c r="H111">
        <v>96.33</v>
      </c>
      <c r="I111">
        <v>96.35</v>
      </c>
      <c r="J111">
        <v>96.415000000000006</v>
      </c>
      <c r="K111">
        <v>96.48</v>
      </c>
    </row>
    <row r="112" spans="1:11" x14ac:dyDescent="0.25">
      <c r="A112" s="2">
        <f>DATE(2025,11,30)</f>
        <v>45991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 x14ac:dyDescent="0.25">
      <c r="A113" s="2">
        <f>DATE(2025,11,29)</f>
        <v>45990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 x14ac:dyDescent="0.25">
      <c r="A114" s="2">
        <f>DATE(2025,11,28)</f>
        <v>45989</v>
      </c>
      <c r="B114">
        <v>96.027500000000003</v>
      </c>
      <c r="C114">
        <v>96.17</v>
      </c>
      <c r="D114">
        <v>96.267499999999998</v>
      </c>
      <c r="E114">
        <v>96.34</v>
      </c>
      <c r="F114">
        <v>96.405000000000001</v>
      </c>
      <c r="G114">
        <v>96.245000000000005</v>
      </c>
      <c r="H114">
        <v>96.33</v>
      </c>
      <c r="I114">
        <v>96.355000000000004</v>
      </c>
      <c r="J114">
        <v>96.43</v>
      </c>
      <c r="K114">
        <v>96.504999999999995</v>
      </c>
    </row>
    <row r="115" spans="1:11" x14ac:dyDescent="0.25">
      <c r="A115" s="2">
        <f>DATE(2025,11,27)</f>
        <v>45988</v>
      </c>
      <c r="B115">
        <v>0</v>
      </c>
      <c r="C115">
        <v>96.167500000000004</v>
      </c>
      <c r="D115">
        <v>96.267499999999998</v>
      </c>
      <c r="E115">
        <v>0</v>
      </c>
      <c r="F115">
        <v>0</v>
      </c>
      <c r="G115">
        <v>96.245000000000005</v>
      </c>
      <c r="H115">
        <v>96.33</v>
      </c>
      <c r="I115">
        <v>96.355000000000004</v>
      </c>
      <c r="J115">
        <v>96.435000000000002</v>
      </c>
      <c r="K115">
        <v>96.504999999999995</v>
      </c>
    </row>
    <row r="116" spans="1:11" x14ac:dyDescent="0.25">
      <c r="A116" s="2">
        <f>DATE(2025,11,26)</f>
        <v>45987</v>
      </c>
      <c r="B116">
        <v>96.025000000000006</v>
      </c>
      <c r="C116">
        <v>96.165000000000006</v>
      </c>
      <c r="D116">
        <v>96.26</v>
      </c>
      <c r="E116">
        <v>96.334999999999994</v>
      </c>
      <c r="F116">
        <v>96.4</v>
      </c>
      <c r="G116">
        <v>96.24</v>
      </c>
      <c r="H116">
        <v>96.325000000000003</v>
      </c>
      <c r="I116">
        <v>96.35</v>
      </c>
      <c r="J116">
        <v>96.43</v>
      </c>
      <c r="K116">
        <v>96.504999999999995</v>
      </c>
    </row>
    <row r="117" spans="1:11" x14ac:dyDescent="0.25">
      <c r="A117" s="2">
        <f>DATE(2025,11,25)</f>
        <v>45986</v>
      </c>
      <c r="B117">
        <v>96.027500000000003</v>
      </c>
      <c r="C117">
        <v>96.167500000000004</v>
      </c>
      <c r="D117">
        <v>96.265000000000001</v>
      </c>
      <c r="E117">
        <v>96.344999999999999</v>
      </c>
      <c r="F117">
        <v>96.41</v>
      </c>
      <c r="G117">
        <v>96.245000000000005</v>
      </c>
      <c r="H117">
        <v>96.334999999999994</v>
      </c>
      <c r="I117">
        <v>96.355000000000004</v>
      </c>
      <c r="J117">
        <v>96.444999999999993</v>
      </c>
      <c r="K117">
        <v>96.525000000000006</v>
      </c>
    </row>
    <row r="118" spans="1:11" x14ac:dyDescent="0.25">
      <c r="A118" s="2">
        <f>DATE(2025,11,24)</f>
        <v>45985</v>
      </c>
      <c r="B118">
        <v>96.025000000000006</v>
      </c>
      <c r="C118">
        <v>96.162499999999994</v>
      </c>
      <c r="D118">
        <v>96.254999999999995</v>
      </c>
      <c r="E118">
        <v>96.334999999999994</v>
      </c>
      <c r="F118">
        <v>96.405000000000001</v>
      </c>
      <c r="G118">
        <v>96.24</v>
      </c>
      <c r="H118">
        <v>96.32</v>
      </c>
      <c r="I118">
        <v>96.34</v>
      </c>
      <c r="J118">
        <v>96.44</v>
      </c>
      <c r="K118">
        <v>96.52</v>
      </c>
    </row>
    <row r="119" spans="1:11" x14ac:dyDescent="0.25">
      <c r="A119" s="2">
        <f>DATE(2025,11,23)</f>
        <v>45984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 s="2">
        <f>DATE(2025,11,22)</f>
        <v>45983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1:11" x14ac:dyDescent="0.25">
      <c r="A121" s="2">
        <f>DATE(2025,11,21)</f>
        <v>45982</v>
      </c>
      <c r="B121">
        <v>96.01</v>
      </c>
      <c r="C121">
        <v>96.137500000000003</v>
      </c>
      <c r="D121">
        <v>96.224999999999994</v>
      </c>
      <c r="E121">
        <v>96.31</v>
      </c>
      <c r="F121">
        <v>96.385000000000005</v>
      </c>
      <c r="G121">
        <v>96.204999999999998</v>
      </c>
      <c r="H121">
        <v>96.295000000000002</v>
      </c>
      <c r="I121">
        <v>96.314999999999998</v>
      </c>
      <c r="J121">
        <v>96.415000000000006</v>
      </c>
      <c r="K121">
        <v>96.5</v>
      </c>
    </row>
    <row r="122" spans="1:11" x14ac:dyDescent="0.25">
      <c r="A122" s="2">
        <f>DATE(2025,11,20)</f>
        <v>45981</v>
      </c>
      <c r="B122">
        <v>95.99</v>
      </c>
      <c r="C122">
        <v>96.097499999999997</v>
      </c>
      <c r="D122">
        <v>96.18</v>
      </c>
      <c r="E122">
        <v>96.275000000000006</v>
      </c>
      <c r="F122">
        <v>96.35</v>
      </c>
      <c r="G122">
        <v>96.135000000000005</v>
      </c>
      <c r="H122">
        <v>96.27</v>
      </c>
      <c r="I122">
        <v>96.31</v>
      </c>
      <c r="J122">
        <v>96.394999999999996</v>
      </c>
      <c r="K122">
        <v>96.474999999999994</v>
      </c>
    </row>
    <row r="123" spans="1:11" x14ac:dyDescent="0.25">
      <c r="A123" s="2">
        <f>DATE(2025,11,19)</f>
        <v>45980</v>
      </c>
      <c r="B123">
        <v>95.99</v>
      </c>
      <c r="C123">
        <v>96.097499999999997</v>
      </c>
      <c r="D123">
        <v>96.165000000000006</v>
      </c>
      <c r="E123">
        <v>96.26</v>
      </c>
      <c r="F123">
        <v>96.33</v>
      </c>
      <c r="G123">
        <v>96.125</v>
      </c>
      <c r="H123">
        <v>96.254999999999995</v>
      </c>
      <c r="I123">
        <v>96.295000000000002</v>
      </c>
      <c r="J123">
        <v>96.37</v>
      </c>
      <c r="K123">
        <v>96.444999999999993</v>
      </c>
    </row>
    <row r="124" spans="1:11" x14ac:dyDescent="0.25">
      <c r="A124" s="2">
        <f>DATE(2025,11,18)</f>
        <v>45979</v>
      </c>
      <c r="B124">
        <v>96.002499999999998</v>
      </c>
      <c r="C124">
        <v>96.117500000000007</v>
      </c>
      <c r="D124">
        <v>96.19</v>
      </c>
      <c r="E124">
        <v>96.28</v>
      </c>
      <c r="F124">
        <v>96.35</v>
      </c>
      <c r="G124">
        <v>96.165000000000006</v>
      </c>
      <c r="H124">
        <v>96.275000000000006</v>
      </c>
      <c r="I124">
        <v>96.32</v>
      </c>
      <c r="J124">
        <v>96.394999999999996</v>
      </c>
      <c r="K124">
        <v>96.47</v>
      </c>
    </row>
    <row r="125" spans="1:11" x14ac:dyDescent="0.25">
      <c r="A125" s="2">
        <f>DATE(2025,11,17)</f>
        <v>45978</v>
      </c>
      <c r="B125">
        <v>96</v>
      </c>
      <c r="C125">
        <v>96.114999999999995</v>
      </c>
      <c r="D125">
        <v>96.174999999999997</v>
      </c>
      <c r="E125">
        <v>96.265000000000001</v>
      </c>
      <c r="F125">
        <v>96.33</v>
      </c>
      <c r="G125">
        <v>96.15</v>
      </c>
      <c r="H125">
        <v>96.254999999999995</v>
      </c>
      <c r="I125">
        <v>96.295000000000002</v>
      </c>
      <c r="J125">
        <v>96.364999999999995</v>
      </c>
      <c r="K125">
        <v>96.44</v>
      </c>
    </row>
    <row r="126" spans="1:11" x14ac:dyDescent="0.25">
      <c r="A126" s="2">
        <f>DATE(2025,11,16)</f>
        <v>45977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 s="2">
        <f>DATE(2025,11,15)</f>
        <v>45976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 s="2">
        <f>DATE(2025,11,14)</f>
        <v>45975</v>
      </c>
      <c r="B128">
        <v>96.002499999999998</v>
      </c>
      <c r="C128">
        <v>96.12</v>
      </c>
      <c r="D128">
        <v>96.185000000000002</v>
      </c>
      <c r="E128">
        <v>96.275000000000006</v>
      </c>
      <c r="F128">
        <v>96.34</v>
      </c>
      <c r="G128">
        <v>96.16</v>
      </c>
      <c r="H128">
        <v>96.265000000000001</v>
      </c>
      <c r="I128">
        <v>96.305000000000007</v>
      </c>
      <c r="J128">
        <v>96.375</v>
      </c>
      <c r="K128">
        <v>96.444999999999993</v>
      </c>
    </row>
    <row r="129" spans="1:11" x14ac:dyDescent="0.25">
      <c r="A129" s="2">
        <f>DATE(2025,11,13)</f>
        <v>45974</v>
      </c>
      <c r="B129">
        <v>96.004999999999995</v>
      </c>
      <c r="C129">
        <v>96.13</v>
      </c>
      <c r="D129">
        <v>96.194999999999993</v>
      </c>
      <c r="E129">
        <v>96.284999999999997</v>
      </c>
      <c r="F129">
        <v>96.35</v>
      </c>
      <c r="G129">
        <v>96.174999999999997</v>
      </c>
      <c r="H129">
        <v>96.28</v>
      </c>
      <c r="I129">
        <v>96.32</v>
      </c>
      <c r="J129">
        <v>96.394999999999996</v>
      </c>
      <c r="K129">
        <v>96.465000000000003</v>
      </c>
    </row>
    <row r="130" spans="1:11" x14ac:dyDescent="0.25">
      <c r="A130" s="2">
        <f>DATE(2025,11,12)</f>
        <v>45973</v>
      </c>
      <c r="B130">
        <v>96.025000000000006</v>
      </c>
      <c r="C130">
        <v>96.157499999999999</v>
      </c>
      <c r="D130">
        <v>96.23</v>
      </c>
      <c r="E130">
        <v>96.32</v>
      </c>
      <c r="F130">
        <v>96.385000000000005</v>
      </c>
      <c r="G130">
        <v>96.2</v>
      </c>
      <c r="H130">
        <v>96.31</v>
      </c>
      <c r="I130">
        <v>96.355000000000004</v>
      </c>
      <c r="J130">
        <v>96.43</v>
      </c>
      <c r="K130">
        <v>96.5</v>
      </c>
    </row>
    <row r="131" spans="1:11" x14ac:dyDescent="0.25">
      <c r="A131" s="2">
        <f>DATE(2025,11,11)</f>
        <v>45972</v>
      </c>
      <c r="B131">
        <v>96.03</v>
      </c>
      <c r="C131">
        <v>96.162499999999994</v>
      </c>
      <c r="D131">
        <v>96.25</v>
      </c>
      <c r="E131">
        <v>96.34</v>
      </c>
      <c r="F131">
        <v>96.405000000000001</v>
      </c>
      <c r="G131">
        <v>96.215000000000003</v>
      </c>
      <c r="H131">
        <v>96.325000000000003</v>
      </c>
      <c r="I131">
        <v>96.37</v>
      </c>
      <c r="J131">
        <v>96.444999999999993</v>
      </c>
      <c r="K131">
        <v>96.515000000000001</v>
      </c>
    </row>
    <row r="132" spans="1:11" x14ac:dyDescent="0.25">
      <c r="A132" s="2">
        <f>DATE(2025,11,10)</f>
        <v>45971</v>
      </c>
      <c r="B132">
        <v>96.027500000000003</v>
      </c>
      <c r="C132">
        <v>96.155000000000001</v>
      </c>
      <c r="D132">
        <v>96.224999999999994</v>
      </c>
      <c r="E132">
        <v>96.314999999999998</v>
      </c>
      <c r="F132">
        <v>96.38</v>
      </c>
      <c r="G132">
        <v>96.204999999999998</v>
      </c>
      <c r="H132">
        <v>96.31</v>
      </c>
      <c r="I132">
        <v>96.35</v>
      </c>
      <c r="J132">
        <v>96.415000000000006</v>
      </c>
      <c r="K132">
        <v>96.48</v>
      </c>
    </row>
    <row r="133" spans="1:11" x14ac:dyDescent="0.25">
      <c r="A133" s="2">
        <f>DATE(2025,11,9)</f>
        <v>45970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 x14ac:dyDescent="0.25">
      <c r="A134" s="2">
        <f>DATE(2025,11,8)</f>
        <v>45969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 x14ac:dyDescent="0.25">
      <c r="A135" s="2">
        <f>DATE(2025,11,7)</f>
        <v>45968</v>
      </c>
      <c r="B135">
        <v>96.032499999999999</v>
      </c>
      <c r="C135">
        <v>96.17</v>
      </c>
      <c r="D135">
        <v>96.25</v>
      </c>
      <c r="E135">
        <v>96.34</v>
      </c>
      <c r="F135">
        <v>96.405000000000001</v>
      </c>
      <c r="G135">
        <v>96.224999999999994</v>
      </c>
      <c r="H135">
        <v>96.34</v>
      </c>
      <c r="I135">
        <v>96.38</v>
      </c>
      <c r="J135">
        <v>96.444999999999993</v>
      </c>
      <c r="K135">
        <v>96.51</v>
      </c>
    </row>
    <row r="136" spans="1:11" x14ac:dyDescent="0.25">
      <c r="A136" s="2">
        <f>DATE(2025,11,6)</f>
        <v>45967</v>
      </c>
      <c r="B136">
        <v>96.034999999999997</v>
      </c>
      <c r="C136">
        <v>96.172499999999999</v>
      </c>
      <c r="D136">
        <v>96.254999999999995</v>
      </c>
      <c r="E136">
        <v>96.34</v>
      </c>
      <c r="F136">
        <v>96.394999999999996</v>
      </c>
      <c r="G136">
        <v>96.23</v>
      </c>
      <c r="H136">
        <v>96.33</v>
      </c>
      <c r="I136">
        <v>96.364999999999995</v>
      </c>
      <c r="J136">
        <v>96.43</v>
      </c>
      <c r="K136">
        <v>96.5</v>
      </c>
    </row>
    <row r="137" spans="1:11" x14ac:dyDescent="0.25">
      <c r="A137" s="2">
        <f>DATE(2025,11,5)</f>
        <v>45966</v>
      </c>
      <c r="B137">
        <v>96.025000000000006</v>
      </c>
      <c r="C137">
        <v>96.155000000000001</v>
      </c>
      <c r="D137">
        <v>96.22</v>
      </c>
      <c r="E137">
        <v>96.305000000000007</v>
      </c>
      <c r="F137">
        <v>96.355000000000004</v>
      </c>
      <c r="G137">
        <v>96.204999999999998</v>
      </c>
      <c r="H137">
        <v>96.295000000000002</v>
      </c>
      <c r="I137">
        <v>96.33</v>
      </c>
      <c r="J137">
        <v>96.385000000000005</v>
      </c>
      <c r="K137">
        <v>96.444999999999993</v>
      </c>
    </row>
    <row r="138" spans="1:11" x14ac:dyDescent="0.25">
      <c r="A138" s="2">
        <f>DATE(2025,11,4)</f>
        <v>45965</v>
      </c>
      <c r="B138">
        <v>96.027500000000003</v>
      </c>
      <c r="C138">
        <v>96.162499999999994</v>
      </c>
      <c r="D138">
        <v>96.25</v>
      </c>
      <c r="E138">
        <v>96.334999999999994</v>
      </c>
      <c r="F138">
        <v>96.39</v>
      </c>
      <c r="G138">
        <v>96.224999999999994</v>
      </c>
      <c r="H138">
        <v>96.325000000000003</v>
      </c>
      <c r="I138">
        <v>96.36</v>
      </c>
      <c r="J138">
        <v>96.42</v>
      </c>
      <c r="K138">
        <v>96.484999999999999</v>
      </c>
    </row>
    <row r="139" spans="1:11" x14ac:dyDescent="0.25">
      <c r="A139" s="2">
        <f>DATE(2025,11,3)</f>
        <v>45964</v>
      </c>
      <c r="B139">
        <v>96.02</v>
      </c>
      <c r="C139">
        <v>96.15</v>
      </c>
      <c r="D139">
        <v>96.234999999999999</v>
      </c>
      <c r="E139">
        <v>96.32</v>
      </c>
      <c r="F139">
        <v>96.375</v>
      </c>
      <c r="G139">
        <v>96.215000000000003</v>
      </c>
      <c r="H139">
        <v>96.31</v>
      </c>
      <c r="I139">
        <v>96.344999999999999</v>
      </c>
      <c r="J139">
        <v>96.405000000000001</v>
      </c>
      <c r="K139">
        <v>96.47</v>
      </c>
    </row>
    <row r="140" spans="1:11" x14ac:dyDescent="0.25">
      <c r="A140" s="2">
        <f>DATE(2025,11,2)</f>
        <v>45963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 x14ac:dyDescent="0.25">
      <c r="A141" s="2">
        <f>DATE(2025,11,1)</f>
        <v>45962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 x14ac:dyDescent="0.25">
      <c r="A142" s="2">
        <f>DATE(2025,10,31)</f>
        <v>45961</v>
      </c>
      <c r="B142">
        <v>96.022499999999994</v>
      </c>
      <c r="C142">
        <v>96.152500000000003</v>
      </c>
      <c r="D142">
        <v>96.224999999999994</v>
      </c>
      <c r="E142">
        <v>96.31</v>
      </c>
      <c r="F142">
        <v>96.364999999999995</v>
      </c>
      <c r="G142">
        <v>96.204999999999998</v>
      </c>
      <c r="H142">
        <v>96.3</v>
      </c>
      <c r="I142">
        <v>96.334999999999994</v>
      </c>
      <c r="J142">
        <v>96.394999999999996</v>
      </c>
      <c r="K142">
        <v>96.46</v>
      </c>
    </row>
    <row r="143" spans="1:11" x14ac:dyDescent="0.25">
      <c r="A143" s="2">
        <f>DATE(2025,10,30)</f>
        <v>45960</v>
      </c>
      <c r="B143">
        <v>96.03</v>
      </c>
      <c r="C143">
        <v>96.167500000000004</v>
      </c>
      <c r="D143">
        <v>96.245000000000005</v>
      </c>
      <c r="E143">
        <v>96.33</v>
      </c>
      <c r="F143">
        <v>96.385000000000005</v>
      </c>
      <c r="G143">
        <v>96.224999999999994</v>
      </c>
      <c r="H143">
        <v>96.32</v>
      </c>
      <c r="I143">
        <v>96.35</v>
      </c>
      <c r="J143">
        <v>96.41</v>
      </c>
      <c r="K143">
        <v>96.474999999999994</v>
      </c>
    </row>
    <row r="144" spans="1:11" x14ac:dyDescent="0.25">
      <c r="A144" s="2">
        <f>DATE(2025,10,29)</f>
        <v>45959</v>
      </c>
      <c r="B144">
        <v>96.034999999999997</v>
      </c>
      <c r="C144">
        <v>96.182500000000005</v>
      </c>
      <c r="D144">
        <v>96.27</v>
      </c>
      <c r="E144">
        <v>96.36</v>
      </c>
      <c r="F144">
        <v>96.42</v>
      </c>
      <c r="G144">
        <v>96.24</v>
      </c>
      <c r="H144">
        <v>96.355000000000004</v>
      </c>
      <c r="I144">
        <v>96.39</v>
      </c>
      <c r="J144">
        <v>96.454999999999998</v>
      </c>
      <c r="K144">
        <v>96.515000000000001</v>
      </c>
    </row>
    <row r="145" spans="1:11" x14ac:dyDescent="0.25">
      <c r="A145" s="2">
        <f>DATE(2025,10,28)</f>
        <v>45958</v>
      </c>
      <c r="B145">
        <v>96.084999999999994</v>
      </c>
      <c r="C145">
        <v>96.254999999999995</v>
      </c>
      <c r="D145">
        <v>96.36</v>
      </c>
      <c r="E145">
        <v>96.46</v>
      </c>
      <c r="F145">
        <v>96.53</v>
      </c>
      <c r="G145">
        <v>96.325000000000003</v>
      </c>
      <c r="H145">
        <v>96.46</v>
      </c>
      <c r="I145">
        <v>96.5</v>
      </c>
      <c r="J145">
        <v>96.57</v>
      </c>
      <c r="K145">
        <v>96.635000000000005</v>
      </c>
    </row>
    <row r="146" spans="1:11" x14ac:dyDescent="0.25">
      <c r="A146" s="2">
        <f>DATE(2025,10,27)</f>
        <v>45957</v>
      </c>
      <c r="B146">
        <v>96.084999999999994</v>
      </c>
      <c r="C146">
        <v>96.254999999999995</v>
      </c>
      <c r="D146">
        <v>96.364999999999995</v>
      </c>
      <c r="E146">
        <v>96.465000000000003</v>
      </c>
      <c r="F146">
        <v>96.534999999999997</v>
      </c>
      <c r="G146">
        <v>96.325000000000003</v>
      </c>
      <c r="H146">
        <v>96.454999999999998</v>
      </c>
      <c r="I146">
        <v>96.495000000000005</v>
      </c>
      <c r="J146">
        <v>96.57</v>
      </c>
      <c r="K146">
        <v>96.635000000000005</v>
      </c>
    </row>
    <row r="147" spans="1:11" x14ac:dyDescent="0.25">
      <c r="A147" s="2">
        <f>DATE(2025,10,26)</f>
        <v>45956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25">
      <c r="A148" s="2">
        <f>DATE(2025,10,25)</f>
        <v>45955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25">
      <c r="A149" s="2">
        <f>DATE(2025,10,24)</f>
        <v>45954</v>
      </c>
      <c r="B149">
        <v>96.087500000000006</v>
      </c>
      <c r="C149">
        <v>96.262500000000003</v>
      </c>
      <c r="D149">
        <v>96.38</v>
      </c>
      <c r="E149">
        <v>96.49</v>
      </c>
      <c r="F149">
        <v>96.56</v>
      </c>
      <c r="G149">
        <v>96.334999999999994</v>
      </c>
      <c r="H149">
        <v>96.474999999999994</v>
      </c>
      <c r="I149">
        <v>96.52</v>
      </c>
      <c r="J149">
        <v>96.6</v>
      </c>
      <c r="K149">
        <v>96.665000000000006</v>
      </c>
    </row>
    <row r="150" spans="1:11" x14ac:dyDescent="0.25">
      <c r="A150" s="2">
        <f>DATE(2025,10,23)</f>
        <v>45953</v>
      </c>
      <c r="B150">
        <v>96.084999999999994</v>
      </c>
      <c r="C150">
        <v>96.252499999999998</v>
      </c>
      <c r="D150">
        <v>96.36</v>
      </c>
      <c r="E150">
        <v>96.47</v>
      </c>
      <c r="F150">
        <v>96.55</v>
      </c>
      <c r="G150">
        <v>96.314999999999998</v>
      </c>
      <c r="H150">
        <v>96.454999999999998</v>
      </c>
      <c r="I150">
        <v>96.504999999999995</v>
      </c>
      <c r="J150">
        <v>96.59</v>
      </c>
      <c r="K150">
        <v>96.66</v>
      </c>
    </row>
    <row r="151" spans="1:11" x14ac:dyDescent="0.25">
      <c r="A151" s="2">
        <f>DATE(2025,10,22)</f>
        <v>45952</v>
      </c>
      <c r="B151">
        <v>96.087500000000006</v>
      </c>
      <c r="C151">
        <v>96.254999999999995</v>
      </c>
      <c r="D151">
        <v>96.375</v>
      </c>
      <c r="E151">
        <v>96.484999999999999</v>
      </c>
      <c r="F151">
        <v>96.57</v>
      </c>
      <c r="G151">
        <v>96.32</v>
      </c>
      <c r="H151">
        <v>96.47</v>
      </c>
      <c r="I151">
        <v>96.525000000000006</v>
      </c>
      <c r="J151">
        <v>96.614999999999995</v>
      </c>
      <c r="K151">
        <v>96.7</v>
      </c>
    </row>
    <row r="152" spans="1:11" x14ac:dyDescent="0.25">
      <c r="A152" s="2">
        <f>DATE(2025,10,21)</f>
        <v>45951</v>
      </c>
      <c r="B152">
        <v>96.087500000000006</v>
      </c>
      <c r="C152">
        <v>96.254999999999995</v>
      </c>
      <c r="D152">
        <v>96.375</v>
      </c>
      <c r="E152">
        <v>96.484999999999999</v>
      </c>
      <c r="F152">
        <v>96.57</v>
      </c>
      <c r="G152">
        <v>96.325000000000003</v>
      </c>
      <c r="H152">
        <v>96.47</v>
      </c>
      <c r="I152">
        <v>96.525000000000006</v>
      </c>
      <c r="J152">
        <v>96.614999999999995</v>
      </c>
      <c r="K152">
        <v>96.694999999999993</v>
      </c>
    </row>
    <row r="153" spans="1:11" x14ac:dyDescent="0.25">
      <c r="A153" s="2">
        <f>DATE(2025,10,20)</f>
        <v>45950</v>
      </c>
      <c r="B153">
        <v>96.105000000000004</v>
      </c>
      <c r="C153">
        <v>96.272499999999994</v>
      </c>
      <c r="D153">
        <v>96.38</v>
      </c>
      <c r="E153">
        <v>96.49</v>
      </c>
      <c r="F153">
        <v>96.575000000000003</v>
      </c>
      <c r="G153">
        <v>96.34</v>
      </c>
      <c r="H153">
        <v>96.48</v>
      </c>
      <c r="I153">
        <v>96.53</v>
      </c>
      <c r="J153">
        <v>96.62</v>
      </c>
      <c r="K153">
        <v>96.7</v>
      </c>
    </row>
    <row r="154" spans="1:11" x14ac:dyDescent="0.25">
      <c r="A154" s="2">
        <f>DATE(2025,10,19)</f>
        <v>45949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 x14ac:dyDescent="0.25">
      <c r="A155" s="2">
        <f>DATE(2025,10,18)</f>
        <v>45948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 x14ac:dyDescent="0.25">
      <c r="A156" s="2">
        <f>DATE(2025,10,17)</f>
        <v>45947</v>
      </c>
      <c r="B156">
        <v>96.112499999999997</v>
      </c>
      <c r="C156">
        <v>96.282499999999999</v>
      </c>
      <c r="D156">
        <v>96.39</v>
      </c>
      <c r="E156">
        <v>96.5</v>
      </c>
      <c r="F156">
        <v>96.584999999999994</v>
      </c>
      <c r="G156">
        <v>96.35</v>
      </c>
      <c r="H156">
        <v>96.484999999999999</v>
      </c>
      <c r="I156">
        <v>96.534999999999997</v>
      </c>
      <c r="J156">
        <v>96.62</v>
      </c>
      <c r="K156">
        <v>96.7</v>
      </c>
    </row>
    <row r="157" spans="1:11" x14ac:dyDescent="0.25">
      <c r="A157" s="2">
        <f>DATE(2025,10,16)</f>
        <v>45946</v>
      </c>
      <c r="B157">
        <v>96.114999999999995</v>
      </c>
      <c r="C157">
        <v>96.284999999999997</v>
      </c>
      <c r="D157">
        <v>96.41</v>
      </c>
      <c r="E157">
        <v>96.52</v>
      </c>
      <c r="F157">
        <v>96.605000000000004</v>
      </c>
      <c r="G157">
        <v>96.36</v>
      </c>
      <c r="H157">
        <v>96.504999999999995</v>
      </c>
      <c r="I157">
        <v>96.56</v>
      </c>
      <c r="J157">
        <v>96.655000000000001</v>
      </c>
      <c r="K157">
        <v>96.734999999999999</v>
      </c>
    </row>
    <row r="158" spans="1:11" x14ac:dyDescent="0.25">
      <c r="A158" s="2">
        <f>DATE(2025,10,15)</f>
        <v>45945</v>
      </c>
      <c r="B158">
        <v>96.102500000000006</v>
      </c>
      <c r="C158">
        <v>96.252499999999998</v>
      </c>
      <c r="D158">
        <v>96.36</v>
      </c>
      <c r="E158">
        <v>96.46</v>
      </c>
      <c r="F158">
        <v>96.534999999999997</v>
      </c>
      <c r="G158">
        <v>96.32</v>
      </c>
      <c r="H158">
        <v>96.45</v>
      </c>
      <c r="I158">
        <v>96.495000000000005</v>
      </c>
      <c r="J158">
        <v>96.58</v>
      </c>
      <c r="K158">
        <v>96.655000000000001</v>
      </c>
    </row>
    <row r="159" spans="1:11" x14ac:dyDescent="0.25">
      <c r="A159" s="2">
        <f>DATE(2025,10,14)</f>
        <v>45944</v>
      </c>
      <c r="B159">
        <v>96.114999999999995</v>
      </c>
      <c r="C159">
        <v>96.265000000000001</v>
      </c>
      <c r="D159">
        <v>96.375</v>
      </c>
      <c r="E159">
        <v>96.47</v>
      </c>
      <c r="F159">
        <v>96.545000000000002</v>
      </c>
      <c r="G159">
        <v>96.334999999999994</v>
      </c>
      <c r="H159">
        <v>96.46</v>
      </c>
      <c r="I159">
        <v>96.504999999999995</v>
      </c>
      <c r="J159">
        <v>96.59</v>
      </c>
      <c r="K159">
        <v>96.665000000000006</v>
      </c>
    </row>
    <row r="160" spans="1:11" x14ac:dyDescent="0.25">
      <c r="A160" s="2">
        <f>DATE(2025,10,13)</f>
        <v>45943</v>
      </c>
      <c r="B160">
        <v>96.117500000000007</v>
      </c>
      <c r="C160">
        <v>96.267499999999998</v>
      </c>
      <c r="D160">
        <v>96.375</v>
      </c>
      <c r="E160">
        <v>96.47</v>
      </c>
      <c r="F160">
        <v>96.545000000000002</v>
      </c>
      <c r="G160">
        <v>96.33</v>
      </c>
      <c r="H160">
        <v>96.454999999999998</v>
      </c>
      <c r="I160">
        <v>96.5</v>
      </c>
      <c r="J160">
        <v>96.584999999999994</v>
      </c>
      <c r="K160">
        <v>96.66</v>
      </c>
    </row>
    <row r="161" spans="1:11" x14ac:dyDescent="0.25">
      <c r="A161" s="2">
        <f>DATE(2025,10,12)</f>
        <v>45942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 x14ac:dyDescent="0.25">
      <c r="A162" s="2">
        <f>DATE(2025,10,11)</f>
        <v>45941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s="2">
        <f>DATE(2025,10,10)</f>
        <v>45940</v>
      </c>
      <c r="B163">
        <v>96.117500000000007</v>
      </c>
      <c r="C163">
        <v>96.254999999999995</v>
      </c>
      <c r="D163">
        <v>96.364999999999995</v>
      </c>
      <c r="E163">
        <v>96.45</v>
      </c>
      <c r="F163">
        <v>96.52</v>
      </c>
      <c r="G163">
        <v>96.325000000000003</v>
      </c>
      <c r="H163">
        <v>96.444999999999993</v>
      </c>
      <c r="I163">
        <v>96.484999999999999</v>
      </c>
      <c r="J163">
        <v>96.56</v>
      </c>
      <c r="K163">
        <v>96.63</v>
      </c>
    </row>
    <row r="164" spans="1:11" x14ac:dyDescent="0.25">
      <c r="A164" s="2">
        <f>DATE(2025,10,9)</f>
        <v>45939</v>
      </c>
      <c r="B164">
        <v>96.105000000000004</v>
      </c>
      <c r="C164">
        <v>96.234999999999999</v>
      </c>
      <c r="D164">
        <v>96.325000000000003</v>
      </c>
      <c r="E164">
        <v>96.405000000000001</v>
      </c>
      <c r="F164">
        <v>96.465000000000003</v>
      </c>
      <c r="G164">
        <v>96.29</v>
      </c>
      <c r="H164">
        <v>96.39</v>
      </c>
      <c r="I164">
        <v>96.424999999999997</v>
      </c>
      <c r="J164">
        <v>96.495000000000005</v>
      </c>
      <c r="K164">
        <v>96.555000000000007</v>
      </c>
    </row>
    <row r="165" spans="1:11" x14ac:dyDescent="0.25">
      <c r="A165" s="2">
        <f>DATE(2025,10,8)</f>
        <v>45938</v>
      </c>
      <c r="B165">
        <v>96.105000000000004</v>
      </c>
      <c r="C165">
        <v>96.234999999999999</v>
      </c>
      <c r="D165">
        <v>96.32</v>
      </c>
      <c r="E165">
        <v>96.405000000000001</v>
      </c>
      <c r="F165">
        <v>96.465000000000003</v>
      </c>
      <c r="G165">
        <v>96.295000000000002</v>
      </c>
      <c r="H165">
        <v>96.394999999999996</v>
      </c>
      <c r="I165">
        <v>96.43</v>
      </c>
      <c r="J165">
        <v>96.5</v>
      </c>
      <c r="K165">
        <v>96.56</v>
      </c>
    </row>
    <row r="166" spans="1:11" x14ac:dyDescent="0.25">
      <c r="A166" s="2">
        <f>DATE(2025,10,7)</f>
        <v>45937</v>
      </c>
      <c r="B166">
        <v>96.107500000000002</v>
      </c>
      <c r="C166">
        <v>96.24</v>
      </c>
      <c r="D166">
        <v>96.325000000000003</v>
      </c>
      <c r="E166">
        <v>96.415000000000006</v>
      </c>
      <c r="F166">
        <v>96.474999999999994</v>
      </c>
      <c r="G166">
        <v>96.3</v>
      </c>
      <c r="H166">
        <v>96.4</v>
      </c>
      <c r="I166">
        <v>96.44</v>
      </c>
      <c r="J166">
        <v>96.51</v>
      </c>
      <c r="K166">
        <v>96.575000000000003</v>
      </c>
    </row>
    <row r="167" spans="1:11" x14ac:dyDescent="0.25">
      <c r="A167" s="2">
        <f>DATE(2025,10,6)</f>
        <v>45936</v>
      </c>
      <c r="B167">
        <v>96.107500000000002</v>
      </c>
      <c r="C167">
        <v>96.24</v>
      </c>
      <c r="D167">
        <v>96.32</v>
      </c>
      <c r="E167">
        <v>96.41</v>
      </c>
      <c r="F167">
        <v>96.474999999999994</v>
      </c>
      <c r="G167">
        <v>96.3</v>
      </c>
      <c r="H167">
        <v>96.4</v>
      </c>
      <c r="I167">
        <v>96.44</v>
      </c>
      <c r="J167">
        <v>96.51</v>
      </c>
      <c r="K167">
        <v>96.57</v>
      </c>
    </row>
    <row r="168" spans="1:11" x14ac:dyDescent="0.25">
      <c r="A168" s="2">
        <f>DATE(2025,10,5)</f>
        <v>45935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 x14ac:dyDescent="0.25">
      <c r="A169" s="2">
        <f>DATE(2025,10,4)</f>
        <v>45934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 x14ac:dyDescent="0.25">
      <c r="A170" s="2">
        <f>DATE(2025,10,3)</f>
        <v>45933</v>
      </c>
      <c r="B170">
        <v>96.11</v>
      </c>
      <c r="C170">
        <v>96.245000000000005</v>
      </c>
      <c r="D170">
        <v>96.33</v>
      </c>
      <c r="E170">
        <v>96.42</v>
      </c>
      <c r="F170">
        <v>96.49</v>
      </c>
      <c r="G170">
        <v>96.305000000000007</v>
      </c>
      <c r="H170">
        <v>96.415000000000006</v>
      </c>
      <c r="I170">
        <v>96.454999999999998</v>
      </c>
      <c r="J170">
        <v>96.53</v>
      </c>
      <c r="K170">
        <v>96.594999999999999</v>
      </c>
    </row>
    <row r="171" spans="1:11" x14ac:dyDescent="0.25">
      <c r="A171" s="2">
        <f>DATE(2025,10,2)</f>
        <v>45932</v>
      </c>
      <c r="B171">
        <v>96.114999999999995</v>
      </c>
      <c r="C171">
        <v>96.25</v>
      </c>
      <c r="D171">
        <v>96.35</v>
      </c>
      <c r="E171">
        <v>96.435000000000002</v>
      </c>
      <c r="F171">
        <v>96.504999999999995</v>
      </c>
      <c r="G171">
        <v>96.32</v>
      </c>
      <c r="H171">
        <v>96.43</v>
      </c>
      <c r="I171">
        <v>96.474999999999994</v>
      </c>
      <c r="J171">
        <v>96.55</v>
      </c>
      <c r="K171">
        <v>96.62</v>
      </c>
    </row>
    <row r="172" spans="1:11" x14ac:dyDescent="0.25">
      <c r="A172" s="2">
        <f>DATE(2025,10,1)</f>
        <v>45931</v>
      </c>
      <c r="B172">
        <v>96.12</v>
      </c>
      <c r="C172">
        <v>96.254999999999995</v>
      </c>
      <c r="D172">
        <v>96.355000000000004</v>
      </c>
      <c r="E172">
        <v>96.435000000000002</v>
      </c>
      <c r="F172">
        <v>96.504999999999995</v>
      </c>
      <c r="G172">
        <v>96.325000000000003</v>
      </c>
      <c r="H172">
        <v>96.435000000000002</v>
      </c>
      <c r="I172">
        <v>96.474999999999994</v>
      </c>
      <c r="J172">
        <v>96.55</v>
      </c>
      <c r="K172">
        <v>96.614999999999995</v>
      </c>
    </row>
    <row r="173" spans="1:11" x14ac:dyDescent="0.25">
      <c r="A173" s="2">
        <f>DATE(2025,9,30)</f>
        <v>45930</v>
      </c>
      <c r="B173">
        <v>96.102500000000006</v>
      </c>
      <c r="C173">
        <v>96.224999999999994</v>
      </c>
      <c r="D173">
        <v>96.314999999999998</v>
      </c>
      <c r="E173">
        <v>96.394999999999996</v>
      </c>
      <c r="F173">
        <v>96.454999999999998</v>
      </c>
      <c r="G173">
        <v>96.29</v>
      </c>
      <c r="H173">
        <v>96.385000000000005</v>
      </c>
      <c r="I173">
        <v>96.42</v>
      </c>
      <c r="J173">
        <v>96.49</v>
      </c>
      <c r="K173">
        <v>96.55</v>
      </c>
    </row>
    <row r="174" spans="1:11" x14ac:dyDescent="0.25">
      <c r="A174" s="2">
        <f>DATE(2025,9,29)</f>
        <v>45929</v>
      </c>
      <c r="B174">
        <v>96.087500000000006</v>
      </c>
      <c r="C174">
        <v>96.204999999999998</v>
      </c>
      <c r="D174">
        <v>96.284999999999997</v>
      </c>
      <c r="E174">
        <v>96.364999999999995</v>
      </c>
      <c r="F174">
        <v>96.424999999999997</v>
      </c>
      <c r="G174">
        <v>96.265000000000001</v>
      </c>
      <c r="H174">
        <v>96.36</v>
      </c>
      <c r="I174">
        <v>96.394999999999996</v>
      </c>
      <c r="J174">
        <v>96.465000000000003</v>
      </c>
      <c r="K174">
        <v>96.52</v>
      </c>
    </row>
    <row r="175" spans="1:11" x14ac:dyDescent="0.25">
      <c r="A175" s="2">
        <f>DATE(2025,9,28)</f>
        <v>45928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 x14ac:dyDescent="0.25">
      <c r="A176" s="2">
        <f>DATE(2025,9,27)</f>
        <v>45927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 x14ac:dyDescent="0.25">
      <c r="A177" s="2">
        <f>DATE(2025,9,26)</f>
        <v>45926</v>
      </c>
      <c r="B177">
        <v>96.082499999999996</v>
      </c>
      <c r="C177">
        <v>96.194999999999993</v>
      </c>
      <c r="D177">
        <v>96.275000000000006</v>
      </c>
      <c r="E177">
        <v>96.35</v>
      </c>
      <c r="F177">
        <v>96.41</v>
      </c>
      <c r="G177">
        <v>96.254999999999995</v>
      </c>
      <c r="H177">
        <v>96.35</v>
      </c>
      <c r="I177">
        <v>96.385000000000005</v>
      </c>
      <c r="J177">
        <v>96.45</v>
      </c>
      <c r="K177">
        <v>96.504999999999995</v>
      </c>
    </row>
    <row r="178" spans="1:11" x14ac:dyDescent="0.25">
      <c r="A178" s="2">
        <f>DATE(2025,9,25)</f>
        <v>45925</v>
      </c>
      <c r="B178">
        <v>96.077500000000001</v>
      </c>
      <c r="C178">
        <v>96.19</v>
      </c>
      <c r="D178">
        <v>96.26</v>
      </c>
      <c r="E178">
        <v>96.334999999999994</v>
      </c>
      <c r="F178">
        <v>96.394999999999996</v>
      </c>
      <c r="G178">
        <v>96.24</v>
      </c>
      <c r="H178">
        <v>96.33</v>
      </c>
      <c r="I178">
        <v>96.364999999999995</v>
      </c>
      <c r="J178">
        <v>96.43</v>
      </c>
      <c r="K178">
        <v>96.484999999999999</v>
      </c>
    </row>
    <row r="179" spans="1:11" x14ac:dyDescent="0.25">
      <c r="A179" s="2">
        <f>DATE(2025,9,24)</f>
        <v>45924</v>
      </c>
      <c r="B179">
        <v>96.1</v>
      </c>
      <c r="C179">
        <v>96.23</v>
      </c>
      <c r="D179">
        <v>96.314999999999998</v>
      </c>
      <c r="E179">
        <v>96.405000000000001</v>
      </c>
      <c r="F179">
        <v>96.47</v>
      </c>
      <c r="G179">
        <v>96.284999999999997</v>
      </c>
      <c r="H179">
        <v>96.394999999999996</v>
      </c>
      <c r="I179">
        <v>96.43</v>
      </c>
      <c r="J179">
        <v>96.504999999999995</v>
      </c>
      <c r="K179">
        <v>96.57</v>
      </c>
    </row>
    <row r="180" spans="1:11" x14ac:dyDescent="0.25">
      <c r="A180" s="2">
        <f>DATE(2025,9,23)</f>
        <v>45923</v>
      </c>
      <c r="B180">
        <v>96.107500000000002</v>
      </c>
      <c r="C180">
        <v>96.24</v>
      </c>
      <c r="D180">
        <v>96.33</v>
      </c>
      <c r="E180">
        <v>96.424999999999997</v>
      </c>
      <c r="F180">
        <v>96.49</v>
      </c>
      <c r="G180">
        <v>96.295000000000002</v>
      </c>
      <c r="H180">
        <v>96.405000000000001</v>
      </c>
      <c r="I180">
        <v>96.444999999999993</v>
      </c>
      <c r="J180">
        <v>96.525000000000006</v>
      </c>
      <c r="K180">
        <v>96.59</v>
      </c>
    </row>
    <row r="181" spans="1:11" x14ac:dyDescent="0.25">
      <c r="A181" s="2">
        <f>DATE(2025,9,22)</f>
        <v>45922</v>
      </c>
      <c r="B181">
        <v>96.105000000000004</v>
      </c>
      <c r="C181">
        <v>96.24</v>
      </c>
      <c r="D181">
        <v>96.325000000000003</v>
      </c>
      <c r="E181">
        <v>96.42</v>
      </c>
      <c r="F181">
        <v>96.484999999999999</v>
      </c>
      <c r="G181">
        <v>96.29</v>
      </c>
      <c r="H181">
        <v>96.405000000000001</v>
      </c>
      <c r="I181">
        <v>96.444999999999993</v>
      </c>
      <c r="J181">
        <v>96.52</v>
      </c>
      <c r="K181">
        <v>96.59</v>
      </c>
    </row>
    <row r="182" spans="1:11" x14ac:dyDescent="0.25">
      <c r="A182" s="2">
        <f>DATE(2025,9,21)</f>
        <v>45921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 x14ac:dyDescent="0.25">
      <c r="A183" s="2">
        <f>DATE(2025,9,20)</f>
        <v>45920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 x14ac:dyDescent="0.25">
      <c r="A184" s="2">
        <f>DATE(2025,9,19)</f>
        <v>45919</v>
      </c>
      <c r="B184">
        <v>96.114999999999995</v>
      </c>
      <c r="C184">
        <v>96.254999999999995</v>
      </c>
      <c r="D184">
        <v>96.344999999999999</v>
      </c>
      <c r="E184">
        <v>96.444999999999993</v>
      </c>
      <c r="F184">
        <v>96.51</v>
      </c>
      <c r="G184">
        <v>96.31</v>
      </c>
      <c r="H184">
        <v>96.424999999999997</v>
      </c>
      <c r="I184">
        <v>96.47</v>
      </c>
      <c r="J184">
        <v>96.55</v>
      </c>
      <c r="K184">
        <v>96.62</v>
      </c>
    </row>
    <row r="185" spans="1:11" x14ac:dyDescent="0.25">
      <c r="A185" s="2">
        <f>DATE(2025,9,18)</f>
        <v>45918</v>
      </c>
      <c r="B185">
        <v>96.114999999999995</v>
      </c>
      <c r="C185">
        <v>96.254999999999995</v>
      </c>
      <c r="D185">
        <v>96.35</v>
      </c>
      <c r="E185">
        <v>96.454999999999998</v>
      </c>
      <c r="F185">
        <v>96.53</v>
      </c>
      <c r="G185">
        <v>96.314999999999998</v>
      </c>
      <c r="H185">
        <v>96.435000000000002</v>
      </c>
      <c r="I185">
        <v>96.484999999999999</v>
      </c>
      <c r="J185">
        <v>96.57</v>
      </c>
      <c r="K185">
        <v>96.64</v>
      </c>
    </row>
    <row r="186" spans="1:11" x14ac:dyDescent="0.25">
      <c r="A186" s="2">
        <f>DATE(2025,9,17)</f>
        <v>45917</v>
      </c>
      <c r="B186">
        <v>96.12</v>
      </c>
      <c r="C186">
        <v>96.26</v>
      </c>
      <c r="D186">
        <v>96.36</v>
      </c>
      <c r="E186">
        <v>96.465000000000003</v>
      </c>
      <c r="F186">
        <v>96.54</v>
      </c>
      <c r="G186">
        <v>96.325000000000003</v>
      </c>
      <c r="H186">
        <v>96.45</v>
      </c>
      <c r="I186">
        <v>96.5</v>
      </c>
      <c r="J186">
        <v>96.584999999999994</v>
      </c>
      <c r="K186">
        <v>96.66</v>
      </c>
    </row>
    <row r="187" spans="1:11" x14ac:dyDescent="0.25">
      <c r="A187" s="2">
        <f>DATE(2025,9,16)</f>
        <v>45916</v>
      </c>
      <c r="B187">
        <v>96.114999999999995</v>
      </c>
      <c r="C187">
        <v>96.252499999999998</v>
      </c>
      <c r="D187">
        <v>96.36</v>
      </c>
      <c r="E187">
        <v>96.465000000000003</v>
      </c>
      <c r="F187">
        <v>96.54</v>
      </c>
      <c r="G187">
        <v>96.31</v>
      </c>
      <c r="H187">
        <v>96.444999999999993</v>
      </c>
      <c r="I187">
        <v>96.495000000000005</v>
      </c>
      <c r="J187">
        <v>96.59</v>
      </c>
      <c r="K187">
        <v>96.67</v>
      </c>
    </row>
    <row r="188" spans="1:11" x14ac:dyDescent="0.25">
      <c r="A188" s="2">
        <f>DATE(2025,9,15)</f>
        <v>45915</v>
      </c>
      <c r="B188">
        <v>96.107500000000002</v>
      </c>
      <c r="C188">
        <v>96.245000000000005</v>
      </c>
      <c r="D188">
        <v>96.344999999999999</v>
      </c>
      <c r="E188">
        <v>96.45</v>
      </c>
      <c r="F188">
        <v>96.525000000000006</v>
      </c>
      <c r="G188">
        <v>96.305000000000007</v>
      </c>
      <c r="H188">
        <v>96.435000000000002</v>
      </c>
      <c r="I188">
        <v>96.484999999999999</v>
      </c>
      <c r="J188">
        <v>96.575000000000003</v>
      </c>
      <c r="K188">
        <v>96.65</v>
      </c>
    </row>
    <row r="189" spans="1:11" x14ac:dyDescent="0.25">
      <c r="A189" s="2">
        <f>DATE(2025,9,14)</f>
        <v>45914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1:11" x14ac:dyDescent="0.25">
      <c r="A190" s="2">
        <f>DATE(2025,9,13)</f>
        <v>45913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 x14ac:dyDescent="0.25">
      <c r="A191" s="2">
        <f>DATE(2025,9,12)</f>
        <v>45912</v>
      </c>
      <c r="B191">
        <v>96.12</v>
      </c>
      <c r="C191">
        <v>96.26</v>
      </c>
      <c r="D191">
        <v>96.364999999999995</v>
      </c>
      <c r="E191">
        <v>96.47</v>
      </c>
      <c r="F191">
        <v>96.54</v>
      </c>
      <c r="G191">
        <v>96.32</v>
      </c>
      <c r="H191">
        <v>96.45</v>
      </c>
      <c r="I191">
        <v>96.495000000000005</v>
      </c>
      <c r="J191">
        <v>96.575000000000003</v>
      </c>
      <c r="K191">
        <v>96.644999999999996</v>
      </c>
    </row>
    <row r="192" spans="1:11" x14ac:dyDescent="0.25">
      <c r="A192" s="2">
        <f>DATE(2025,9,11)</f>
        <v>45911</v>
      </c>
      <c r="B192">
        <v>96.14</v>
      </c>
      <c r="C192">
        <v>96.28</v>
      </c>
      <c r="D192">
        <v>96.39</v>
      </c>
      <c r="E192">
        <v>96.495000000000005</v>
      </c>
      <c r="F192">
        <v>96.57</v>
      </c>
      <c r="G192">
        <v>96.344999999999999</v>
      </c>
      <c r="H192">
        <v>96.474999999999994</v>
      </c>
      <c r="I192">
        <v>96.52</v>
      </c>
      <c r="J192">
        <v>96.605000000000004</v>
      </c>
      <c r="K192">
        <v>96.68</v>
      </c>
    </row>
    <row r="193" spans="1:11" x14ac:dyDescent="0.25">
      <c r="A193" s="2">
        <f>DATE(2025,9,10)</f>
        <v>45910</v>
      </c>
      <c r="B193">
        <v>96.114999999999995</v>
      </c>
      <c r="C193">
        <v>96.25</v>
      </c>
      <c r="D193">
        <v>96.35</v>
      </c>
      <c r="E193">
        <v>96.454999999999998</v>
      </c>
      <c r="F193">
        <v>96.534999999999997</v>
      </c>
      <c r="G193">
        <v>96.31</v>
      </c>
      <c r="H193">
        <v>96.435000000000002</v>
      </c>
      <c r="I193">
        <v>96.484999999999999</v>
      </c>
      <c r="J193">
        <v>96.57</v>
      </c>
      <c r="K193">
        <v>96.65</v>
      </c>
    </row>
    <row r="194" spans="1:11" x14ac:dyDescent="0.25">
      <c r="A194" s="2">
        <f>DATE(2025,9,9)</f>
        <v>45909</v>
      </c>
      <c r="B194">
        <v>96.114999999999995</v>
      </c>
      <c r="C194">
        <v>96.25</v>
      </c>
      <c r="D194">
        <v>96.334999999999994</v>
      </c>
      <c r="E194">
        <v>96.44</v>
      </c>
      <c r="F194">
        <v>96.52</v>
      </c>
      <c r="G194">
        <v>96.305000000000007</v>
      </c>
      <c r="H194">
        <v>96.424999999999997</v>
      </c>
      <c r="I194">
        <v>96.474999999999994</v>
      </c>
      <c r="J194">
        <v>96.56</v>
      </c>
      <c r="K194">
        <v>96.64</v>
      </c>
    </row>
    <row r="195" spans="1:11" x14ac:dyDescent="0.25">
      <c r="A195" s="2">
        <f>DATE(2025,9,8)</f>
        <v>45908</v>
      </c>
      <c r="B195">
        <v>96.135000000000005</v>
      </c>
      <c r="C195">
        <v>96.275000000000006</v>
      </c>
      <c r="D195">
        <v>96.385000000000005</v>
      </c>
      <c r="E195">
        <v>96.49</v>
      </c>
      <c r="F195">
        <v>96.575000000000003</v>
      </c>
      <c r="G195">
        <v>96.334999999999994</v>
      </c>
      <c r="H195">
        <v>96.47</v>
      </c>
      <c r="I195">
        <v>96.525000000000006</v>
      </c>
      <c r="J195">
        <v>96.62</v>
      </c>
      <c r="K195">
        <v>96.71</v>
      </c>
    </row>
    <row r="196" spans="1:11" x14ac:dyDescent="0.25">
      <c r="A196" s="2">
        <f>DATE(2025,9,7)</f>
        <v>45907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1:11" x14ac:dyDescent="0.25">
      <c r="A197" s="2">
        <f>DATE(2025,9,6)</f>
        <v>45906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1:11" x14ac:dyDescent="0.25">
      <c r="A198" s="2">
        <f>DATE(2025,9,5)</f>
        <v>45905</v>
      </c>
      <c r="B198">
        <v>96.125</v>
      </c>
      <c r="C198">
        <v>96.26</v>
      </c>
      <c r="D198">
        <v>96.37</v>
      </c>
      <c r="E198">
        <v>96.47</v>
      </c>
      <c r="F198">
        <v>96.555000000000007</v>
      </c>
      <c r="G198">
        <v>96.32</v>
      </c>
      <c r="H198">
        <v>96.454999999999998</v>
      </c>
      <c r="I198">
        <v>96.51</v>
      </c>
      <c r="J198">
        <v>96.605000000000004</v>
      </c>
      <c r="K198">
        <v>96.7</v>
      </c>
    </row>
    <row r="199" spans="1:11" x14ac:dyDescent="0.25">
      <c r="A199" s="2">
        <f>DATE(2025,9,4)</f>
        <v>45904</v>
      </c>
      <c r="B199">
        <v>96.045000000000002</v>
      </c>
      <c r="C199">
        <v>96.165000000000006</v>
      </c>
      <c r="D199">
        <v>96.265000000000001</v>
      </c>
      <c r="E199">
        <v>96.364999999999995</v>
      </c>
      <c r="F199">
        <v>96.444999999999993</v>
      </c>
      <c r="G199">
        <v>96.22</v>
      </c>
      <c r="H199">
        <v>96.334999999999994</v>
      </c>
      <c r="I199">
        <v>96.39</v>
      </c>
      <c r="J199">
        <v>96.484999999999999</v>
      </c>
      <c r="K199">
        <v>96.58</v>
      </c>
    </row>
    <row r="200" spans="1:11" x14ac:dyDescent="0.25">
      <c r="A200" s="2">
        <f>DATE(2025,9,3)</f>
        <v>45903</v>
      </c>
      <c r="B200">
        <v>96.034999999999997</v>
      </c>
      <c r="C200">
        <v>96.155000000000001</v>
      </c>
      <c r="D200">
        <v>96.245000000000005</v>
      </c>
      <c r="E200">
        <v>96.344999999999999</v>
      </c>
      <c r="F200">
        <v>96.424999999999997</v>
      </c>
      <c r="G200">
        <v>96.21</v>
      </c>
      <c r="H200">
        <v>96.325000000000003</v>
      </c>
      <c r="I200">
        <v>96.375</v>
      </c>
      <c r="J200">
        <v>96.47</v>
      </c>
      <c r="K200">
        <v>96.56</v>
      </c>
    </row>
    <row r="201" spans="1:11" x14ac:dyDescent="0.25">
      <c r="A201" s="2">
        <f>DATE(2025,9,2)</f>
        <v>45902</v>
      </c>
      <c r="B201">
        <v>96.015000000000001</v>
      </c>
      <c r="C201">
        <v>96.135000000000005</v>
      </c>
      <c r="D201">
        <v>96.215000000000003</v>
      </c>
      <c r="E201">
        <v>96.314999999999998</v>
      </c>
      <c r="F201">
        <v>96.394999999999996</v>
      </c>
      <c r="G201">
        <v>96.185000000000002</v>
      </c>
      <c r="H201">
        <v>96.295000000000002</v>
      </c>
      <c r="I201">
        <v>96.34</v>
      </c>
      <c r="J201">
        <v>96.43</v>
      </c>
      <c r="K201">
        <v>96.515000000000001</v>
      </c>
    </row>
    <row r="202" spans="1:11" x14ac:dyDescent="0.25">
      <c r="A202" s="2">
        <f>DATE(2025,9,1)</f>
        <v>45901</v>
      </c>
      <c r="B202">
        <v>96.02</v>
      </c>
      <c r="C202">
        <v>0</v>
      </c>
      <c r="D202">
        <v>96.224999999999994</v>
      </c>
      <c r="E202">
        <v>0</v>
      </c>
      <c r="F202">
        <v>0</v>
      </c>
      <c r="G202">
        <v>96.19</v>
      </c>
      <c r="H202">
        <v>96.305000000000007</v>
      </c>
      <c r="I202">
        <v>96.355000000000004</v>
      </c>
      <c r="J202">
        <v>96.444999999999993</v>
      </c>
      <c r="K202">
        <v>96.534999999999997</v>
      </c>
    </row>
    <row r="203" spans="1:11" x14ac:dyDescent="0.25">
      <c r="A203" s="2">
        <f>DATE(2025,8,31)</f>
        <v>45900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1:11" x14ac:dyDescent="0.25">
      <c r="A204" s="2">
        <f>DATE(2025,8,30)</f>
        <v>45899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1:11" x14ac:dyDescent="0.25">
      <c r="A205" s="2">
        <f>DATE(2025,8,29)</f>
        <v>45898</v>
      </c>
      <c r="B205">
        <v>96.015000000000001</v>
      </c>
      <c r="C205">
        <v>96.14</v>
      </c>
      <c r="D205">
        <v>96.23</v>
      </c>
      <c r="E205">
        <v>96.33</v>
      </c>
      <c r="F205">
        <v>96.415000000000006</v>
      </c>
      <c r="G205">
        <v>96.19</v>
      </c>
      <c r="H205">
        <v>96.31</v>
      </c>
      <c r="I205">
        <v>96.36</v>
      </c>
      <c r="J205">
        <v>96.454999999999998</v>
      </c>
      <c r="K205">
        <v>96.55</v>
      </c>
    </row>
    <row r="206" spans="1:11" x14ac:dyDescent="0.25">
      <c r="A206" s="2">
        <f>DATE(2025,8,28)</f>
        <v>45897</v>
      </c>
      <c r="B206">
        <v>96.004999999999995</v>
      </c>
      <c r="C206">
        <v>96.13</v>
      </c>
      <c r="D206">
        <v>96.215000000000003</v>
      </c>
      <c r="E206">
        <v>96.314999999999998</v>
      </c>
      <c r="F206">
        <v>96.4</v>
      </c>
      <c r="G206">
        <v>96.18</v>
      </c>
      <c r="H206">
        <v>96.3</v>
      </c>
      <c r="I206">
        <v>96.35</v>
      </c>
      <c r="J206">
        <v>96.444999999999993</v>
      </c>
      <c r="K206">
        <v>96.54</v>
      </c>
    </row>
    <row r="207" spans="1:11" x14ac:dyDescent="0.25">
      <c r="A207" s="2">
        <f>DATE(2025,8,27)</f>
        <v>45896</v>
      </c>
      <c r="B207">
        <v>96.01</v>
      </c>
      <c r="C207">
        <v>96.135000000000005</v>
      </c>
      <c r="D207">
        <v>96.234999999999999</v>
      </c>
      <c r="E207">
        <v>96.334999999999994</v>
      </c>
      <c r="F207">
        <v>96.42</v>
      </c>
      <c r="G207">
        <v>96.194999999999993</v>
      </c>
      <c r="H207">
        <v>96.325000000000003</v>
      </c>
      <c r="I207">
        <v>96.375</v>
      </c>
      <c r="J207">
        <v>96.47</v>
      </c>
      <c r="K207">
        <v>96.575000000000003</v>
      </c>
    </row>
    <row r="208" spans="1:11" x14ac:dyDescent="0.25">
      <c r="A208" s="2">
        <f>DATE(2025,8,26)</f>
        <v>45895</v>
      </c>
      <c r="B208">
        <v>95.995000000000005</v>
      </c>
      <c r="C208">
        <v>96.12</v>
      </c>
      <c r="D208">
        <v>96.224999999999994</v>
      </c>
      <c r="E208">
        <v>96.325000000000003</v>
      </c>
      <c r="F208">
        <v>96.41</v>
      </c>
      <c r="G208">
        <v>96.174999999999997</v>
      </c>
      <c r="H208">
        <v>96.31</v>
      </c>
      <c r="I208">
        <v>96.36</v>
      </c>
      <c r="J208">
        <v>96.454999999999998</v>
      </c>
      <c r="K208">
        <v>96.55</v>
      </c>
    </row>
    <row r="209" spans="1:11" x14ac:dyDescent="0.25">
      <c r="A209" s="2">
        <f>DATE(2025,8,25)</f>
        <v>45894</v>
      </c>
      <c r="B209">
        <v>95.99</v>
      </c>
      <c r="C209">
        <v>96.11</v>
      </c>
      <c r="D209">
        <v>96.2</v>
      </c>
      <c r="E209">
        <v>96.3</v>
      </c>
      <c r="F209">
        <v>96.38</v>
      </c>
      <c r="G209">
        <v>96.16</v>
      </c>
      <c r="H209">
        <v>96.29</v>
      </c>
      <c r="I209">
        <v>96.334999999999994</v>
      </c>
      <c r="J209">
        <v>96.42</v>
      </c>
      <c r="K209">
        <v>96.504999999999995</v>
      </c>
    </row>
    <row r="210" spans="1:11" x14ac:dyDescent="0.25">
      <c r="A210" s="2">
        <f>DATE(2025,8,24)</f>
        <v>45893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1:11" x14ac:dyDescent="0.25">
      <c r="A211" s="2">
        <f>DATE(2025,8,23)</f>
        <v>45892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1:11" x14ac:dyDescent="0.25">
      <c r="A212" s="2">
        <f>DATE(2025,8,22)</f>
        <v>45891</v>
      </c>
      <c r="B212">
        <v>96.004999999999995</v>
      </c>
      <c r="C212">
        <v>96.125</v>
      </c>
      <c r="D212">
        <v>96.23</v>
      </c>
      <c r="E212">
        <v>96.334999999999994</v>
      </c>
      <c r="F212">
        <v>96.415000000000006</v>
      </c>
      <c r="G212">
        <v>96.185000000000002</v>
      </c>
      <c r="H212">
        <v>96.32</v>
      </c>
      <c r="I212">
        <v>96.37</v>
      </c>
      <c r="J212">
        <v>96.465000000000003</v>
      </c>
      <c r="K212">
        <v>96.555000000000007</v>
      </c>
    </row>
    <row r="213" spans="1:11" x14ac:dyDescent="0.25">
      <c r="A213" s="2">
        <f>DATE(2025,8,21)</f>
        <v>45890</v>
      </c>
      <c r="B213">
        <v>95.96</v>
      </c>
      <c r="C213">
        <v>96.064999999999998</v>
      </c>
      <c r="D213">
        <v>96.14</v>
      </c>
      <c r="E213">
        <v>96.234999999999999</v>
      </c>
      <c r="F213">
        <v>96.314999999999998</v>
      </c>
      <c r="G213">
        <v>96.11</v>
      </c>
      <c r="H213">
        <v>96.22</v>
      </c>
      <c r="I213">
        <v>96.265000000000001</v>
      </c>
      <c r="J213">
        <v>96.35</v>
      </c>
      <c r="K213">
        <v>96.43</v>
      </c>
    </row>
    <row r="214" spans="1:11" x14ac:dyDescent="0.25">
      <c r="A214" s="2">
        <f>DATE(2025,8,20)</f>
        <v>45889</v>
      </c>
      <c r="B214">
        <v>96</v>
      </c>
      <c r="C214">
        <v>96.114999999999995</v>
      </c>
      <c r="D214">
        <v>96.21</v>
      </c>
      <c r="E214">
        <v>96.305000000000007</v>
      </c>
      <c r="F214">
        <v>96.385000000000005</v>
      </c>
      <c r="G214">
        <v>96.174999999999997</v>
      </c>
      <c r="H214">
        <v>96.284999999999997</v>
      </c>
      <c r="I214">
        <v>96.33</v>
      </c>
      <c r="J214">
        <v>96.415000000000006</v>
      </c>
      <c r="K214">
        <v>96.495000000000005</v>
      </c>
    </row>
    <row r="215" spans="1:11" x14ac:dyDescent="0.25">
      <c r="A215" s="2">
        <f>DATE(2025,8,19)</f>
        <v>45888</v>
      </c>
      <c r="B215">
        <v>96.01</v>
      </c>
      <c r="C215">
        <v>96.125</v>
      </c>
      <c r="D215">
        <v>96.21</v>
      </c>
      <c r="E215">
        <v>96.305000000000007</v>
      </c>
      <c r="F215">
        <v>96.394999999999996</v>
      </c>
      <c r="G215">
        <v>96.174999999999997</v>
      </c>
      <c r="H215">
        <v>96.284999999999997</v>
      </c>
      <c r="I215">
        <v>96.33</v>
      </c>
      <c r="J215">
        <v>96.41</v>
      </c>
      <c r="K215">
        <v>96.484999999999999</v>
      </c>
    </row>
    <row r="216" spans="1:11" x14ac:dyDescent="0.25">
      <c r="A216" s="2">
        <f>DATE(2025,8,18)</f>
        <v>45887</v>
      </c>
      <c r="B216">
        <v>96</v>
      </c>
      <c r="C216">
        <v>96.114999999999995</v>
      </c>
      <c r="D216">
        <v>96.194999999999993</v>
      </c>
      <c r="E216">
        <v>96.29</v>
      </c>
      <c r="F216">
        <v>96.38</v>
      </c>
      <c r="G216">
        <v>96.16</v>
      </c>
      <c r="H216">
        <v>96.27</v>
      </c>
      <c r="I216">
        <v>96.31</v>
      </c>
      <c r="J216">
        <v>96.39</v>
      </c>
      <c r="K216">
        <v>96.454999999999998</v>
      </c>
    </row>
    <row r="217" spans="1:11" x14ac:dyDescent="0.25">
      <c r="A217" s="2">
        <f>DATE(2025,8,17)</f>
        <v>45886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 x14ac:dyDescent="0.25">
      <c r="A218" s="2">
        <f>DATE(2025,8,16)</f>
        <v>45885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 x14ac:dyDescent="0.25">
      <c r="A219" s="2">
        <f>DATE(2025,8,15)</f>
        <v>45884</v>
      </c>
      <c r="B219">
        <v>96.01</v>
      </c>
      <c r="C219">
        <v>96.125</v>
      </c>
      <c r="D219">
        <v>96.204999999999998</v>
      </c>
      <c r="E219">
        <v>96.3</v>
      </c>
      <c r="F219">
        <v>96.394999999999996</v>
      </c>
      <c r="G219">
        <v>96.174999999999997</v>
      </c>
      <c r="H219">
        <v>96.284999999999997</v>
      </c>
      <c r="I219">
        <v>96.33</v>
      </c>
      <c r="J219">
        <v>96.41</v>
      </c>
      <c r="K219">
        <v>96.474999999999994</v>
      </c>
    </row>
    <row r="220" spans="1:11" x14ac:dyDescent="0.25">
      <c r="A220" s="2">
        <f>DATE(2025,8,14)</f>
        <v>45883</v>
      </c>
      <c r="B220">
        <v>96.04</v>
      </c>
      <c r="C220">
        <v>96.155000000000001</v>
      </c>
      <c r="D220">
        <v>96.24</v>
      </c>
      <c r="E220">
        <v>96.334999999999994</v>
      </c>
      <c r="F220">
        <v>0</v>
      </c>
      <c r="G220">
        <v>96.204999999999998</v>
      </c>
      <c r="H220">
        <v>96.32</v>
      </c>
      <c r="I220">
        <v>96.364999999999995</v>
      </c>
      <c r="J220">
        <v>96.444999999999993</v>
      </c>
      <c r="K220">
        <v>96.51</v>
      </c>
    </row>
    <row r="221" spans="1:11" x14ac:dyDescent="0.25">
      <c r="A221" s="2">
        <f>DATE(2025,8,13)</f>
        <v>45882</v>
      </c>
      <c r="B221">
        <v>96.084999999999994</v>
      </c>
      <c r="C221">
        <v>96.21</v>
      </c>
      <c r="D221">
        <v>96.305000000000007</v>
      </c>
      <c r="E221">
        <v>96.4</v>
      </c>
      <c r="F221">
        <v>0</v>
      </c>
      <c r="G221">
        <v>96.265000000000001</v>
      </c>
      <c r="H221">
        <v>96.385000000000005</v>
      </c>
      <c r="I221">
        <v>96.43</v>
      </c>
      <c r="J221">
        <v>96.515000000000001</v>
      </c>
      <c r="K221">
        <v>96.58</v>
      </c>
    </row>
    <row r="222" spans="1:11" x14ac:dyDescent="0.25">
      <c r="A222" s="2">
        <f>DATE(2025,8,12)</f>
        <v>45881</v>
      </c>
      <c r="B222">
        <v>96.055000000000007</v>
      </c>
      <c r="C222">
        <v>96.18</v>
      </c>
      <c r="D222">
        <v>96.27</v>
      </c>
      <c r="E222">
        <v>96.364999999999995</v>
      </c>
      <c r="F222">
        <v>0</v>
      </c>
      <c r="G222">
        <v>96.23</v>
      </c>
      <c r="H222">
        <v>96.344999999999999</v>
      </c>
      <c r="I222">
        <v>96.39</v>
      </c>
      <c r="J222">
        <v>96.47</v>
      </c>
      <c r="K222">
        <v>96.54</v>
      </c>
    </row>
    <row r="223" spans="1:11" x14ac:dyDescent="0.25">
      <c r="A223" s="2">
        <f>DATE(2025,8,11)</f>
        <v>45880</v>
      </c>
      <c r="B223">
        <v>96.03</v>
      </c>
      <c r="C223">
        <v>96.155000000000001</v>
      </c>
      <c r="D223">
        <v>96.24</v>
      </c>
      <c r="E223">
        <v>96.334999999999994</v>
      </c>
      <c r="F223">
        <v>0</v>
      </c>
      <c r="G223">
        <v>96.204999999999998</v>
      </c>
      <c r="H223">
        <v>96.314999999999998</v>
      </c>
      <c r="I223">
        <v>96.36</v>
      </c>
      <c r="J223">
        <v>96.44</v>
      </c>
      <c r="K223">
        <v>96.51</v>
      </c>
    </row>
    <row r="224" spans="1:11" x14ac:dyDescent="0.25">
      <c r="A224" s="2">
        <f>DATE(2025,8,10)</f>
        <v>45879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1:11" x14ac:dyDescent="0.25">
      <c r="A225" s="2">
        <f>DATE(2025,8,9)</f>
        <v>45878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1:11" x14ac:dyDescent="0.25">
      <c r="A226" s="2">
        <f>DATE(2025,8,8)</f>
        <v>45877</v>
      </c>
      <c r="B226">
        <v>96.04</v>
      </c>
      <c r="C226">
        <v>96.165000000000006</v>
      </c>
      <c r="D226">
        <v>96.24</v>
      </c>
      <c r="E226">
        <v>96.334999999999994</v>
      </c>
      <c r="F226">
        <v>0</v>
      </c>
      <c r="G226">
        <v>96.215000000000003</v>
      </c>
      <c r="H226">
        <v>96.32</v>
      </c>
      <c r="I226">
        <v>96.36</v>
      </c>
      <c r="J226">
        <v>96.435000000000002</v>
      </c>
      <c r="K226">
        <v>96.504999999999995</v>
      </c>
    </row>
    <row r="227" spans="1:11" x14ac:dyDescent="0.25">
      <c r="A227" s="2">
        <f>DATE(2025,8,7)</f>
        <v>45876</v>
      </c>
      <c r="B227">
        <v>96.045000000000002</v>
      </c>
      <c r="C227">
        <v>96.17</v>
      </c>
      <c r="D227">
        <v>96.254999999999995</v>
      </c>
      <c r="E227">
        <v>96.35</v>
      </c>
      <c r="F227">
        <v>0</v>
      </c>
      <c r="G227">
        <v>96.224999999999994</v>
      </c>
      <c r="H227">
        <v>96.34</v>
      </c>
      <c r="I227">
        <v>96.385000000000005</v>
      </c>
      <c r="J227">
        <v>96.465000000000003</v>
      </c>
      <c r="K227">
        <v>96.534999999999997</v>
      </c>
    </row>
    <row r="228" spans="1:11" x14ac:dyDescent="0.25">
      <c r="A228" s="2">
        <f>DATE(2025,8,6)</f>
        <v>45875</v>
      </c>
      <c r="B228">
        <v>96.064999999999998</v>
      </c>
      <c r="C228">
        <v>96.19</v>
      </c>
      <c r="D228">
        <v>96.284999999999997</v>
      </c>
      <c r="E228">
        <v>96.375</v>
      </c>
      <c r="F228">
        <v>0</v>
      </c>
      <c r="G228">
        <v>96.245000000000005</v>
      </c>
      <c r="H228">
        <v>96.36</v>
      </c>
      <c r="I228">
        <v>96.405000000000001</v>
      </c>
      <c r="J228">
        <v>96.484999999999999</v>
      </c>
      <c r="K228">
        <v>96.564999999999998</v>
      </c>
    </row>
    <row r="229" spans="1:11" x14ac:dyDescent="0.25">
      <c r="A229" s="2">
        <f>DATE(2025,8,5)</f>
        <v>45874</v>
      </c>
      <c r="B229">
        <v>96.05</v>
      </c>
      <c r="C229">
        <v>96.17</v>
      </c>
      <c r="D229">
        <v>96.25</v>
      </c>
      <c r="E229">
        <v>96.34</v>
      </c>
      <c r="F229">
        <v>0</v>
      </c>
      <c r="G229">
        <v>96.215000000000003</v>
      </c>
      <c r="H229">
        <v>96.33</v>
      </c>
      <c r="I229">
        <v>96.375</v>
      </c>
      <c r="J229">
        <v>96.454999999999998</v>
      </c>
      <c r="K229">
        <v>96.53</v>
      </c>
    </row>
    <row r="230" spans="1:11" x14ac:dyDescent="0.25">
      <c r="A230" s="2">
        <f>DATE(2025,8,4)</f>
        <v>45873</v>
      </c>
      <c r="B230">
        <v>96.064999999999998</v>
      </c>
      <c r="C230">
        <v>96.19</v>
      </c>
      <c r="D230">
        <v>96.29</v>
      </c>
      <c r="E230">
        <v>96.38</v>
      </c>
      <c r="F230">
        <v>0</v>
      </c>
      <c r="G230">
        <v>96.25</v>
      </c>
      <c r="H230">
        <v>96.37</v>
      </c>
      <c r="I230">
        <v>96.42</v>
      </c>
      <c r="J230">
        <v>96.504999999999995</v>
      </c>
      <c r="K230">
        <v>96.58</v>
      </c>
    </row>
    <row r="231" spans="1:11" x14ac:dyDescent="0.25">
      <c r="A231" s="2">
        <f>DATE(2025,8,3)</f>
        <v>45872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1:11" x14ac:dyDescent="0.25">
      <c r="A232" s="2">
        <f>DATE(2025,8,2)</f>
        <v>45871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1:11" x14ac:dyDescent="0.25">
      <c r="A233" s="2">
        <f>DATE(2025,8,1)</f>
        <v>45870</v>
      </c>
      <c r="B233">
        <v>96.045000000000002</v>
      </c>
      <c r="C233">
        <v>96.165000000000006</v>
      </c>
      <c r="D233">
        <v>96.26</v>
      </c>
      <c r="E233">
        <v>96.35</v>
      </c>
      <c r="F233">
        <v>0</v>
      </c>
      <c r="G233">
        <v>96.22</v>
      </c>
      <c r="H233">
        <v>96.334999999999994</v>
      </c>
      <c r="I233">
        <v>96.385000000000005</v>
      </c>
      <c r="J233">
        <v>96.465000000000003</v>
      </c>
      <c r="K233">
        <v>96.545000000000002</v>
      </c>
    </row>
    <row r="234" spans="1:11" x14ac:dyDescent="0.25">
      <c r="A234" s="2">
        <f>DATE(2025,7,31)</f>
        <v>45869</v>
      </c>
      <c r="B234">
        <v>95.84</v>
      </c>
      <c r="C234">
        <v>95.92</v>
      </c>
      <c r="D234">
        <v>95.97</v>
      </c>
      <c r="E234">
        <v>96.06</v>
      </c>
      <c r="F234">
        <v>0</v>
      </c>
      <c r="G234">
        <v>95.96</v>
      </c>
      <c r="H234">
        <v>96.045000000000002</v>
      </c>
      <c r="I234">
        <v>96.084999999999994</v>
      </c>
      <c r="J234">
        <v>96.165000000000006</v>
      </c>
      <c r="K234">
        <v>96.24</v>
      </c>
    </row>
    <row r="235" spans="1:11" x14ac:dyDescent="0.25">
      <c r="A235" s="2">
        <f>DATE(2025,7,30)</f>
        <v>45868</v>
      </c>
      <c r="B235">
        <v>95.875</v>
      </c>
      <c r="C235">
        <v>95.96</v>
      </c>
      <c r="D235">
        <v>96.02</v>
      </c>
      <c r="E235">
        <v>96.114999999999995</v>
      </c>
      <c r="F235">
        <v>0</v>
      </c>
      <c r="G235">
        <v>96</v>
      </c>
      <c r="H235">
        <v>96.094999999999999</v>
      </c>
      <c r="I235">
        <v>96.14</v>
      </c>
      <c r="J235">
        <v>96.22</v>
      </c>
      <c r="K235">
        <v>96.295000000000002</v>
      </c>
    </row>
    <row r="236" spans="1:11" x14ac:dyDescent="0.25">
      <c r="A236" s="2">
        <f>DATE(2025,7,29)</f>
        <v>45867</v>
      </c>
      <c r="B236">
        <v>95.94</v>
      </c>
      <c r="C236">
        <v>96.03</v>
      </c>
      <c r="D236">
        <v>96.1</v>
      </c>
      <c r="E236">
        <v>96.194999999999993</v>
      </c>
      <c r="F236">
        <v>0</v>
      </c>
      <c r="G236">
        <v>96.08</v>
      </c>
      <c r="H236">
        <v>96.174999999999997</v>
      </c>
      <c r="I236">
        <v>96.224999999999994</v>
      </c>
      <c r="J236">
        <v>96.305000000000007</v>
      </c>
      <c r="K236">
        <v>96.38</v>
      </c>
    </row>
    <row r="237" spans="1:11" x14ac:dyDescent="0.25">
      <c r="A237" s="2">
        <f>DATE(2025,7,28)</f>
        <v>45866</v>
      </c>
      <c r="B237">
        <v>95.93</v>
      </c>
      <c r="C237">
        <v>96.015000000000001</v>
      </c>
      <c r="D237">
        <v>96.075000000000003</v>
      </c>
      <c r="E237">
        <v>96.17</v>
      </c>
      <c r="F237">
        <v>0</v>
      </c>
      <c r="G237">
        <v>96.064999999999998</v>
      </c>
      <c r="H237">
        <v>96.155000000000001</v>
      </c>
      <c r="I237">
        <v>96.2</v>
      </c>
      <c r="J237">
        <v>96.275000000000006</v>
      </c>
      <c r="K237">
        <v>96.344999999999999</v>
      </c>
    </row>
    <row r="238" spans="1:11" x14ac:dyDescent="0.25">
      <c r="A238" s="2">
        <f>DATE(2025,7,27)</f>
        <v>45865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1:11" x14ac:dyDescent="0.25">
      <c r="A239" s="2">
        <f>DATE(2025,7,26)</f>
        <v>45864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1:11" x14ac:dyDescent="0.25">
      <c r="A240" s="2">
        <f>DATE(2025,7,25)</f>
        <v>45863</v>
      </c>
      <c r="B240">
        <v>95.935000000000002</v>
      </c>
      <c r="C240">
        <v>96.02</v>
      </c>
      <c r="D240">
        <v>96.08</v>
      </c>
      <c r="E240">
        <v>96.174999999999997</v>
      </c>
      <c r="F240">
        <v>0</v>
      </c>
      <c r="G240">
        <v>96.064999999999998</v>
      </c>
      <c r="H240">
        <v>96.155000000000001</v>
      </c>
      <c r="I240">
        <v>96.204999999999998</v>
      </c>
      <c r="J240">
        <v>96.284999999999997</v>
      </c>
      <c r="K240">
        <v>96.36</v>
      </c>
    </row>
    <row r="241" spans="1:11" x14ac:dyDescent="0.25">
      <c r="A241" s="2">
        <f>DATE(2025,7,24)</f>
        <v>45862</v>
      </c>
      <c r="B241">
        <v>95.92</v>
      </c>
      <c r="C241">
        <v>96.004999999999995</v>
      </c>
      <c r="D241">
        <v>96.06</v>
      </c>
      <c r="E241">
        <v>96.16</v>
      </c>
      <c r="F241">
        <v>0</v>
      </c>
      <c r="G241">
        <v>96.045000000000002</v>
      </c>
      <c r="H241">
        <v>96.14</v>
      </c>
      <c r="I241">
        <v>96.19</v>
      </c>
      <c r="J241">
        <v>96.27</v>
      </c>
      <c r="K241">
        <v>96.35</v>
      </c>
    </row>
    <row r="242" spans="1:11" x14ac:dyDescent="0.25">
      <c r="A242" s="2">
        <f>DATE(2025,7,23)</f>
        <v>45861</v>
      </c>
      <c r="B242">
        <v>95.93</v>
      </c>
      <c r="C242">
        <v>96.03</v>
      </c>
      <c r="D242">
        <v>96.094999999999999</v>
      </c>
      <c r="E242">
        <v>96.194999999999993</v>
      </c>
      <c r="F242">
        <v>0</v>
      </c>
      <c r="G242">
        <v>96.07</v>
      </c>
      <c r="H242">
        <v>96.17</v>
      </c>
      <c r="I242">
        <v>96.224999999999994</v>
      </c>
      <c r="J242">
        <v>96.31</v>
      </c>
      <c r="K242">
        <v>96.394999999999996</v>
      </c>
    </row>
    <row r="243" spans="1:11" x14ac:dyDescent="0.25">
      <c r="A243" s="2">
        <f>DATE(2025,7,22)</f>
        <v>45860</v>
      </c>
      <c r="B243">
        <v>95.935000000000002</v>
      </c>
      <c r="C243">
        <v>96.034999999999997</v>
      </c>
      <c r="D243">
        <v>96.114999999999995</v>
      </c>
      <c r="E243">
        <v>96.215000000000003</v>
      </c>
      <c r="F243">
        <v>0</v>
      </c>
      <c r="G243">
        <v>96.08</v>
      </c>
      <c r="H243">
        <v>96.2</v>
      </c>
      <c r="I243">
        <v>96.26</v>
      </c>
      <c r="J243">
        <v>96.36</v>
      </c>
      <c r="K243">
        <v>96.45</v>
      </c>
    </row>
    <row r="244" spans="1:11" x14ac:dyDescent="0.25">
      <c r="A244" s="2">
        <f>DATE(2025,7,21)</f>
        <v>45859</v>
      </c>
      <c r="B244">
        <v>95.93</v>
      </c>
      <c r="C244">
        <v>96.03</v>
      </c>
      <c r="D244">
        <v>96.105000000000004</v>
      </c>
      <c r="E244">
        <v>96.204999999999998</v>
      </c>
      <c r="F244">
        <v>0</v>
      </c>
      <c r="G244">
        <v>96.08</v>
      </c>
      <c r="H244">
        <v>96.19</v>
      </c>
      <c r="I244">
        <v>96.245000000000005</v>
      </c>
      <c r="J244">
        <v>96.34</v>
      </c>
      <c r="K244">
        <v>96.43</v>
      </c>
    </row>
    <row r="245" spans="1:11" x14ac:dyDescent="0.25">
      <c r="A245" s="2">
        <f>DATE(2025,7,20)</f>
        <v>45858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1:11" x14ac:dyDescent="0.25">
      <c r="A246" s="2">
        <f>DATE(2025,7,19)</f>
        <v>45857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1:11" x14ac:dyDescent="0.25">
      <c r="A247" s="2">
        <f>DATE(2025,7,18)</f>
        <v>45856</v>
      </c>
      <c r="B247">
        <v>95.935000000000002</v>
      </c>
      <c r="C247">
        <v>96.034999999999997</v>
      </c>
      <c r="D247">
        <v>96.1</v>
      </c>
      <c r="E247">
        <v>96.2</v>
      </c>
      <c r="F247">
        <v>0</v>
      </c>
      <c r="G247">
        <v>96.08</v>
      </c>
      <c r="H247">
        <v>96.185000000000002</v>
      </c>
      <c r="I247">
        <v>96.24</v>
      </c>
      <c r="J247">
        <v>96.33</v>
      </c>
      <c r="K247">
        <v>96.415000000000006</v>
      </c>
    </row>
    <row r="248" spans="1:11" x14ac:dyDescent="0.25">
      <c r="A248" s="2">
        <f>DATE(2025,7,17)</f>
        <v>45855</v>
      </c>
      <c r="B248">
        <v>95.91</v>
      </c>
      <c r="C248">
        <v>96.01</v>
      </c>
      <c r="D248">
        <v>96.075000000000003</v>
      </c>
      <c r="E248">
        <v>96.17</v>
      </c>
      <c r="F248">
        <v>0</v>
      </c>
      <c r="G248">
        <v>96.05</v>
      </c>
      <c r="H248">
        <v>96.155000000000001</v>
      </c>
      <c r="I248">
        <v>96.21</v>
      </c>
      <c r="J248">
        <v>96.3</v>
      </c>
      <c r="K248">
        <v>96.385000000000005</v>
      </c>
    </row>
    <row r="249" spans="1:11" x14ac:dyDescent="0.25">
      <c r="A249" s="2">
        <f>DATE(2025,7,16)</f>
        <v>45854</v>
      </c>
      <c r="B249">
        <v>95.935000000000002</v>
      </c>
      <c r="C249">
        <v>96.034999999999997</v>
      </c>
      <c r="D249">
        <v>96.12</v>
      </c>
      <c r="E249">
        <v>96.185000000000002</v>
      </c>
      <c r="F249">
        <v>0</v>
      </c>
      <c r="G249">
        <v>96.09</v>
      </c>
      <c r="H249">
        <v>96.2</v>
      </c>
      <c r="I249">
        <v>96.254999999999995</v>
      </c>
      <c r="J249">
        <v>96.35</v>
      </c>
      <c r="K249">
        <v>96.435000000000002</v>
      </c>
    </row>
    <row r="250" spans="1:11" x14ac:dyDescent="0.25">
      <c r="A250" s="2">
        <f>DATE(2025,7,15)</f>
        <v>45853</v>
      </c>
      <c r="B250">
        <v>95.92</v>
      </c>
      <c r="C250">
        <v>96.015000000000001</v>
      </c>
      <c r="D250">
        <v>96.08</v>
      </c>
      <c r="E250">
        <v>96.144999999999996</v>
      </c>
      <c r="F250">
        <v>0</v>
      </c>
      <c r="G250">
        <v>96.06</v>
      </c>
      <c r="H250">
        <v>96.155000000000001</v>
      </c>
      <c r="I250">
        <v>96.204999999999998</v>
      </c>
      <c r="J250">
        <v>96.29</v>
      </c>
      <c r="K250">
        <v>96.364999999999995</v>
      </c>
    </row>
    <row r="251" spans="1:11" x14ac:dyDescent="0.25">
      <c r="A251" s="2">
        <f>DATE(2025,7,14)</f>
        <v>45852</v>
      </c>
      <c r="B251">
        <v>95.96</v>
      </c>
      <c r="C251">
        <v>96.064999999999998</v>
      </c>
      <c r="D251">
        <v>96.14</v>
      </c>
      <c r="E251">
        <v>96.204999999999998</v>
      </c>
      <c r="F251">
        <v>0</v>
      </c>
      <c r="G251">
        <v>96.114999999999995</v>
      </c>
      <c r="H251">
        <v>96.22</v>
      </c>
      <c r="I251">
        <v>96.275000000000006</v>
      </c>
      <c r="J251">
        <v>96.36</v>
      </c>
      <c r="K251">
        <v>96.435000000000002</v>
      </c>
    </row>
    <row r="252" spans="1:11" x14ac:dyDescent="0.25">
      <c r="A252" s="2">
        <f>DATE(2025,7,13)</f>
        <v>45851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1:11" x14ac:dyDescent="0.25">
      <c r="A253" s="2">
        <f>DATE(2025,7,12)</f>
        <v>45850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1:11" x14ac:dyDescent="0.25">
      <c r="A254" s="2">
        <f>DATE(2025,7,11)</f>
        <v>45849</v>
      </c>
      <c r="B254">
        <v>95.96</v>
      </c>
      <c r="C254">
        <v>96.064999999999998</v>
      </c>
      <c r="D254">
        <v>96.13</v>
      </c>
      <c r="E254">
        <v>96.194999999999993</v>
      </c>
      <c r="F254">
        <v>0</v>
      </c>
      <c r="G254">
        <v>96.11</v>
      </c>
      <c r="H254">
        <v>96.21</v>
      </c>
      <c r="I254">
        <v>96.265000000000001</v>
      </c>
      <c r="J254">
        <v>96.35</v>
      </c>
      <c r="K254">
        <v>96.424999999999997</v>
      </c>
    </row>
    <row r="255" spans="1:11" x14ac:dyDescent="0.25">
      <c r="A255" s="2">
        <f>DATE(2025,7,10)</f>
        <v>45848</v>
      </c>
      <c r="B255">
        <v>95.995000000000005</v>
      </c>
      <c r="C255">
        <v>96.1</v>
      </c>
      <c r="D255">
        <v>96.18</v>
      </c>
      <c r="E255">
        <v>0</v>
      </c>
      <c r="F255">
        <v>0</v>
      </c>
      <c r="G255">
        <v>96.155000000000001</v>
      </c>
      <c r="H255">
        <v>96.26</v>
      </c>
      <c r="I255">
        <v>96.314999999999998</v>
      </c>
      <c r="J255">
        <v>96.405000000000001</v>
      </c>
      <c r="K255">
        <v>96.48</v>
      </c>
    </row>
    <row r="256" spans="1:11" x14ac:dyDescent="0.25">
      <c r="A256" s="2">
        <f>DATE(2025,7,9)</f>
        <v>45847</v>
      </c>
      <c r="B256">
        <v>95.99</v>
      </c>
      <c r="C256">
        <v>96.094999999999999</v>
      </c>
      <c r="D256">
        <v>96.174999999999997</v>
      </c>
      <c r="E256">
        <v>0</v>
      </c>
      <c r="F256">
        <v>0</v>
      </c>
      <c r="G256">
        <v>96.144999999999996</v>
      </c>
      <c r="H256">
        <v>96.254999999999995</v>
      </c>
      <c r="I256">
        <v>96.31</v>
      </c>
      <c r="J256">
        <v>96.4</v>
      </c>
      <c r="K256">
        <v>96.48</v>
      </c>
    </row>
    <row r="257" spans="1:11" x14ac:dyDescent="0.25">
      <c r="A257" s="2">
        <f>DATE(2025,7,8)</f>
        <v>45846</v>
      </c>
      <c r="B257">
        <v>95.965000000000003</v>
      </c>
      <c r="C257">
        <v>96.07</v>
      </c>
      <c r="D257">
        <v>96.135000000000005</v>
      </c>
      <c r="E257">
        <v>0</v>
      </c>
      <c r="F257">
        <v>0</v>
      </c>
      <c r="G257">
        <v>96.114999999999995</v>
      </c>
      <c r="H257">
        <v>96.215000000000003</v>
      </c>
      <c r="I257">
        <v>96.27</v>
      </c>
      <c r="J257">
        <v>96.36</v>
      </c>
      <c r="K257">
        <v>96.435000000000002</v>
      </c>
    </row>
    <row r="258" spans="1:11" x14ac:dyDescent="0.25">
      <c r="A258" s="2">
        <f>DATE(2025,7,7)</f>
        <v>45845</v>
      </c>
      <c r="B258">
        <v>95.974999999999994</v>
      </c>
      <c r="C258">
        <v>96.084999999999994</v>
      </c>
      <c r="D258">
        <v>96.155000000000001</v>
      </c>
      <c r="E258">
        <v>0</v>
      </c>
      <c r="F258">
        <v>0</v>
      </c>
      <c r="G258">
        <v>96.125</v>
      </c>
      <c r="H258">
        <v>96.23</v>
      </c>
      <c r="I258">
        <v>96.284999999999997</v>
      </c>
      <c r="J258">
        <v>96.375</v>
      </c>
      <c r="K258">
        <v>96.454999999999998</v>
      </c>
    </row>
    <row r="259" spans="1:11" x14ac:dyDescent="0.25">
      <c r="A259" s="2">
        <f>DATE(2025,7,6)</f>
        <v>45844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 x14ac:dyDescent="0.25">
      <c r="A260" s="2">
        <f>DATE(2025,7,5)</f>
        <v>45843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 x14ac:dyDescent="0.25">
      <c r="A261" s="2">
        <f>DATE(2025,7,4)</f>
        <v>45842</v>
      </c>
      <c r="B261">
        <v>96</v>
      </c>
      <c r="C261">
        <v>0</v>
      </c>
      <c r="D261">
        <v>96.185000000000002</v>
      </c>
      <c r="E261">
        <v>0</v>
      </c>
      <c r="F261">
        <v>0</v>
      </c>
      <c r="G261">
        <v>96.155000000000001</v>
      </c>
      <c r="H261">
        <v>96.26</v>
      </c>
      <c r="I261">
        <v>96.32</v>
      </c>
      <c r="J261">
        <v>96.41</v>
      </c>
      <c r="K261">
        <v>96.495000000000005</v>
      </c>
    </row>
    <row r="262" spans="1:11" x14ac:dyDescent="0.25">
      <c r="A262" s="2">
        <f>DATE(2025,7,3)</f>
        <v>45841</v>
      </c>
      <c r="B262">
        <v>95.984999999999999</v>
      </c>
      <c r="C262">
        <v>96.094999999999999</v>
      </c>
      <c r="D262">
        <v>96.165000000000006</v>
      </c>
      <c r="E262">
        <v>0</v>
      </c>
      <c r="F262">
        <v>0</v>
      </c>
      <c r="G262">
        <v>96.135000000000005</v>
      </c>
      <c r="H262">
        <v>96.24</v>
      </c>
      <c r="I262">
        <v>96.295000000000002</v>
      </c>
      <c r="J262">
        <v>96.385000000000005</v>
      </c>
      <c r="K262">
        <v>96.465000000000003</v>
      </c>
    </row>
    <row r="263" spans="1:11" x14ac:dyDescent="0.25">
      <c r="A263" s="2">
        <f>DATE(2025,7,2)</f>
        <v>45840</v>
      </c>
      <c r="B263">
        <v>96.105000000000004</v>
      </c>
      <c r="C263">
        <v>96.224999999999994</v>
      </c>
      <c r="D263">
        <v>96.3</v>
      </c>
      <c r="E263">
        <v>0</v>
      </c>
      <c r="F263">
        <v>0</v>
      </c>
      <c r="G263">
        <v>96.27</v>
      </c>
      <c r="H263">
        <v>96.375</v>
      </c>
      <c r="I263">
        <v>96.43</v>
      </c>
      <c r="J263">
        <v>96.52</v>
      </c>
      <c r="K263">
        <v>96.59</v>
      </c>
    </row>
    <row r="264" spans="1:11" x14ac:dyDescent="0.25">
      <c r="A264" s="2">
        <f>DATE(2025,7,1)</f>
        <v>45839</v>
      </c>
      <c r="B264">
        <v>96.094999999999999</v>
      </c>
      <c r="C264">
        <v>96.22</v>
      </c>
      <c r="D264">
        <v>96.295000000000002</v>
      </c>
      <c r="E264">
        <v>0</v>
      </c>
      <c r="F264">
        <v>0</v>
      </c>
      <c r="G264">
        <v>96.26</v>
      </c>
      <c r="H264">
        <v>96.37</v>
      </c>
      <c r="I264">
        <v>96.424999999999997</v>
      </c>
      <c r="J264">
        <v>96.515000000000001</v>
      </c>
      <c r="K264">
        <v>96.584999999999994</v>
      </c>
    </row>
    <row r="265" spans="1:11" x14ac:dyDescent="0.25">
      <c r="A265" s="2">
        <f>DATE(2025,6,30)</f>
        <v>45838</v>
      </c>
      <c r="B265">
        <v>96.105000000000004</v>
      </c>
      <c r="C265">
        <v>96.23</v>
      </c>
      <c r="D265">
        <v>96.33</v>
      </c>
      <c r="E265">
        <v>0</v>
      </c>
      <c r="F265">
        <v>0</v>
      </c>
      <c r="G265">
        <v>96.284999999999997</v>
      </c>
      <c r="H265">
        <v>96.41</v>
      </c>
      <c r="I265">
        <v>96.47</v>
      </c>
      <c r="J265">
        <v>96.564999999999998</v>
      </c>
      <c r="K265">
        <v>96.644999999999996</v>
      </c>
    </row>
    <row r="266" spans="1:11" x14ac:dyDescent="0.25">
      <c r="A266" s="2">
        <f>DATE(2025,6,29)</f>
        <v>45837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1:11" x14ac:dyDescent="0.25">
      <c r="A267" s="2">
        <f>DATE(2025,6,28)</f>
        <v>45836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1:11" x14ac:dyDescent="0.25">
      <c r="A268" s="2">
        <f>DATE(2025,6,27)</f>
        <v>45835</v>
      </c>
      <c r="B268">
        <v>96.094999999999999</v>
      </c>
      <c r="C268">
        <v>96.215000000000003</v>
      </c>
      <c r="D268">
        <v>96.31</v>
      </c>
      <c r="E268">
        <v>0</v>
      </c>
      <c r="F268">
        <v>0</v>
      </c>
      <c r="G268">
        <v>96.27</v>
      </c>
      <c r="H268">
        <v>96.385000000000005</v>
      </c>
      <c r="I268">
        <v>96.444999999999993</v>
      </c>
      <c r="J268">
        <v>96.54</v>
      </c>
      <c r="K268">
        <v>96.62</v>
      </c>
    </row>
    <row r="269" spans="1:11" x14ac:dyDescent="0.25">
      <c r="A269" s="2">
        <f>DATE(2025,6,26)</f>
        <v>45834</v>
      </c>
      <c r="B269">
        <v>96.11</v>
      </c>
      <c r="C269">
        <v>96.23</v>
      </c>
      <c r="D269">
        <v>96.32</v>
      </c>
      <c r="E269">
        <v>0</v>
      </c>
      <c r="F269">
        <v>0</v>
      </c>
      <c r="G269">
        <v>96.284999999999997</v>
      </c>
      <c r="H269">
        <v>96.4</v>
      </c>
      <c r="I269">
        <v>96.454999999999998</v>
      </c>
      <c r="J269">
        <v>96.55</v>
      </c>
      <c r="K269">
        <v>96.63</v>
      </c>
    </row>
    <row r="270" spans="1:11" x14ac:dyDescent="0.25">
      <c r="A270" s="2">
        <f>DATE(2025,6,25)</f>
        <v>45833</v>
      </c>
      <c r="B270">
        <v>96.08</v>
      </c>
      <c r="C270">
        <v>96.194999999999993</v>
      </c>
      <c r="D270">
        <v>96.27</v>
      </c>
      <c r="E270">
        <v>0</v>
      </c>
      <c r="F270">
        <v>0</v>
      </c>
      <c r="G270">
        <v>96.25</v>
      </c>
      <c r="H270">
        <v>96.344999999999999</v>
      </c>
      <c r="I270">
        <v>96.4</v>
      </c>
      <c r="J270">
        <v>96.49</v>
      </c>
      <c r="K270">
        <v>96.564999999999998</v>
      </c>
    </row>
    <row r="271" spans="1:11" x14ac:dyDescent="0.25">
      <c r="A271" s="2">
        <f>DATE(2025,6,24)</f>
        <v>45832</v>
      </c>
      <c r="B271">
        <v>96.055000000000007</v>
      </c>
      <c r="C271">
        <v>96.165000000000006</v>
      </c>
      <c r="D271">
        <v>96.25</v>
      </c>
      <c r="E271">
        <v>0</v>
      </c>
      <c r="F271">
        <v>0</v>
      </c>
      <c r="G271">
        <v>96.224999999999994</v>
      </c>
      <c r="H271">
        <v>96.32</v>
      </c>
      <c r="I271">
        <v>96.375</v>
      </c>
      <c r="J271">
        <v>96.465000000000003</v>
      </c>
      <c r="K271">
        <v>96.54</v>
      </c>
    </row>
    <row r="272" spans="1:11" x14ac:dyDescent="0.25">
      <c r="A272" s="2">
        <f>DATE(2025,6,23)</f>
        <v>45831</v>
      </c>
      <c r="B272">
        <v>96.045000000000002</v>
      </c>
      <c r="C272">
        <v>96.144999999999996</v>
      </c>
      <c r="D272">
        <v>96.23</v>
      </c>
      <c r="E272">
        <v>0</v>
      </c>
      <c r="F272">
        <v>0</v>
      </c>
      <c r="G272">
        <v>96.204999999999998</v>
      </c>
      <c r="H272">
        <v>96.3</v>
      </c>
      <c r="I272">
        <v>96.35</v>
      </c>
      <c r="J272">
        <v>96.435000000000002</v>
      </c>
      <c r="K272">
        <v>96.504999999999995</v>
      </c>
    </row>
    <row r="273" spans="1:11" x14ac:dyDescent="0.25">
      <c r="A273" s="2">
        <f>DATE(2025,6,22)</f>
        <v>45830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1:11" x14ac:dyDescent="0.25">
      <c r="A274" s="2">
        <f>DATE(2025,6,21)</f>
        <v>45829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1:11" x14ac:dyDescent="0.25">
      <c r="A275" s="2">
        <f>DATE(2025,6,20)</f>
        <v>45828</v>
      </c>
      <c r="B275">
        <v>95.984999999999999</v>
      </c>
      <c r="C275">
        <v>96.08</v>
      </c>
      <c r="D275">
        <v>96.155000000000001</v>
      </c>
      <c r="E275">
        <v>0</v>
      </c>
      <c r="F275">
        <v>0</v>
      </c>
      <c r="G275">
        <v>96.135000000000005</v>
      </c>
      <c r="H275">
        <v>96.224999999999994</v>
      </c>
      <c r="I275">
        <v>96.275000000000006</v>
      </c>
      <c r="J275">
        <v>96.355000000000004</v>
      </c>
      <c r="K275">
        <v>96.424999999999997</v>
      </c>
    </row>
    <row r="276" spans="1:11" x14ac:dyDescent="0.25">
      <c r="A276" s="2">
        <f>DATE(2025,6,19)</f>
        <v>45827</v>
      </c>
      <c r="B276">
        <v>0</v>
      </c>
      <c r="C276">
        <v>0</v>
      </c>
      <c r="D276">
        <v>96.12</v>
      </c>
      <c r="E276">
        <v>0</v>
      </c>
      <c r="F276">
        <v>0</v>
      </c>
      <c r="G276">
        <v>96.1</v>
      </c>
      <c r="H276">
        <v>96.194999999999993</v>
      </c>
      <c r="I276">
        <v>96.245000000000005</v>
      </c>
      <c r="J276">
        <v>96.325000000000003</v>
      </c>
      <c r="K276">
        <v>96.39</v>
      </c>
    </row>
    <row r="277" spans="1:11" x14ac:dyDescent="0.25">
      <c r="A277" s="2">
        <f>DATE(2025,6,18)</f>
        <v>45826</v>
      </c>
      <c r="B277">
        <v>95.95</v>
      </c>
      <c r="C277">
        <v>96.045000000000002</v>
      </c>
      <c r="D277">
        <v>96.11</v>
      </c>
      <c r="E277">
        <v>0</v>
      </c>
      <c r="F277">
        <v>0</v>
      </c>
      <c r="G277">
        <v>96.09</v>
      </c>
      <c r="H277">
        <v>96.18</v>
      </c>
      <c r="I277">
        <v>96.23</v>
      </c>
      <c r="J277">
        <v>96.314999999999998</v>
      </c>
      <c r="K277">
        <v>96.385000000000005</v>
      </c>
    </row>
    <row r="278" spans="1:11" x14ac:dyDescent="0.25">
      <c r="A278" s="2">
        <f>DATE(2025,6,17)</f>
        <v>45825</v>
      </c>
      <c r="B278">
        <v>95.94</v>
      </c>
      <c r="C278">
        <v>96.034999999999997</v>
      </c>
      <c r="D278">
        <v>96.09</v>
      </c>
      <c r="E278">
        <v>0</v>
      </c>
      <c r="F278">
        <v>0</v>
      </c>
      <c r="G278">
        <v>96.075000000000003</v>
      </c>
      <c r="H278">
        <v>96.165000000000006</v>
      </c>
      <c r="I278">
        <v>96.215000000000003</v>
      </c>
      <c r="J278">
        <v>96.3</v>
      </c>
      <c r="K278">
        <v>96.37</v>
      </c>
    </row>
    <row r="279" spans="1:11" x14ac:dyDescent="0.25">
      <c r="A279" s="2">
        <f>DATE(2025,6,16)</f>
        <v>45824</v>
      </c>
      <c r="B279">
        <v>95.96</v>
      </c>
      <c r="C279">
        <v>96.055000000000007</v>
      </c>
      <c r="D279">
        <v>96.114999999999995</v>
      </c>
      <c r="E279">
        <v>0</v>
      </c>
      <c r="F279">
        <v>0</v>
      </c>
      <c r="G279">
        <v>96.094999999999999</v>
      </c>
      <c r="H279">
        <v>96.185000000000002</v>
      </c>
      <c r="I279">
        <v>96.23</v>
      </c>
      <c r="J279">
        <v>96.305000000000007</v>
      </c>
      <c r="K279">
        <v>96.375</v>
      </c>
    </row>
    <row r="280" spans="1:11" x14ac:dyDescent="0.25">
      <c r="A280" s="2">
        <f>DATE(2025,6,15)</f>
        <v>45823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1:11" x14ac:dyDescent="0.25">
      <c r="A281" s="2">
        <f>DATE(2025,6,14)</f>
        <v>45822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1:11" x14ac:dyDescent="0.25">
      <c r="A282" s="2">
        <f>DATE(2025,6,13)</f>
        <v>45821</v>
      </c>
      <c r="B282">
        <v>95.995000000000005</v>
      </c>
      <c r="C282">
        <v>96.09</v>
      </c>
      <c r="D282">
        <v>96.15</v>
      </c>
      <c r="E282">
        <v>0</v>
      </c>
      <c r="F282">
        <v>0</v>
      </c>
      <c r="G282">
        <v>96.13</v>
      </c>
      <c r="H282">
        <v>96.22</v>
      </c>
      <c r="I282">
        <v>96.265000000000001</v>
      </c>
      <c r="J282">
        <v>96.34</v>
      </c>
      <c r="K282">
        <v>96.41</v>
      </c>
    </row>
    <row r="283" spans="1:11" x14ac:dyDescent="0.25">
      <c r="A283" s="2">
        <f>DATE(2025,6,12)</f>
        <v>45820</v>
      </c>
      <c r="B283">
        <v>96.01</v>
      </c>
      <c r="C283">
        <v>96.105000000000004</v>
      </c>
      <c r="D283">
        <v>96.185000000000002</v>
      </c>
      <c r="E283">
        <v>0</v>
      </c>
      <c r="F283">
        <v>0</v>
      </c>
      <c r="G283">
        <v>96.16</v>
      </c>
      <c r="H283">
        <v>96.254999999999995</v>
      </c>
      <c r="I283">
        <v>96.305000000000007</v>
      </c>
      <c r="J283">
        <v>96.385000000000005</v>
      </c>
      <c r="K283">
        <v>96.46</v>
      </c>
    </row>
    <row r="284" spans="1:11" x14ac:dyDescent="0.25">
      <c r="A284" s="2">
        <f>DATE(2025,6,11)</f>
        <v>45819</v>
      </c>
      <c r="B284">
        <v>95.984999999999999</v>
      </c>
      <c r="C284">
        <v>96.075000000000003</v>
      </c>
      <c r="D284">
        <v>96.155000000000001</v>
      </c>
      <c r="E284">
        <v>0</v>
      </c>
      <c r="F284">
        <v>0</v>
      </c>
      <c r="G284">
        <v>96.13</v>
      </c>
      <c r="H284">
        <v>96.22</v>
      </c>
      <c r="I284">
        <v>96.27</v>
      </c>
      <c r="J284">
        <v>96.35</v>
      </c>
      <c r="K284">
        <v>96.42</v>
      </c>
    </row>
    <row r="285" spans="1:11" x14ac:dyDescent="0.25">
      <c r="A285" s="2">
        <f>DATE(2025,6,10)</f>
        <v>45818</v>
      </c>
      <c r="B285">
        <v>95.94</v>
      </c>
      <c r="C285">
        <v>96.025000000000006</v>
      </c>
      <c r="D285">
        <v>96.09</v>
      </c>
      <c r="E285">
        <v>0</v>
      </c>
      <c r="F285">
        <v>0</v>
      </c>
      <c r="G285">
        <v>96.075000000000003</v>
      </c>
      <c r="H285">
        <v>96.165000000000006</v>
      </c>
      <c r="I285">
        <v>96.215000000000003</v>
      </c>
      <c r="J285">
        <v>96.295000000000002</v>
      </c>
      <c r="K285">
        <v>96.36</v>
      </c>
    </row>
    <row r="286" spans="1:11" x14ac:dyDescent="0.25">
      <c r="A286" s="2">
        <f>DATE(2025,6,9)</f>
        <v>45817</v>
      </c>
      <c r="B286">
        <v>95.95</v>
      </c>
      <c r="C286">
        <v>96.034999999999997</v>
      </c>
      <c r="D286">
        <v>96.105000000000004</v>
      </c>
      <c r="E286">
        <v>0</v>
      </c>
      <c r="F286">
        <v>0</v>
      </c>
      <c r="G286">
        <v>96.084999999999994</v>
      </c>
      <c r="H286">
        <v>96.174999999999997</v>
      </c>
      <c r="I286">
        <v>96.224999999999994</v>
      </c>
      <c r="J286">
        <v>96.305000000000007</v>
      </c>
      <c r="K286">
        <v>96.37</v>
      </c>
    </row>
    <row r="287" spans="1:11" x14ac:dyDescent="0.25">
      <c r="A287" s="2">
        <f>DATE(2025,6,8)</f>
        <v>45816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1:11" x14ac:dyDescent="0.25">
      <c r="A288" s="2">
        <f>DATE(2025,6,7)</f>
        <v>45815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1:11" x14ac:dyDescent="0.25">
      <c r="A289" s="2">
        <f>DATE(2025,6,6)</f>
        <v>45814</v>
      </c>
      <c r="B289">
        <v>95.944999999999993</v>
      </c>
      <c r="C289">
        <v>96.03</v>
      </c>
      <c r="D289">
        <v>96.09</v>
      </c>
      <c r="E289">
        <v>0</v>
      </c>
      <c r="F289">
        <v>0</v>
      </c>
      <c r="G289">
        <v>96.075000000000003</v>
      </c>
      <c r="H289">
        <v>96.16</v>
      </c>
      <c r="I289">
        <v>96.204999999999998</v>
      </c>
      <c r="J289">
        <v>96.28</v>
      </c>
      <c r="K289">
        <v>96.334999999999994</v>
      </c>
    </row>
    <row r="290" spans="1:11" x14ac:dyDescent="0.25">
      <c r="A290" s="2">
        <f>DATE(2025,6,5)</f>
        <v>45813</v>
      </c>
      <c r="B290">
        <v>96.03</v>
      </c>
      <c r="C290">
        <v>96.13</v>
      </c>
      <c r="D290">
        <v>96.2</v>
      </c>
      <c r="E290">
        <v>0</v>
      </c>
      <c r="F290">
        <v>0</v>
      </c>
      <c r="G290">
        <v>96.174999999999997</v>
      </c>
      <c r="H290">
        <v>96.275000000000006</v>
      </c>
      <c r="I290">
        <v>96.325000000000003</v>
      </c>
      <c r="J290">
        <v>96.405000000000001</v>
      </c>
      <c r="K290">
        <v>96.47</v>
      </c>
    </row>
    <row r="291" spans="1:11" x14ac:dyDescent="0.25">
      <c r="A291" s="2">
        <f>DATE(2025,6,4)</f>
        <v>45812</v>
      </c>
      <c r="B291">
        <v>96.045000000000002</v>
      </c>
      <c r="C291">
        <v>96.144999999999996</v>
      </c>
      <c r="D291">
        <v>96.23</v>
      </c>
      <c r="E291">
        <v>0</v>
      </c>
      <c r="F291">
        <v>0</v>
      </c>
      <c r="G291">
        <v>96.2</v>
      </c>
      <c r="H291">
        <v>96.3</v>
      </c>
      <c r="I291">
        <v>96.355000000000004</v>
      </c>
      <c r="J291">
        <v>96.435000000000002</v>
      </c>
      <c r="K291">
        <v>96.504999999999995</v>
      </c>
    </row>
    <row r="292" spans="1:11" x14ac:dyDescent="0.25">
      <c r="A292" s="2">
        <f>DATE(2025,6,3)</f>
        <v>45811</v>
      </c>
      <c r="B292">
        <v>96</v>
      </c>
      <c r="C292">
        <v>96.094999999999999</v>
      </c>
      <c r="D292">
        <v>96.155000000000001</v>
      </c>
      <c r="E292">
        <v>0</v>
      </c>
      <c r="F292">
        <v>0</v>
      </c>
      <c r="G292">
        <v>96.14</v>
      </c>
      <c r="H292">
        <v>96.23</v>
      </c>
      <c r="I292">
        <v>96.28</v>
      </c>
      <c r="J292">
        <v>96.36</v>
      </c>
      <c r="K292">
        <v>96.42</v>
      </c>
    </row>
    <row r="293" spans="1:11" x14ac:dyDescent="0.25">
      <c r="A293" s="2">
        <f>DATE(2025,6,2)</f>
        <v>45810</v>
      </c>
      <c r="B293">
        <v>96</v>
      </c>
      <c r="C293">
        <v>96.105000000000004</v>
      </c>
      <c r="D293">
        <v>96.17</v>
      </c>
      <c r="E293">
        <v>0</v>
      </c>
      <c r="F293">
        <v>0</v>
      </c>
      <c r="G293">
        <v>96.15</v>
      </c>
      <c r="H293">
        <v>96.245000000000005</v>
      </c>
      <c r="I293">
        <v>96.295000000000002</v>
      </c>
      <c r="J293">
        <v>96.38</v>
      </c>
      <c r="K293">
        <v>96.45</v>
      </c>
    </row>
    <row r="294" spans="1:11" x14ac:dyDescent="0.25">
      <c r="A294" s="2">
        <f>DATE(2025,6,1)</f>
        <v>45809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 x14ac:dyDescent="0.25">
      <c r="A295" s="2">
        <f>DATE(2025,5,31)</f>
        <v>45808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 x14ac:dyDescent="0.25">
      <c r="A296" s="2">
        <f>DATE(2025,5,30)</f>
        <v>45807</v>
      </c>
      <c r="B296">
        <v>96.015000000000001</v>
      </c>
      <c r="C296">
        <v>96.12</v>
      </c>
      <c r="D296">
        <v>96.194999999999993</v>
      </c>
      <c r="E296">
        <v>0</v>
      </c>
      <c r="F296">
        <v>0</v>
      </c>
      <c r="G296">
        <v>96.174999999999997</v>
      </c>
      <c r="H296">
        <v>96.275000000000006</v>
      </c>
      <c r="I296">
        <v>96.325000000000003</v>
      </c>
      <c r="J296">
        <v>96.41</v>
      </c>
      <c r="K296">
        <v>96.484999999999999</v>
      </c>
    </row>
    <row r="297" spans="1:11" x14ac:dyDescent="0.25">
      <c r="A297" s="2">
        <f>DATE(2025,5,29)</f>
        <v>45806</v>
      </c>
      <c r="B297">
        <v>95.995000000000005</v>
      </c>
      <c r="C297">
        <v>96.09</v>
      </c>
      <c r="D297">
        <v>96.17</v>
      </c>
      <c r="E297">
        <v>0</v>
      </c>
      <c r="F297">
        <v>0</v>
      </c>
      <c r="G297">
        <v>96.144999999999996</v>
      </c>
      <c r="H297">
        <v>96.245000000000005</v>
      </c>
      <c r="I297">
        <v>96.295000000000002</v>
      </c>
      <c r="J297">
        <v>96.38</v>
      </c>
      <c r="K297">
        <v>96.454999999999998</v>
      </c>
    </row>
    <row r="298" spans="1:11" x14ac:dyDescent="0.25">
      <c r="A298" s="2">
        <f>DATE(2025,5,28)</f>
        <v>45805</v>
      </c>
      <c r="B298">
        <v>95.954999999999998</v>
      </c>
      <c r="C298">
        <v>96.045000000000002</v>
      </c>
      <c r="D298">
        <v>96.114999999999995</v>
      </c>
      <c r="E298">
        <v>0</v>
      </c>
      <c r="F298">
        <v>0</v>
      </c>
      <c r="G298">
        <v>96.094999999999999</v>
      </c>
      <c r="H298">
        <v>96.19</v>
      </c>
      <c r="I298">
        <v>96.24</v>
      </c>
      <c r="J298">
        <v>96.325000000000003</v>
      </c>
      <c r="K298">
        <v>96.4</v>
      </c>
    </row>
    <row r="299" spans="1:11" x14ac:dyDescent="0.25">
      <c r="A299" s="2">
        <f>DATE(2025,5,27)</f>
        <v>45804</v>
      </c>
      <c r="B299">
        <v>95.974999999999994</v>
      </c>
      <c r="C299">
        <v>96.064999999999998</v>
      </c>
      <c r="D299">
        <v>96.15</v>
      </c>
      <c r="E299">
        <v>0</v>
      </c>
      <c r="F299">
        <v>0</v>
      </c>
      <c r="G299">
        <v>96.125</v>
      </c>
      <c r="H299">
        <v>96.224999999999994</v>
      </c>
      <c r="I299">
        <v>96.275000000000006</v>
      </c>
      <c r="J299">
        <v>96.36</v>
      </c>
      <c r="K299">
        <v>96.435000000000002</v>
      </c>
    </row>
    <row r="300" spans="1:11" x14ac:dyDescent="0.25">
      <c r="A300" s="2">
        <f>DATE(2025,5,26)</f>
        <v>45803</v>
      </c>
      <c r="B300">
        <v>0</v>
      </c>
      <c r="C300">
        <v>0</v>
      </c>
      <c r="D300">
        <v>96.13</v>
      </c>
      <c r="E300">
        <v>0</v>
      </c>
      <c r="F300">
        <v>0</v>
      </c>
      <c r="G300">
        <v>96.1</v>
      </c>
      <c r="H300">
        <v>96.2</v>
      </c>
      <c r="I300">
        <v>0</v>
      </c>
      <c r="J300">
        <v>96.334999999999994</v>
      </c>
      <c r="K300">
        <v>0</v>
      </c>
    </row>
    <row r="301" spans="1:11" x14ac:dyDescent="0.25">
      <c r="A301" s="2">
        <f>DATE(2025,5,25)</f>
        <v>45802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1:11" x14ac:dyDescent="0.25">
      <c r="A302" s="2">
        <f>DATE(2025,5,24)</f>
        <v>45801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1:11" x14ac:dyDescent="0.25">
      <c r="A303" s="2">
        <f>DATE(2025,5,23)</f>
        <v>45800</v>
      </c>
      <c r="B303">
        <v>95.97</v>
      </c>
      <c r="C303">
        <v>96.06</v>
      </c>
      <c r="D303">
        <v>96.144999999999996</v>
      </c>
      <c r="E303">
        <v>0</v>
      </c>
      <c r="F303">
        <v>0</v>
      </c>
      <c r="G303">
        <v>96.12</v>
      </c>
      <c r="H303">
        <v>96.22</v>
      </c>
      <c r="I303">
        <v>96.27</v>
      </c>
      <c r="J303">
        <v>96.355000000000004</v>
      </c>
      <c r="K303">
        <v>96.424999999999997</v>
      </c>
    </row>
    <row r="304" spans="1:11" x14ac:dyDescent="0.25">
      <c r="A304" s="2">
        <f>DATE(2025,5,22)</f>
        <v>45799</v>
      </c>
      <c r="B304">
        <v>95.984999999999999</v>
      </c>
      <c r="C304">
        <v>96.075000000000003</v>
      </c>
      <c r="D304">
        <v>96.16</v>
      </c>
      <c r="E304">
        <v>0</v>
      </c>
      <c r="F304">
        <v>0</v>
      </c>
      <c r="G304">
        <v>96.135000000000005</v>
      </c>
      <c r="H304">
        <v>96.23</v>
      </c>
      <c r="I304">
        <v>96.275000000000006</v>
      </c>
      <c r="J304">
        <v>96.355000000000004</v>
      </c>
      <c r="K304">
        <v>96.415000000000006</v>
      </c>
    </row>
    <row r="305" spans="1:11" x14ac:dyDescent="0.25">
      <c r="A305" s="2">
        <f>DATE(2025,5,21)</f>
        <v>45798</v>
      </c>
      <c r="B305">
        <v>95.995000000000005</v>
      </c>
      <c r="C305">
        <v>96.084999999999994</v>
      </c>
      <c r="D305">
        <v>96.165000000000006</v>
      </c>
      <c r="E305">
        <v>0</v>
      </c>
      <c r="F305">
        <v>0</v>
      </c>
      <c r="G305">
        <v>96.144999999999996</v>
      </c>
      <c r="H305">
        <v>96.24</v>
      </c>
      <c r="I305">
        <v>96.28</v>
      </c>
      <c r="J305">
        <v>96.355000000000004</v>
      </c>
      <c r="K305">
        <v>96.415000000000006</v>
      </c>
    </row>
    <row r="306" spans="1:11" x14ac:dyDescent="0.25">
      <c r="A306" s="2">
        <f>DATE(2025,5,20)</f>
        <v>45797</v>
      </c>
      <c r="B306">
        <v>96.004999999999995</v>
      </c>
      <c r="C306">
        <v>96.094999999999999</v>
      </c>
      <c r="D306">
        <v>96.194999999999993</v>
      </c>
      <c r="E306">
        <v>0</v>
      </c>
      <c r="F306">
        <v>0</v>
      </c>
      <c r="G306">
        <v>96.17</v>
      </c>
      <c r="H306">
        <v>96.27</v>
      </c>
      <c r="I306">
        <v>96.32</v>
      </c>
      <c r="J306">
        <v>96.394999999999996</v>
      </c>
      <c r="K306">
        <v>96.454999999999998</v>
      </c>
    </row>
    <row r="307" spans="1:11" x14ac:dyDescent="0.25">
      <c r="A307" s="2">
        <f>DATE(2025,5,19)</f>
        <v>45796</v>
      </c>
      <c r="B307">
        <v>96.01</v>
      </c>
      <c r="C307">
        <v>96.1</v>
      </c>
      <c r="D307">
        <v>96.194999999999993</v>
      </c>
      <c r="E307">
        <v>0</v>
      </c>
      <c r="F307">
        <v>0</v>
      </c>
      <c r="G307">
        <v>96.165000000000006</v>
      </c>
      <c r="H307">
        <v>96.26</v>
      </c>
      <c r="I307">
        <v>96.31</v>
      </c>
      <c r="J307">
        <v>96.385000000000005</v>
      </c>
      <c r="K307">
        <v>96.444999999999993</v>
      </c>
    </row>
    <row r="308" spans="1:11" x14ac:dyDescent="0.25">
      <c r="A308" s="2">
        <f>DATE(2025,5,18)</f>
        <v>45795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1:11" x14ac:dyDescent="0.25">
      <c r="A309" s="2">
        <f>DATE(2025,5,17)</f>
        <v>45794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1:11" x14ac:dyDescent="0.25">
      <c r="A310" s="2">
        <f>DATE(2025,5,16)</f>
        <v>45793</v>
      </c>
      <c r="B310">
        <v>96</v>
      </c>
      <c r="C310">
        <v>96.09</v>
      </c>
      <c r="D310">
        <v>96.174999999999997</v>
      </c>
      <c r="E310">
        <v>0</v>
      </c>
      <c r="F310">
        <v>0</v>
      </c>
      <c r="G310">
        <v>96.15</v>
      </c>
      <c r="H310">
        <v>96.245000000000005</v>
      </c>
      <c r="I310">
        <v>96.284999999999997</v>
      </c>
      <c r="J310">
        <v>96.36</v>
      </c>
      <c r="K310">
        <v>96.42</v>
      </c>
    </row>
    <row r="311" spans="1:11" x14ac:dyDescent="0.25">
      <c r="A311" s="2">
        <f>DATE(2025,5,15)</f>
        <v>45792</v>
      </c>
      <c r="B311">
        <v>96.03</v>
      </c>
      <c r="C311">
        <v>0</v>
      </c>
      <c r="D311">
        <v>96.21</v>
      </c>
      <c r="E311">
        <v>0</v>
      </c>
      <c r="F311">
        <v>0</v>
      </c>
      <c r="G311">
        <v>96.18</v>
      </c>
      <c r="H311">
        <v>96.275000000000006</v>
      </c>
      <c r="I311">
        <v>96.314999999999998</v>
      </c>
      <c r="J311">
        <v>96.39</v>
      </c>
      <c r="K311">
        <v>96.45</v>
      </c>
    </row>
    <row r="312" spans="1:11" x14ac:dyDescent="0.25">
      <c r="A312" s="2">
        <f>DATE(2025,5,14)</f>
        <v>45791</v>
      </c>
      <c r="B312">
        <v>95.995000000000005</v>
      </c>
      <c r="C312">
        <v>0</v>
      </c>
      <c r="D312">
        <v>96.14</v>
      </c>
      <c r="E312">
        <v>0</v>
      </c>
      <c r="F312">
        <v>0</v>
      </c>
      <c r="G312">
        <v>96.125</v>
      </c>
      <c r="H312">
        <v>96.204999999999998</v>
      </c>
      <c r="I312">
        <v>96.245000000000005</v>
      </c>
      <c r="J312">
        <v>96.314999999999998</v>
      </c>
      <c r="K312">
        <v>96.36</v>
      </c>
    </row>
    <row r="313" spans="1:11" x14ac:dyDescent="0.25">
      <c r="A313" s="2">
        <f>DATE(2025,5,13)</f>
        <v>45790</v>
      </c>
      <c r="B313">
        <v>96.03</v>
      </c>
      <c r="C313">
        <v>0</v>
      </c>
      <c r="D313">
        <v>96.18</v>
      </c>
      <c r="E313">
        <v>0</v>
      </c>
      <c r="F313">
        <v>0</v>
      </c>
      <c r="G313">
        <v>96.17</v>
      </c>
      <c r="H313">
        <v>96.25</v>
      </c>
      <c r="I313">
        <v>96.29</v>
      </c>
      <c r="J313">
        <v>96.36</v>
      </c>
      <c r="K313">
        <v>96.405000000000001</v>
      </c>
    </row>
    <row r="314" spans="1:11" x14ac:dyDescent="0.25">
      <c r="A314" s="2">
        <f>DATE(2025,5,12)</f>
        <v>45789</v>
      </c>
      <c r="B314">
        <v>96.064999999999998</v>
      </c>
      <c r="C314">
        <v>0</v>
      </c>
      <c r="D314">
        <v>96.215000000000003</v>
      </c>
      <c r="E314">
        <v>0</v>
      </c>
      <c r="F314">
        <v>0</v>
      </c>
      <c r="G314">
        <v>96.204999999999998</v>
      </c>
      <c r="H314">
        <v>96.284999999999997</v>
      </c>
      <c r="I314">
        <v>96.325000000000003</v>
      </c>
      <c r="J314">
        <v>96.394999999999996</v>
      </c>
      <c r="K314">
        <v>96.44</v>
      </c>
    </row>
    <row r="315" spans="1:11" x14ac:dyDescent="0.25">
      <c r="A315" s="2">
        <f>DATE(2025,5,11)</f>
        <v>45788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1:11" x14ac:dyDescent="0.25">
      <c r="A316" s="2">
        <f>DATE(2025,5,10)</f>
        <v>45787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1:11" x14ac:dyDescent="0.25">
      <c r="A317" s="2">
        <f>DATE(2025,5,9)</f>
        <v>45786</v>
      </c>
      <c r="B317">
        <v>96.155000000000001</v>
      </c>
      <c r="C317">
        <v>0</v>
      </c>
      <c r="D317">
        <v>96.33</v>
      </c>
      <c r="E317">
        <v>0</v>
      </c>
      <c r="F317">
        <v>0</v>
      </c>
      <c r="G317">
        <v>96.31</v>
      </c>
      <c r="H317">
        <v>96.41</v>
      </c>
      <c r="I317">
        <v>96.45</v>
      </c>
      <c r="J317">
        <v>96.525000000000006</v>
      </c>
      <c r="K317">
        <v>96.584999999999994</v>
      </c>
    </row>
    <row r="318" spans="1:11" x14ac:dyDescent="0.25">
      <c r="A318" s="2">
        <f>DATE(2025,5,8)</f>
        <v>45785</v>
      </c>
      <c r="B318">
        <v>96.155000000000001</v>
      </c>
      <c r="C318">
        <v>0</v>
      </c>
      <c r="D318">
        <v>96.33</v>
      </c>
      <c r="E318">
        <v>0</v>
      </c>
      <c r="F318">
        <v>0</v>
      </c>
      <c r="G318">
        <v>96.305000000000007</v>
      </c>
      <c r="H318">
        <v>96.405000000000001</v>
      </c>
      <c r="I318">
        <v>96.444999999999993</v>
      </c>
      <c r="J318">
        <v>96.515000000000001</v>
      </c>
      <c r="K318">
        <v>96.575000000000003</v>
      </c>
    </row>
    <row r="319" spans="1:11" x14ac:dyDescent="0.25">
      <c r="A319" s="2">
        <f>DATE(2025,5,7)</f>
        <v>45784</v>
      </c>
      <c r="B319">
        <v>96.24</v>
      </c>
      <c r="C319">
        <v>0</v>
      </c>
      <c r="D319">
        <v>96.444999999999993</v>
      </c>
      <c r="E319">
        <v>0</v>
      </c>
      <c r="F319">
        <v>0</v>
      </c>
      <c r="G319">
        <v>96.415000000000006</v>
      </c>
      <c r="H319">
        <v>96.525000000000006</v>
      </c>
      <c r="I319">
        <v>96.575000000000003</v>
      </c>
      <c r="J319">
        <v>96.65</v>
      </c>
      <c r="K319">
        <v>96.715000000000003</v>
      </c>
    </row>
    <row r="320" spans="1:11" x14ac:dyDescent="0.25">
      <c r="A320" s="2">
        <f>DATE(2025,5,6)</f>
        <v>45783</v>
      </c>
      <c r="B320">
        <v>96.28</v>
      </c>
      <c r="C320">
        <v>0</v>
      </c>
      <c r="D320">
        <v>96.474999999999994</v>
      </c>
      <c r="E320">
        <v>0</v>
      </c>
      <c r="F320">
        <v>0</v>
      </c>
      <c r="G320">
        <v>96.44</v>
      </c>
      <c r="H320">
        <v>96.545000000000002</v>
      </c>
      <c r="I320">
        <v>96.59</v>
      </c>
      <c r="J320">
        <v>96.665000000000006</v>
      </c>
      <c r="K320">
        <v>96.724999999999994</v>
      </c>
    </row>
    <row r="321" spans="1:11" x14ac:dyDescent="0.25">
      <c r="A321" s="2">
        <f>DATE(2025,5,5)</f>
        <v>45782</v>
      </c>
      <c r="B321">
        <v>96.234999999999999</v>
      </c>
      <c r="C321">
        <v>0</v>
      </c>
      <c r="D321">
        <v>96.415000000000006</v>
      </c>
      <c r="E321">
        <v>0</v>
      </c>
      <c r="F321">
        <v>0</v>
      </c>
      <c r="G321">
        <v>96.385000000000005</v>
      </c>
      <c r="H321">
        <v>96.48</v>
      </c>
      <c r="I321">
        <v>96.525000000000006</v>
      </c>
      <c r="J321">
        <v>96.594999999999999</v>
      </c>
      <c r="K321">
        <v>96.65</v>
      </c>
    </row>
    <row r="322" spans="1:11" x14ac:dyDescent="0.25">
      <c r="A322" s="2">
        <f>DATE(2025,5,4)</f>
        <v>45781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1:11" x14ac:dyDescent="0.25">
      <c r="A323" s="2">
        <f>DATE(2025,5,3)</f>
        <v>45780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1:11" x14ac:dyDescent="0.25">
      <c r="A324" s="2">
        <f>DATE(2025,5,2)</f>
        <v>45779</v>
      </c>
      <c r="B324">
        <v>96.27</v>
      </c>
      <c r="C324">
        <v>0</v>
      </c>
      <c r="D324">
        <v>96.44</v>
      </c>
      <c r="E324">
        <v>0</v>
      </c>
      <c r="F324">
        <v>0</v>
      </c>
      <c r="G324">
        <v>96.42</v>
      </c>
      <c r="H324">
        <v>96.515000000000001</v>
      </c>
      <c r="I324">
        <v>96.555000000000007</v>
      </c>
      <c r="J324">
        <v>96.614999999999995</v>
      </c>
      <c r="K324">
        <v>96.66</v>
      </c>
    </row>
    <row r="325" spans="1:11" x14ac:dyDescent="0.25">
      <c r="A325" s="2">
        <f>DATE(2025,5,1)</f>
        <v>45778</v>
      </c>
      <c r="B325">
        <v>96.394999999999996</v>
      </c>
      <c r="C325">
        <v>0</v>
      </c>
      <c r="D325">
        <v>96.584999999999994</v>
      </c>
      <c r="E325">
        <v>0</v>
      </c>
      <c r="F325">
        <v>0</v>
      </c>
      <c r="G325">
        <v>96.555000000000007</v>
      </c>
      <c r="H325">
        <v>96.66</v>
      </c>
      <c r="I325">
        <v>96.704999999999998</v>
      </c>
      <c r="J325">
        <v>96.775000000000006</v>
      </c>
      <c r="K325">
        <v>96.82</v>
      </c>
    </row>
    <row r="326" spans="1:11" x14ac:dyDescent="0.25">
      <c r="A326" s="2">
        <f>DATE(2025,4,30)</f>
        <v>45777</v>
      </c>
      <c r="B326">
        <v>96.48</v>
      </c>
      <c r="C326">
        <v>0</v>
      </c>
      <c r="D326">
        <v>96.694999999999993</v>
      </c>
      <c r="E326">
        <v>0</v>
      </c>
      <c r="F326">
        <v>0</v>
      </c>
      <c r="G326">
        <v>96.655000000000001</v>
      </c>
      <c r="H326">
        <v>96.765000000000001</v>
      </c>
      <c r="I326">
        <v>96.81</v>
      </c>
      <c r="J326">
        <v>96.88</v>
      </c>
      <c r="K326">
        <v>96.905000000000001</v>
      </c>
    </row>
    <row r="327" spans="1:11" x14ac:dyDescent="0.25">
      <c r="A327" s="2">
        <f>DATE(2025,4,29)</f>
        <v>45776</v>
      </c>
      <c r="B327">
        <v>96.435000000000002</v>
      </c>
      <c r="C327">
        <v>0</v>
      </c>
      <c r="D327">
        <v>96.644999999999996</v>
      </c>
      <c r="E327">
        <v>0</v>
      </c>
      <c r="F327">
        <v>0</v>
      </c>
      <c r="G327">
        <v>96.61</v>
      </c>
      <c r="H327">
        <v>96.72</v>
      </c>
      <c r="I327">
        <v>96.765000000000001</v>
      </c>
      <c r="J327">
        <v>96.834999999999994</v>
      </c>
      <c r="K327">
        <v>0</v>
      </c>
    </row>
    <row r="328" spans="1:11" x14ac:dyDescent="0.25">
      <c r="A328" s="2">
        <f>DATE(2025,4,28)</f>
        <v>45775</v>
      </c>
      <c r="B328">
        <v>96.4</v>
      </c>
      <c r="C328">
        <v>0</v>
      </c>
      <c r="D328">
        <v>96.605000000000004</v>
      </c>
      <c r="E328">
        <v>0</v>
      </c>
      <c r="F328">
        <v>0</v>
      </c>
      <c r="G328">
        <v>96.57</v>
      </c>
      <c r="H328">
        <v>96.674999999999997</v>
      </c>
      <c r="I328">
        <v>96.715000000000003</v>
      </c>
      <c r="J328">
        <v>96.784999999999997</v>
      </c>
      <c r="K328">
        <v>0</v>
      </c>
    </row>
    <row r="329" spans="1:11" x14ac:dyDescent="0.25">
      <c r="A329" s="2">
        <f>DATE(2025,4,27)</f>
        <v>45774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 x14ac:dyDescent="0.25">
      <c r="A330" s="2">
        <f>DATE(2025,4,26)</f>
        <v>45773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 x14ac:dyDescent="0.25">
      <c r="A331" s="2">
        <f>DATE(2025,4,25)</f>
        <v>45772</v>
      </c>
      <c r="B331">
        <v>96.36</v>
      </c>
      <c r="C331">
        <v>0</v>
      </c>
      <c r="D331">
        <v>96.54</v>
      </c>
      <c r="E331">
        <v>0</v>
      </c>
      <c r="F331">
        <v>0</v>
      </c>
      <c r="G331">
        <v>96.515000000000001</v>
      </c>
      <c r="H331">
        <v>96.61</v>
      </c>
      <c r="I331">
        <v>96.65</v>
      </c>
      <c r="J331">
        <v>96.71</v>
      </c>
      <c r="K331">
        <v>0</v>
      </c>
    </row>
    <row r="332" spans="1:11" x14ac:dyDescent="0.25">
      <c r="A332" s="2">
        <f>DATE(2025,4,24)</f>
        <v>45771</v>
      </c>
      <c r="B332">
        <v>96.344999999999999</v>
      </c>
      <c r="C332">
        <v>0</v>
      </c>
      <c r="D332">
        <v>96.52</v>
      </c>
      <c r="E332">
        <v>0</v>
      </c>
      <c r="F332">
        <v>0</v>
      </c>
      <c r="G332">
        <v>96.5</v>
      </c>
      <c r="H332">
        <v>96.59</v>
      </c>
      <c r="I332">
        <v>96.625</v>
      </c>
      <c r="J332">
        <v>96.685000000000002</v>
      </c>
      <c r="K332">
        <v>0</v>
      </c>
    </row>
    <row r="333" spans="1:11" x14ac:dyDescent="0.25">
      <c r="A333" s="2">
        <f>DATE(2025,4,23)</f>
        <v>45770</v>
      </c>
      <c r="B333">
        <v>96.305000000000007</v>
      </c>
      <c r="C333">
        <v>0</v>
      </c>
      <c r="D333">
        <v>96.465000000000003</v>
      </c>
      <c r="E333">
        <v>0</v>
      </c>
      <c r="F333">
        <v>0</v>
      </c>
      <c r="G333">
        <v>96.444999999999993</v>
      </c>
      <c r="H333">
        <v>96.53</v>
      </c>
      <c r="I333">
        <v>96.564999999999998</v>
      </c>
      <c r="J333">
        <v>96.62</v>
      </c>
      <c r="K333">
        <v>0</v>
      </c>
    </row>
    <row r="334" spans="1:11" x14ac:dyDescent="0.25">
      <c r="A334" s="2">
        <f>DATE(2025,4,22)</f>
        <v>45769</v>
      </c>
      <c r="B334">
        <v>96.37</v>
      </c>
      <c r="C334">
        <v>0</v>
      </c>
      <c r="D334">
        <v>96.54</v>
      </c>
      <c r="E334">
        <v>0</v>
      </c>
      <c r="F334">
        <v>0</v>
      </c>
      <c r="G334">
        <v>96.52</v>
      </c>
      <c r="H334">
        <v>96.605000000000004</v>
      </c>
      <c r="I334">
        <v>96.64</v>
      </c>
      <c r="J334">
        <v>96.7</v>
      </c>
      <c r="K334">
        <v>0</v>
      </c>
    </row>
    <row r="335" spans="1:11" x14ac:dyDescent="0.25">
      <c r="A335" s="2">
        <f>DATE(2025,4,21)</f>
        <v>45768</v>
      </c>
      <c r="B335">
        <v>96.435000000000002</v>
      </c>
      <c r="C335">
        <v>0</v>
      </c>
      <c r="D335">
        <v>96.62</v>
      </c>
      <c r="E335">
        <v>0</v>
      </c>
      <c r="F335">
        <v>0</v>
      </c>
      <c r="G335">
        <v>96.59</v>
      </c>
      <c r="H335">
        <v>96.68</v>
      </c>
      <c r="I335">
        <v>96.72</v>
      </c>
      <c r="J335">
        <v>96.78</v>
      </c>
      <c r="K335">
        <v>0</v>
      </c>
    </row>
    <row r="336" spans="1:11" x14ac:dyDescent="0.25">
      <c r="A336" s="2">
        <f>DATE(2025,4,20)</f>
        <v>45767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1:11" x14ac:dyDescent="0.25">
      <c r="A337" s="2">
        <f>DATE(2025,4,19)</f>
        <v>45766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1:11" x14ac:dyDescent="0.25">
      <c r="A338" s="2">
        <f>DATE(2025,4,18)</f>
        <v>45765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1:11" x14ac:dyDescent="0.25">
      <c r="A339" s="2">
        <f>DATE(2025,4,17)</f>
        <v>45764</v>
      </c>
      <c r="B339">
        <v>96.36</v>
      </c>
      <c r="C339">
        <v>0</v>
      </c>
      <c r="D339">
        <v>96.534999999999997</v>
      </c>
      <c r="E339">
        <v>0</v>
      </c>
      <c r="F339">
        <v>0</v>
      </c>
      <c r="G339">
        <v>96.515000000000001</v>
      </c>
      <c r="H339">
        <v>96.594999999999999</v>
      </c>
      <c r="I339">
        <v>96.63</v>
      </c>
      <c r="J339">
        <v>96.685000000000002</v>
      </c>
      <c r="K339">
        <v>0</v>
      </c>
    </row>
    <row r="340" spans="1:11" x14ac:dyDescent="0.25">
      <c r="A340" s="2">
        <f>DATE(2025,4,16)</f>
        <v>45763</v>
      </c>
      <c r="B340">
        <v>96.39</v>
      </c>
      <c r="C340">
        <v>0</v>
      </c>
      <c r="D340">
        <v>96.555000000000007</v>
      </c>
      <c r="E340">
        <v>0</v>
      </c>
      <c r="F340">
        <v>0</v>
      </c>
      <c r="G340">
        <v>96.54</v>
      </c>
      <c r="H340">
        <v>96.61</v>
      </c>
      <c r="I340">
        <v>96.644999999999996</v>
      </c>
      <c r="J340">
        <v>96.694999999999993</v>
      </c>
      <c r="K340">
        <v>0</v>
      </c>
    </row>
    <row r="341" spans="1:11" x14ac:dyDescent="0.25">
      <c r="A341" s="2">
        <f>DATE(2025,4,15)</f>
        <v>45762</v>
      </c>
      <c r="B341">
        <v>96.36</v>
      </c>
      <c r="C341">
        <v>0</v>
      </c>
      <c r="D341">
        <v>96.515000000000001</v>
      </c>
      <c r="E341">
        <v>0</v>
      </c>
      <c r="F341">
        <v>0</v>
      </c>
      <c r="G341">
        <v>96.51</v>
      </c>
      <c r="H341">
        <v>96.57</v>
      </c>
      <c r="I341">
        <v>96.6</v>
      </c>
      <c r="J341">
        <v>96.635000000000005</v>
      </c>
      <c r="K341">
        <v>0</v>
      </c>
    </row>
    <row r="342" spans="1:11" x14ac:dyDescent="0.25">
      <c r="A342" s="2">
        <f>DATE(2025,4,14)</f>
        <v>45761</v>
      </c>
      <c r="B342">
        <v>96.37</v>
      </c>
      <c r="C342">
        <v>0</v>
      </c>
      <c r="D342">
        <v>96.52</v>
      </c>
      <c r="E342">
        <v>0</v>
      </c>
      <c r="F342">
        <v>0</v>
      </c>
      <c r="G342">
        <v>96.515000000000001</v>
      </c>
      <c r="H342">
        <v>96.575000000000003</v>
      </c>
      <c r="I342">
        <v>96.605000000000004</v>
      </c>
      <c r="J342">
        <v>96.64</v>
      </c>
      <c r="K342">
        <v>0</v>
      </c>
    </row>
    <row r="343" spans="1:11" x14ac:dyDescent="0.25">
      <c r="A343" s="2">
        <f>DATE(2025,4,13)</f>
        <v>45760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1:11" x14ac:dyDescent="0.25">
      <c r="A344" s="2">
        <f>DATE(2025,4,12)</f>
        <v>45759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1:11" x14ac:dyDescent="0.25">
      <c r="A345" s="2">
        <f>DATE(2025,4,11)</f>
        <v>45758</v>
      </c>
      <c r="B345">
        <v>96.31</v>
      </c>
      <c r="C345">
        <v>0</v>
      </c>
      <c r="D345">
        <v>96.42</v>
      </c>
      <c r="E345">
        <v>0</v>
      </c>
      <c r="F345">
        <v>0</v>
      </c>
      <c r="G345">
        <v>96.42</v>
      </c>
      <c r="H345">
        <v>96.47</v>
      </c>
      <c r="I345">
        <v>96.49</v>
      </c>
      <c r="J345">
        <v>96.525000000000006</v>
      </c>
      <c r="K345">
        <v>0</v>
      </c>
    </row>
    <row r="346" spans="1:11" x14ac:dyDescent="0.25">
      <c r="A346" s="2">
        <f>DATE(2025,4,10)</f>
        <v>45757</v>
      </c>
      <c r="B346">
        <v>0</v>
      </c>
      <c r="C346">
        <v>0</v>
      </c>
      <c r="D346">
        <v>96.515000000000001</v>
      </c>
      <c r="E346">
        <v>0</v>
      </c>
      <c r="F346">
        <v>0</v>
      </c>
      <c r="G346">
        <v>96.51</v>
      </c>
      <c r="H346">
        <v>96.56</v>
      </c>
      <c r="I346">
        <v>96.584999999999994</v>
      </c>
      <c r="J346">
        <v>96.63</v>
      </c>
      <c r="K346">
        <v>0</v>
      </c>
    </row>
    <row r="347" spans="1:11" x14ac:dyDescent="0.25">
      <c r="A347" s="2">
        <f>DATE(2025,4,9)</f>
        <v>45756</v>
      </c>
      <c r="B347">
        <v>0</v>
      </c>
      <c r="C347">
        <v>0</v>
      </c>
      <c r="D347">
        <v>96.38</v>
      </c>
      <c r="E347">
        <v>0</v>
      </c>
      <c r="F347">
        <v>0</v>
      </c>
      <c r="G347">
        <v>96.385000000000005</v>
      </c>
      <c r="H347">
        <v>96.424999999999997</v>
      </c>
      <c r="I347">
        <v>96.454999999999998</v>
      </c>
      <c r="J347">
        <v>96.5</v>
      </c>
      <c r="K347">
        <v>0</v>
      </c>
    </row>
    <row r="348" spans="1:11" x14ac:dyDescent="0.25">
      <c r="A348" s="2">
        <f>DATE(2025,4,8)</f>
        <v>45755</v>
      </c>
      <c r="B348">
        <v>0</v>
      </c>
      <c r="C348">
        <v>0</v>
      </c>
      <c r="D348">
        <v>96.665000000000006</v>
      </c>
      <c r="E348">
        <v>0</v>
      </c>
      <c r="F348">
        <v>0</v>
      </c>
      <c r="G348">
        <v>96.655000000000001</v>
      </c>
      <c r="H348">
        <v>96.71</v>
      </c>
      <c r="I348">
        <v>96.74</v>
      </c>
      <c r="J348">
        <v>96.795000000000002</v>
      </c>
      <c r="K348">
        <v>0</v>
      </c>
    </row>
    <row r="349" spans="1:11" x14ac:dyDescent="0.25">
      <c r="A349" s="2">
        <f>DATE(2025,4,7)</f>
        <v>45754</v>
      </c>
      <c r="B349">
        <v>0</v>
      </c>
      <c r="C349">
        <v>0</v>
      </c>
      <c r="D349">
        <v>96.625</v>
      </c>
      <c r="E349">
        <v>0</v>
      </c>
      <c r="F349">
        <v>0</v>
      </c>
      <c r="G349">
        <v>96.614999999999995</v>
      </c>
      <c r="H349">
        <v>96.674999999999997</v>
      </c>
      <c r="I349">
        <v>96.704999999999998</v>
      </c>
      <c r="J349">
        <v>96.76</v>
      </c>
      <c r="K349">
        <v>0</v>
      </c>
    </row>
    <row r="350" spans="1:11" x14ac:dyDescent="0.25">
      <c r="A350" s="2">
        <f>DATE(2025,4,6)</f>
        <v>45753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1:11" x14ac:dyDescent="0.25">
      <c r="A351" s="2">
        <f>DATE(2025,4,5)</f>
        <v>45752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1:11" x14ac:dyDescent="0.25">
      <c r="A352" s="2">
        <f>DATE(2025,4,4)</f>
        <v>45751</v>
      </c>
      <c r="B352">
        <v>0</v>
      </c>
      <c r="C352">
        <v>0</v>
      </c>
      <c r="D352">
        <v>96.655000000000001</v>
      </c>
      <c r="E352">
        <v>0</v>
      </c>
      <c r="F352">
        <v>0</v>
      </c>
      <c r="G352">
        <v>96.644999999999996</v>
      </c>
      <c r="H352">
        <v>96.72</v>
      </c>
      <c r="I352">
        <v>96.75</v>
      </c>
      <c r="J352">
        <v>96.805000000000007</v>
      </c>
      <c r="K352">
        <v>0</v>
      </c>
    </row>
    <row r="353" spans="1:11" x14ac:dyDescent="0.25">
      <c r="A353" s="2">
        <f>DATE(2025,4,3)</f>
        <v>45750</v>
      </c>
      <c r="B353">
        <v>0</v>
      </c>
      <c r="C353">
        <v>0</v>
      </c>
      <c r="D353">
        <v>96.564999999999998</v>
      </c>
      <c r="E353">
        <v>0</v>
      </c>
      <c r="F353">
        <v>0</v>
      </c>
      <c r="G353">
        <v>96.55</v>
      </c>
      <c r="H353">
        <v>96.625</v>
      </c>
      <c r="I353">
        <v>96.665000000000006</v>
      </c>
      <c r="J353">
        <v>96.72</v>
      </c>
      <c r="K353">
        <v>0</v>
      </c>
    </row>
    <row r="354" spans="1:11" x14ac:dyDescent="0.25">
      <c r="A354" s="2">
        <f>DATE(2025,4,2)</f>
        <v>45749</v>
      </c>
      <c r="B354">
        <v>0</v>
      </c>
      <c r="C354">
        <v>0</v>
      </c>
      <c r="D354">
        <v>96.375</v>
      </c>
      <c r="E354">
        <v>0</v>
      </c>
      <c r="F354">
        <v>0</v>
      </c>
      <c r="G354">
        <v>96.37</v>
      </c>
      <c r="H354">
        <v>96.42</v>
      </c>
      <c r="I354">
        <v>96.45</v>
      </c>
      <c r="J354">
        <v>96.495000000000005</v>
      </c>
      <c r="K354">
        <v>0</v>
      </c>
    </row>
    <row r="355" spans="1:11" x14ac:dyDescent="0.25">
      <c r="A355" s="2">
        <f>DATE(2025,4,1)</f>
        <v>45748</v>
      </c>
      <c r="B355">
        <v>0</v>
      </c>
      <c r="C355">
        <v>0</v>
      </c>
      <c r="D355">
        <v>96.43</v>
      </c>
      <c r="E355">
        <v>0</v>
      </c>
      <c r="F355">
        <v>0</v>
      </c>
      <c r="G355">
        <v>96.42</v>
      </c>
      <c r="H355">
        <v>96.47</v>
      </c>
      <c r="I355">
        <v>96.5</v>
      </c>
      <c r="J355">
        <v>96.545000000000002</v>
      </c>
      <c r="K355">
        <v>0</v>
      </c>
    </row>
    <row r="356" spans="1:11" x14ac:dyDescent="0.25">
      <c r="A356" s="2">
        <f>DATE(2025,3,31)</f>
        <v>45747</v>
      </c>
      <c r="B356">
        <v>0</v>
      </c>
      <c r="C356">
        <v>0</v>
      </c>
      <c r="D356">
        <v>96.375</v>
      </c>
      <c r="E356">
        <v>0</v>
      </c>
      <c r="F356">
        <v>0</v>
      </c>
      <c r="G356">
        <v>96.375</v>
      </c>
      <c r="H356">
        <v>96.42</v>
      </c>
      <c r="I356">
        <v>96.444999999999993</v>
      </c>
      <c r="J356">
        <v>96.46</v>
      </c>
      <c r="K356">
        <v>0</v>
      </c>
    </row>
    <row r="357" spans="1:11" x14ac:dyDescent="0.25">
      <c r="A357" s="2">
        <f>DATE(2025,3,30)</f>
        <v>45746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1:11" x14ac:dyDescent="0.25">
      <c r="A358" s="2">
        <f>DATE(2025,3,29)</f>
        <v>45745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1:11" x14ac:dyDescent="0.25">
      <c r="A359" s="2">
        <f>DATE(2025,3,28)</f>
        <v>45744</v>
      </c>
      <c r="B359">
        <v>0</v>
      </c>
      <c r="C359">
        <v>0</v>
      </c>
      <c r="D359">
        <v>96.375</v>
      </c>
      <c r="E359">
        <v>0</v>
      </c>
      <c r="F359">
        <v>0</v>
      </c>
      <c r="G359">
        <v>96.375</v>
      </c>
      <c r="H359">
        <v>96.42</v>
      </c>
      <c r="I359">
        <v>96.444999999999993</v>
      </c>
      <c r="J359">
        <v>0</v>
      </c>
      <c r="K359">
        <v>0</v>
      </c>
    </row>
    <row r="360" spans="1:11" x14ac:dyDescent="0.25">
      <c r="A360" s="2">
        <f>DATE(2025,3,27)</f>
        <v>45743</v>
      </c>
      <c r="B360">
        <v>0</v>
      </c>
      <c r="C360">
        <v>0</v>
      </c>
      <c r="D360">
        <v>96.265000000000001</v>
      </c>
      <c r="E360">
        <v>0</v>
      </c>
      <c r="F360">
        <v>0</v>
      </c>
      <c r="G360">
        <v>96.27</v>
      </c>
      <c r="H360">
        <v>96.314999999999998</v>
      </c>
      <c r="I360">
        <v>96.34</v>
      </c>
      <c r="J360">
        <v>0</v>
      </c>
      <c r="K360">
        <v>0</v>
      </c>
    </row>
    <row r="361" spans="1:11" x14ac:dyDescent="0.25">
      <c r="A361" s="2">
        <f>DATE(2025,3,26)</f>
        <v>45742</v>
      </c>
      <c r="B361">
        <v>0</v>
      </c>
      <c r="C361">
        <v>0</v>
      </c>
      <c r="D361">
        <v>96.26</v>
      </c>
      <c r="E361">
        <v>0</v>
      </c>
      <c r="F361">
        <v>0</v>
      </c>
      <c r="G361">
        <v>96.265000000000001</v>
      </c>
      <c r="H361">
        <v>96.305000000000007</v>
      </c>
      <c r="I361">
        <v>96.33</v>
      </c>
      <c r="J361">
        <v>0</v>
      </c>
      <c r="K361">
        <v>0</v>
      </c>
    </row>
    <row r="362" spans="1:11" x14ac:dyDescent="0.25">
      <c r="A362" s="2">
        <f>DATE(2025,3,25)</f>
        <v>45741</v>
      </c>
      <c r="B362">
        <v>0</v>
      </c>
      <c r="C362">
        <v>0</v>
      </c>
      <c r="D362">
        <v>96.28</v>
      </c>
      <c r="E362">
        <v>0</v>
      </c>
      <c r="F362">
        <v>0</v>
      </c>
      <c r="G362">
        <v>96.28</v>
      </c>
      <c r="H362">
        <v>96.32</v>
      </c>
      <c r="I362">
        <v>96.344999999999999</v>
      </c>
      <c r="J362">
        <v>0</v>
      </c>
      <c r="K362">
        <v>0</v>
      </c>
    </row>
    <row r="363" spans="1:11" x14ac:dyDescent="0.25">
      <c r="A363" s="2">
        <f>DATE(2025,3,24)</f>
        <v>45740</v>
      </c>
      <c r="B363">
        <v>0</v>
      </c>
      <c r="C363">
        <v>0</v>
      </c>
      <c r="D363">
        <v>96.254999999999995</v>
      </c>
      <c r="E363">
        <v>0</v>
      </c>
      <c r="F363">
        <v>0</v>
      </c>
      <c r="G363">
        <v>96.26</v>
      </c>
      <c r="H363">
        <v>96.3</v>
      </c>
      <c r="I363">
        <v>96.325000000000003</v>
      </c>
      <c r="J363">
        <v>0</v>
      </c>
      <c r="K363">
        <v>0</v>
      </c>
    </row>
    <row r="364" spans="1:11" x14ac:dyDescent="0.25">
      <c r="A364" s="2">
        <f>DATE(2025,3,23)</f>
        <v>45739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1:11" x14ac:dyDescent="0.25">
      <c r="A365" s="2">
        <f>DATE(2025,3,22)</f>
        <v>45738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 x14ac:dyDescent="0.25">
      <c r="A366" s="2">
        <f>DATE(2025,3,21)</f>
        <v>45737</v>
      </c>
      <c r="B366">
        <v>0</v>
      </c>
      <c r="C366">
        <v>0</v>
      </c>
      <c r="D366">
        <v>96.35</v>
      </c>
      <c r="E366">
        <v>0</v>
      </c>
      <c r="F366">
        <v>0</v>
      </c>
      <c r="G366">
        <v>96.355000000000004</v>
      </c>
      <c r="H366">
        <v>96.394999999999996</v>
      </c>
      <c r="I366">
        <v>96.42</v>
      </c>
      <c r="J366">
        <v>0</v>
      </c>
      <c r="K366">
        <v>0</v>
      </c>
    </row>
    <row r="367" spans="1:11" x14ac:dyDescent="0.25">
      <c r="A367" s="2">
        <f>DATE(2025,3,20)</f>
        <v>45736</v>
      </c>
      <c r="B367">
        <v>0</v>
      </c>
      <c r="C367">
        <v>0</v>
      </c>
      <c r="D367">
        <v>96.325000000000003</v>
      </c>
      <c r="E367">
        <v>0</v>
      </c>
      <c r="F367">
        <v>0</v>
      </c>
      <c r="G367">
        <v>96.334999999999994</v>
      </c>
      <c r="H367">
        <v>96.375</v>
      </c>
      <c r="I367">
        <v>96.4</v>
      </c>
      <c r="J367">
        <v>0</v>
      </c>
      <c r="K367">
        <v>0</v>
      </c>
    </row>
    <row r="368" spans="1:11" x14ac:dyDescent="0.25">
      <c r="A368" s="2">
        <f>DATE(2025,3,19)</f>
        <v>45735</v>
      </c>
      <c r="B368">
        <v>0</v>
      </c>
      <c r="C368">
        <v>0</v>
      </c>
      <c r="D368">
        <v>96.295000000000002</v>
      </c>
      <c r="E368">
        <v>0</v>
      </c>
      <c r="F368">
        <v>0</v>
      </c>
      <c r="G368">
        <v>96.29</v>
      </c>
      <c r="H368">
        <v>96.34</v>
      </c>
      <c r="I368">
        <v>96.364999999999995</v>
      </c>
      <c r="J368">
        <v>0</v>
      </c>
      <c r="K368">
        <v>0</v>
      </c>
    </row>
    <row r="369" spans="1:11" x14ac:dyDescent="0.25">
      <c r="A369" s="2">
        <f>DATE(2025,3,18)</f>
        <v>45734</v>
      </c>
      <c r="B369">
        <v>0</v>
      </c>
      <c r="C369">
        <v>0</v>
      </c>
      <c r="D369">
        <v>96.23</v>
      </c>
      <c r="E369">
        <v>0</v>
      </c>
      <c r="F369">
        <v>0</v>
      </c>
      <c r="G369">
        <v>96.23</v>
      </c>
      <c r="H369">
        <v>96.27</v>
      </c>
      <c r="I369">
        <v>96.29</v>
      </c>
      <c r="J369">
        <v>0</v>
      </c>
      <c r="K36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ImpliedVol</vt:lpstr>
      <vt:lpstr>ICE Code Mapping</vt:lpstr>
      <vt:lpstr>jkm_call_put</vt:lpstr>
      <vt:lpstr>Unique</vt:lpstr>
      <vt:lpstr>jkm</vt:lpstr>
      <vt:lpstr>C_JKM Matrix</vt:lpstr>
      <vt:lpstr>P_JKM Matrix</vt:lpstr>
      <vt:lpstr>P_ICE Vol</vt:lpstr>
      <vt:lpstr>Delta_C_JKM</vt:lpstr>
      <vt:lpstr>Delta_P_JKM</vt:lpstr>
      <vt:lpstr>C_ICE Vol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Yvonne Ang</dc:creator>
  <cp:lastModifiedBy>Yvonne Ang</cp:lastModifiedBy>
  <dcterms:created xsi:type="dcterms:W3CDTF">2026-01-24T04:58:09Z</dcterms:created>
  <dcterms:modified xsi:type="dcterms:W3CDTF">2026-03-19T05:57:18Z</dcterms:modified>
</cp:coreProperties>
</file>